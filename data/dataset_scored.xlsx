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hai\Downloads\Using LLMs in Chess\"/>
    </mc:Choice>
  </mc:AlternateContent>
  <xr:revisionPtr revIDLastSave="0" documentId="13_ncr:1_{7C9186DE-E864-4A1D-A380-C817F0EFBFBA}" xr6:coauthVersionLast="47" xr6:coauthVersionMax="47" xr10:uidLastSave="{00000000-0000-0000-0000-000000000000}"/>
  <bookViews>
    <workbookView xWindow="-98" yWindow="-98" windowWidth="24196" windowHeight="15196" tabRatio="500" xr2:uid="{00000000-000D-0000-FFFF-FFFF00000000}"/>
  </bookViews>
  <sheets>
    <sheet name="Parameters" sheetId="4" r:id="rId1"/>
    <sheet name="Interpretation Scale" sheetId="1" r:id="rId2"/>
    <sheet name="Data OPUS" sheetId="5" r:id="rId3"/>
    <sheet name="Calculations OPUS" sheetId="3" r:id="rId4"/>
    <sheet name="Puzzle Scores OPUS" sheetId="2" r:id="rId5"/>
    <sheet name="Data LLAMA" sheetId="17" r:id="rId6"/>
    <sheet name="Calculations LLAMA" sheetId="18" r:id="rId7"/>
    <sheet name="Puzzle Scores LLAMA" sheetId="19" r:id="rId8"/>
    <sheet name="Data QWEN" sheetId="20" r:id="rId9"/>
    <sheet name="Calculations QWEN" sheetId="21" r:id="rId10"/>
    <sheet name="Puzzle Scores QWEN" sheetId="22" r:id="rId11"/>
    <sheet name="Data GEMINI" sheetId="23" r:id="rId12"/>
    <sheet name="Calculations GEMINI" sheetId="24" r:id="rId13"/>
    <sheet name="Puzzle Scores GEMINI" sheetId="25" r:id="rId14"/>
    <sheet name="Data GPT" sheetId="27" r:id="rId15"/>
    <sheet name="Calculations GPT" sheetId="28" r:id="rId16"/>
    <sheet name="Puzzle Scores GPT" sheetId="29" r:id="rId17"/>
    <sheet name="Data DEEPSEEK" sheetId="30" r:id="rId18"/>
    <sheet name="Calculations DEEPSEEK" sheetId="31" r:id="rId19"/>
    <sheet name="Puzzle Scores DEEPSEEK" sheetId="32" r:id="rId20"/>
    <sheet name="Data KIMI" sheetId="33" r:id="rId21"/>
    <sheet name="Calculations KIMI" sheetId="34" r:id="rId22"/>
    <sheet name="Puzzle Scores KIMI" sheetId="35" r:id="rId23"/>
  </sheets>
  <definedNames>
    <definedName name="_xlnm._FilterDatabase" localSheetId="18" hidden="1">'Calculations DEEPSEEK'!$A$1:$I$359</definedName>
    <definedName name="_xlnm._FilterDatabase" localSheetId="12" hidden="1">'Calculations GEMINI'!$A$1:$I$12</definedName>
    <definedName name="_xlnm._FilterDatabase" localSheetId="15" hidden="1">'Calculations GPT'!$A$1:$I$77</definedName>
    <definedName name="_xlnm._FilterDatabase" localSheetId="21" hidden="1">'Calculations KIMI'!$A$1:$I$192</definedName>
    <definedName name="_xlnm._FilterDatabase" localSheetId="6" hidden="1">'Calculations LLAMA'!$A$1:$I$132</definedName>
    <definedName name="_xlnm._FilterDatabase" localSheetId="3" hidden="1">'Calculations OPUS'!$A$1:$I$224</definedName>
    <definedName name="_xlnm._FilterDatabase" localSheetId="9" hidden="1">'Calculations QWEN'!$A$1:$I$115</definedName>
    <definedName name="_xlnm._FilterDatabase" localSheetId="17" hidden="1">'Data DEEPSEEK'!$A$1:$H$359</definedName>
    <definedName name="_xlnm._FilterDatabase" localSheetId="11" hidden="1">'Data GEMINI'!$A$1:$H$49</definedName>
    <definedName name="_xlnm._FilterDatabase" localSheetId="14" hidden="1">'Data GPT'!$A$1:$H$77</definedName>
    <definedName name="_xlnm._FilterDatabase" localSheetId="20" hidden="1">'Data KIMI'!$A$1:$H$192</definedName>
    <definedName name="_xlnm._FilterDatabase" localSheetId="5" hidden="1">'Data LLAMA'!$A$1:$H$132</definedName>
    <definedName name="_xlnm._FilterDatabase" localSheetId="2" hidden="1">'Data OPUS'!$A$1:$H$224</definedName>
    <definedName name="_xlnm._FilterDatabase" localSheetId="8" hidden="1">'Data QWEN'!$A$1:$H$115</definedName>
    <definedName name="_xlnm._FilterDatabase" localSheetId="0" hidden="1">Parameters!$A$22:$D$27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4" l="1"/>
  <c r="C29" i="4"/>
  <c r="C25" i="4"/>
  <c r="C26" i="4"/>
  <c r="C27" i="4"/>
  <c r="C28" i="4"/>
  <c r="C23" i="4"/>
  <c r="B3" i="35"/>
  <c r="C3" i="35"/>
  <c r="D3" i="35" s="1"/>
  <c r="E3" i="35" s="1"/>
  <c r="B4" i="35"/>
  <c r="C4" i="35"/>
  <c r="D4" i="35" s="1"/>
  <c r="E4" i="35" s="1"/>
  <c r="B5" i="35"/>
  <c r="C5" i="35"/>
  <c r="D5" i="35"/>
  <c r="E5" i="35"/>
  <c r="B6" i="35"/>
  <c r="C6" i="35"/>
  <c r="D6" i="35"/>
  <c r="E6" i="35"/>
  <c r="B7" i="35"/>
  <c r="C7" i="35"/>
  <c r="D7" i="35"/>
  <c r="E7" i="35" s="1"/>
  <c r="B8" i="35"/>
  <c r="C8" i="35"/>
  <c r="D8" i="35"/>
  <c r="E8" i="35"/>
  <c r="B9" i="35"/>
  <c r="C9" i="35"/>
  <c r="D9" i="35" s="1"/>
  <c r="E9" i="35" s="1"/>
  <c r="B10" i="35"/>
  <c r="C10" i="35"/>
  <c r="D10" i="35" s="1"/>
  <c r="E10" i="35" s="1"/>
  <c r="B11" i="35"/>
  <c r="C11" i="35"/>
  <c r="D11" i="35"/>
  <c r="E11" i="35"/>
  <c r="B12" i="35"/>
  <c r="C12" i="35"/>
  <c r="D12" i="35"/>
  <c r="E12" i="35"/>
  <c r="B13" i="35"/>
  <c r="C13" i="35"/>
  <c r="D13" i="35"/>
  <c r="E13" i="35" s="1"/>
  <c r="B14" i="35"/>
  <c r="C14" i="35"/>
  <c r="D14" i="35"/>
  <c r="E14" i="35"/>
  <c r="B15" i="35"/>
  <c r="C15" i="35"/>
  <c r="D15" i="35" s="1"/>
  <c r="E15" i="35" s="1"/>
  <c r="B16" i="35"/>
  <c r="C16" i="35"/>
  <c r="D16" i="35" s="1"/>
  <c r="E16" i="35" s="1"/>
  <c r="B17" i="35"/>
  <c r="C17" i="35"/>
  <c r="D17" i="35"/>
  <c r="E17" i="35"/>
  <c r="B18" i="35"/>
  <c r="C18" i="35"/>
  <c r="D18" i="35"/>
  <c r="E18" i="35"/>
  <c r="B19" i="35"/>
  <c r="C19" i="35"/>
  <c r="D19" i="35"/>
  <c r="E19" i="35" s="1"/>
  <c r="B20" i="35"/>
  <c r="C20" i="35"/>
  <c r="D20" i="35"/>
  <c r="E20" i="35"/>
  <c r="B21" i="35"/>
  <c r="C21" i="35"/>
  <c r="D21" i="35" s="1"/>
  <c r="E21" i="35" s="1"/>
  <c r="B52" i="34"/>
  <c r="C52" i="34"/>
  <c r="D52" i="34"/>
  <c r="F52" i="34" s="1"/>
  <c r="E52" i="34"/>
  <c r="B53" i="34"/>
  <c r="C53" i="34"/>
  <c r="D53" i="34"/>
  <c r="E53" i="34"/>
  <c r="F53" i="34"/>
  <c r="B54" i="34"/>
  <c r="C54" i="34"/>
  <c r="D54" i="34"/>
  <c r="E54" i="34"/>
  <c r="F54" i="34"/>
  <c r="B55" i="34"/>
  <c r="C55" i="34"/>
  <c r="D55" i="34"/>
  <c r="E55" i="34"/>
  <c r="F55" i="34"/>
  <c r="B56" i="34"/>
  <c r="C56" i="34"/>
  <c r="D56" i="34"/>
  <c r="E56" i="34"/>
  <c r="F56" i="34"/>
  <c r="B57" i="34"/>
  <c r="C57" i="34"/>
  <c r="D57" i="34"/>
  <c r="E57" i="34"/>
  <c r="F57" i="34"/>
  <c r="B58" i="34"/>
  <c r="C58" i="34"/>
  <c r="E58" i="34" s="1"/>
  <c r="D58" i="34"/>
  <c r="F58" i="34"/>
  <c r="B59" i="34"/>
  <c r="C59" i="34"/>
  <c r="D59" i="34"/>
  <c r="E59" i="34"/>
  <c r="F59" i="34"/>
  <c r="B60" i="34"/>
  <c r="C60" i="34"/>
  <c r="E60" i="34" s="1"/>
  <c r="D60" i="34"/>
  <c r="F60" i="34"/>
  <c r="B61" i="34"/>
  <c r="C61" i="34"/>
  <c r="E61" i="34" s="1"/>
  <c r="D61" i="34"/>
  <c r="F61" i="34" s="1"/>
  <c r="B62" i="34"/>
  <c r="C62" i="34"/>
  <c r="D62" i="34"/>
  <c r="E62" i="34"/>
  <c r="F62" i="34"/>
  <c r="B63" i="34"/>
  <c r="C63" i="34"/>
  <c r="E63" i="34" s="1"/>
  <c r="D63" i="34"/>
  <c r="F63" i="34" s="1"/>
  <c r="B64" i="34"/>
  <c r="C64" i="34"/>
  <c r="E64" i="34" s="1"/>
  <c r="D64" i="34"/>
  <c r="F64" i="34" s="1"/>
  <c r="B65" i="34"/>
  <c r="C65" i="34"/>
  <c r="D65" i="34"/>
  <c r="E65" i="34"/>
  <c r="F65" i="34"/>
  <c r="B66" i="34"/>
  <c r="C66" i="34"/>
  <c r="D66" i="34"/>
  <c r="F66" i="34" s="1"/>
  <c r="E66" i="34"/>
  <c r="B67" i="34"/>
  <c r="C67" i="34"/>
  <c r="E67" i="34" s="1"/>
  <c r="D67" i="34"/>
  <c r="F67" i="34" s="1"/>
  <c r="B68" i="34"/>
  <c r="C68" i="34"/>
  <c r="D68" i="34"/>
  <c r="E68" i="34"/>
  <c r="F68" i="34"/>
  <c r="B69" i="34"/>
  <c r="C69" i="34"/>
  <c r="D69" i="34"/>
  <c r="F69" i="34" s="1"/>
  <c r="E69" i="34"/>
  <c r="B70" i="34"/>
  <c r="C70" i="34"/>
  <c r="E70" i="34" s="1"/>
  <c r="D70" i="34"/>
  <c r="F70" i="34"/>
  <c r="B71" i="34"/>
  <c r="C71" i="34"/>
  <c r="E71" i="34" s="1"/>
  <c r="D71" i="34"/>
  <c r="F71" i="34"/>
  <c r="B72" i="34"/>
  <c r="C72" i="34"/>
  <c r="D72" i="34"/>
  <c r="E72" i="34"/>
  <c r="F72" i="34"/>
  <c r="B73" i="34"/>
  <c r="C73" i="34"/>
  <c r="G73" i="34" s="1"/>
  <c r="H73" i="34" s="1"/>
  <c r="I73" i="34" s="1"/>
  <c r="D73" i="34"/>
  <c r="E73" i="34"/>
  <c r="F73" i="34"/>
  <c r="B74" i="34"/>
  <c r="C74" i="34"/>
  <c r="D74" i="34"/>
  <c r="F74" i="34" s="1"/>
  <c r="E74" i="34"/>
  <c r="B75" i="34"/>
  <c r="C75" i="34"/>
  <c r="D75" i="34"/>
  <c r="E75" i="34"/>
  <c r="F75" i="34"/>
  <c r="B76" i="34"/>
  <c r="C76" i="34"/>
  <c r="D76" i="34"/>
  <c r="E76" i="34"/>
  <c r="F76" i="34"/>
  <c r="B77" i="34"/>
  <c r="C77" i="34"/>
  <c r="D77" i="34"/>
  <c r="E77" i="34"/>
  <c r="F77" i="34"/>
  <c r="B78" i="34"/>
  <c r="C78" i="34"/>
  <c r="D78" i="34"/>
  <c r="E78" i="34"/>
  <c r="F78" i="34"/>
  <c r="B79" i="34"/>
  <c r="C79" i="34"/>
  <c r="D79" i="34"/>
  <c r="E79" i="34"/>
  <c r="F79" i="34"/>
  <c r="B80" i="34"/>
  <c r="C80" i="34"/>
  <c r="E80" i="34" s="1"/>
  <c r="D80" i="34"/>
  <c r="F80" i="34"/>
  <c r="B81" i="34"/>
  <c r="C81" i="34"/>
  <c r="D81" i="34"/>
  <c r="E81" i="34"/>
  <c r="F81" i="34"/>
  <c r="B82" i="34"/>
  <c r="C82" i="34"/>
  <c r="D82" i="34"/>
  <c r="E82" i="34"/>
  <c r="F82" i="34"/>
  <c r="B83" i="34"/>
  <c r="C83" i="34"/>
  <c r="E83" i="34" s="1"/>
  <c r="D83" i="34"/>
  <c r="F83" i="34" s="1"/>
  <c r="B84" i="34"/>
  <c r="C84" i="34"/>
  <c r="D84" i="34"/>
  <c r="E84" i="34"/>
  <c r="F84" i="34"/>
  <c r="B85" i="34"/>
  <c r="C85" i="34"/>
  <c r="E85" i="34" s="1"/>
  <c r="D85" i="34"/>
  <c r="F85" i="34"/>
  <c r="B86" i="34"/>
  <c r="C86" i="34"/>
  <c r="D86" i="34"/>
  <c r="F86" i="34" s="1"/>
  <c r="E86" i="34"/>
  <c r="B87" i="34"/>
  <c r="C87" i="34"/>
  <c r="D87" i="34"/>
  <c r="E87" i="34"/>
  <c r="F87" i="34"/>
  <c r="B88" i="34"/>
  <c r="C88" i="34"/>
  <c r="E88" i="34" s="1"/>
  <c r="D88" i="34"/>
  <c r="F88" i="34" s="1"/>
  <c r="B89" i="34"/>
  <c r="C89" i="34"/>
  <c r="D89" i="34"/>
  <c r="E89" i="34"/>
  <c r="F89" i="34"/>
  <c r="B90" i="34"/>
  <c r="C90" i="34"/>
  <c r="D90" i="34"/>
  <c r="E90" i="34"/>
  <c r="F90" i="34"/>
  <c r="B91" i="34"/>
  <c r="C91" i="34"/>
  <c r="D91" i="34"/>
  <c r="F91" i="34" s="1"/>
  <c r="E91" i="34"/>
  <c r="B92" i="34"/>
  <c r="G92" i="34" s="1"/>
  <c r="H92" i="34" s="1"/>
  <c r="C92" i="34"/>
  <c r="D92" i="34"/>
  <c r="E92" i="34"/>
  <c r="F92" i="34"/>
  <c r="B93" i="34"/>
  <c r="C93" i="34"/>
  <c r="E93" i="34" s="1"/>
  <c r="D93" i="34"/>
  <c r="F93" i="34"/>
  <c r="B94" i="34"/>
  <c r="C94" i="34"/>
  <c r="D94" i="34"/>
  <c r="E94" i="34"/>
  <c r="F94" i="34"/>
  <c r="B95" i="34"/>
  <c r="C95" i="34"/>
  <c r="G95" i="34" s="1"/>
  <c r="H95" i="34" s="1"/>
  <c r="D95" i="34"/>
  <c r="E95" i="34"/>
  <c r="F95" i="34"/>
  <c r="B96" i="34"/>
  <c r="C96" i="34"/>
  <c r="E96" i="34" s="1"/>
  <c r="D96" i="34"/>
  <c r="F96" i="34" s="1"/>
  <c r="B97" i="34"/>
  <c r="C97" i="34"/>
  <c r="D97" i="34"/>
  <c r="E97" i="34"/>
  <c r="F97" i="34"/>
  <c r="B98" i="34"/>
  <c r="C98" i="34"/>
  <c r="D98" i="34"/>
  <c r="F98" i="34" s="1"/>
  <c r="E98" i="34"/>
  <c r="B99" i="34"/>
  <c r="C99" i="34"/>
  <c r="D99" i="34"/>
  <c r="F99" i="34" s="1"/>
  <c r="E99" i="34"/>
  <c r="B100" i="34"/>
  <c r="C100" i="34"/>
  <c r="D100" i="34"/>
  <c r="E100" i="34"/>
  <c r="F100" i="34"/>
  <c r="B101" i="34"/>
  <c r="C101" i="34"/>
  <c r="D101" i="34"/>
  <c r="E101" i="34"/>
  <c r="F101" i="34"/>
  <c r="B102" i="34"/>
  <c r="C102" i="34"/>
  <c r="D102" i="34"/>
  <c r="E102" i="34"/>
  <c r="F102" i="34"/>
  <c r="B103" i="34"/>
  <c r="C103" i="34"/>
  <c r="D103" i="34"/>
  <c r="E103" i="34"/>
  <c r="F103" i="34"/>
  <c r="B104" i="34"/>
  <c r="C104" i="34"/>
  <c r="D104" i="34"/>
  <c r="E104" i="34"/>
  <c r="F104" i="34"/>
  <c r="B105" i="34"/>
  <c r="C105" i="34"/>
  <c r="E105" i="34" s="1"/>
  <c r="D105" i="34"/>
  <c r="F105" i="34"/>
  <c r="B106" i="34"/>
  <c r="C106" i="34"/>
  <c r="D106" i="34"/>
  <c r="E106" i="34"/>
  <c r="F106" i="34"/>
  <c r="B107" i="34"/>
  <c r="G107" i="34" s="1"/>
  <c r="H107" i="34" s="1"/>
  <c r="C107" i="34"/>
  <c r="E107" i="34" s="1"/>
  <c r="I107" i="34" s="1"/>
  <c r="D107" i="34"/>
  <c r="F107" i="34"/>
  <c r="B108" i="34"/>
  <c r="C108" i="34"/>
  <c r="E108" i="34" s="1"/>
  <c r="D108" i="34"/>
  <c r="F108" i="34" s="1"/>
  <c r="B109" i="34"/>
  <c r="C109" i="34"/>
  <c r="D109" i="34"/>
  <c r="E109" i="34"/>
  <c r="F109" i="34"/>
  <c r="B110" i="34"/>
  <c r="C110" i="34"/>
  <c r="E110" i="34" s="1"/>
  <c r="D110" i="34"/>
  <c r="F110" i="34" s="1"/>
  <c r="B111" i="34"/>
  <c r="C111" i="34"/>
  <c r="D111" i="34"/>
  <c r="F111" i="34" s="1"/>
  <c r="E111" i="34"/>
  <c r="B112" i="34"/>
  <c r="C112" i="34"/>
  <c r="D112" i="34"/>
  <c r="E112" i="34"/>
  <c r="F112" i="34"/>
  <c r="B113" i="34"/>
  <c r="C113" i="34"/>
  <c r="D113" i="34"/>
  <c r="F113" i="34" s="1"/>
  <c r="E113" i="34"/>
  <c r="B114" i="34"/>
  <c r="C114" i="34"/>
  <c r="D114" i="34"/>
  <c r="F114" i="34" s="1"/>
  <c r="E114" i="34"/>
  <c r="B115" i="34"/>
  <c r="C115" i="34"/>
  <c r="D115" i="34"/>
  <c r="E115" i="34"/>
  <c r="F115" i="34"/>
  <c r="B116" i="34"/>
  <c r="C116" i="34"/>
  <c r="D116" i="34"/>
  <c r="E116" i="34"/>
  <c r="F116" i="34"/>
  <c r="B117" i="34"/>
  <c r="G117" i="34" s="1"/>
  <c r="H117" i="34" s="1"/>
  <c r="C117" i="34"/>
  <c r="E117" i="34" s="1"/>
  <c r="D117" i="34"/>
  <c r="F117" i="34" s="1"/>
  <c r="B118" i="34"/>
  <c r="C118" i="34"/>
  <c r="E118" i="34" s="1"/>
  <c r="D118" i="34"/>
  <c r="F118" i="34"/>
  <c r="B119" i="34"/>
  <c r="C119" i="34"/>
  <c r="D119" i="34"/>
  <c r="E119" i="34"/>
  <c r="F119" i="34"/>
  <c r="B120" i="34"/>
  <c r="C120" i="34"/>
  <c r="E120" i="34" s="1"/>
  <c r="D120" i="34"/>
  <c r="F120" i="34"/>
  <c r="B121" i="34"/>
  <c r="C121" i="34"/>
  <c r="E121" i="34" s="1"/>
  <c r="D121" i="34"/>
  <c r="F121" i="34" s="1"/>
  <c r="B122" i="34"/>
  <c r="C122" i="34"/>
  <c r="D122" i="34"/>
  <c r="E122" i="34"/>
  <c r="F122" i="34"/>
  <c r="B123" i="34"/>
  <c r="C123" i="34"/>
  <c r="D123" i="34"/>
  <c r="E123" i="34"/>
  <c r="F123" i="34"/>
  <c r="B124" i="34"/>
  <c r="C124" i="34"/>
  <c r="D124" i="34"/>
  <c r="F124" i="34" s="1"/>
  <c r="E124" i="34"/>
  <c r="B125" i="34"/>
  <c r="C125" i="34"/>
  <c r="D125" i="34"/>
  <c r="E125" i="34"/>
  <c r="F125" i="34"/>
  <c r="B126" i="34"/>
  <c r="C126" i="34"/>
  <c r="D126" i="34"/>
  <c r="E126" i="34"/>
  <c r="F126" i="34"/>
  <c r="B127" i="34"/>
  <c r="C127" i="34"/>
  <c r="D127" i="34"/>
  <c r="E127" i="34"/>
  <c r="F127" i="34"/>
  <c r="B128" i="34"/>
  <c r="C128" i="34"/>
  <c r="D128" i="34"/>
  <c r="E128" i="34"/>
  <c r="F128" i="34"/>
  <c r="B129" i="34"/>
  <c r="G129" i="34" s="1"/>
  <c r="H129" i="34" s="1"/>
  <c r="I129" i="34" s="1"/>
  <c r="C129" i="34"/>
  <c r="D129" i="34"/>
  <c r="E129" i="34"/>
  <c r="F129" i="34"/>
  <c r="B130" i="34"/>
  <c r="C130" i="34"/>
  <c r="E130" i="34" s="1"/>
  <c r="D130" i="34"/>
  <c r="F130" i="34"/>
  <c r="B131" i="34"/>
  <c r="C131" i="34"/>
  <c r="D131" i="34"/>
  <c r="E131" i="34"/>
  <c r="F131" i="34"/>
  <c r="B132" i="34"/>
  <c r="C132" i="34"/>
  <c r="E132" i="34" s="1"/>
  <c r="D132" i="34"/>
  <c r="F132" i="34"/>
  <c r="B133" i="34"/>
  <c r="C133" i="34"/>
  <c r="E133" i="34" s="1"/>
  <c r="D133" i="34"/>
  <c r="F133" i="34" s="1"/>
  <c r="B134" i="34"/>
  <c r="C134" i="34"/>
  <c r="D134" i="34"/>
  <c r="E134" i="34"/>
  <c r="F134" i="34"/>
  <c r="B135" i="34"/>
  <c r="C135" i="34"/>
  <c r="E135" i="34" s="1"/>
  <c r="D135" i="34"/>
  <c r="F135" i="34" s="1"/>
  <c r="B136" i="34"/>
  <c r="C136" i="34"/>
  <c r="E136" i="34" s="1"/>
  <c r="D136" i="34"/>
  <c r="F136" i="34" s="1"/>
  <c r="B137" i="34"/>
  <c r="C137" i="34"/>
  <c r="D137" i="34"/>
  <c r="E137" i="34"/>
  <c r="F137" i="34"/>
  <c r="B138" i="34"/>
  <c r="C138" i="34"/>
  <c r="E138" i="34" s="1"/>
  <c r="D138" i="34"/>
  <c r="F138" i="34" s="1"/>
  <c r="B139" i="34"/>
  <c r="C139" i="34"/>
  <c r="E139" i="34" s="1"/>
  <c r="D139" i="34"/>
  <c r="F139" i="34" s="1"/>
  <c r="B140" i="34"/>
  <c r="C140" i="34"/>
  <c r="E140" i="34" s="1"/>
  <c r="D140" i="34"/>
  <c r="F140" i="34"/>
  <c r="B141" i="34"/>
  <c r="C141" i="34"/>
  <c r="D141" i="34"/>
  <c r="F141" i="34" s="1"/>
  <c r="E141" i="34"/>
  <c r="B142" i="34"/>
  <c r="C142" i="34"/>
  <c r="D142" i="34"/>
  <c r="E142" i="34"/>
  <c r="F142" i="34"/>
  <c r="B143" i="34"/>
  <c r="C143" i="34"/>
  <c r="E143" i="34" s="1"/>
  <c r="D143" i="34"/>
  <c r="F143" i="34" s="1"/>
  <c r="B144" i="34"/>
  <c r="C144" i="34"/>
  <c r="D144" i="34"/>
  <c r="E144" i="34"/>
  <c r="F144" i="34"/>
  <c r="B145" i="34"/>
  <c r="C145" i="34"/>
  <c r="D145" i="34"/>
  <c r="E145" i="34"/>
  <c r="F145" i="34"/>
  <c r="B146" i="34"/>
  <c r="C146" i="34"/>
  <c r="D146" i="34"/>
  <c r="F146" i="34" s="1"/>
  <c r="E146" i="34"/>
  <c r="B147" i="34"/>
  <c r="C147" i="34"/>
  <c r="D147" i="34"/>
  <c r="E147" i="34"/>
  <c r="F147" i="34"/>
  <c r="G147" i="34" s="1"/>
  <c r="H147" i="34" s="1"/>
  <c r="B148" i="34"/>
  <c r="C148" i="34"/>
  <c r="E148" i="34" s="1"/>
  <c r="D148" i="34"/>
  <c r="F148" i="34" s="1"/>
  <c r="G148" i="34" s="1"/>
  <c r="H148" i="34" s="1"/>
  <c r="I148" i="34" s="1"/>
  <c r="B149" i="34"/>
  <c r="C149" i="34"/>
  <c r="D149" i="34"/>
  <c r="E149" i="34"/>
  <c r="F149" i="34"/>
  <c r="B150" i="34"/>
  <c r="C150" i="34"/>
  <c r="D150" i="34"/>
  <c r="E150" i="34"/>
  <c r="F150" i="34"/>
  <c r="B151" i="34"/>
  <c r="C151" i="34"/>
  <c r="D151" i="34"/>
  <c r="F151" i="34" s="1"/>
  <c r="G151" i="34" s="1"/>
  <c r="H151" i="34" s="1"/>
  <c r="I151" i="34" s="1"/>
  <c r="E151" i="34"/>
  <c r="B152" i="34"/>
  <c r="C152" i="34"/>
  <c r="E152" i="34" s="1"/>
  <c r="D152" i="34"/>
  <c r="F152" i="34"/>
  <c r="B153" i="34"/>
  <c r="C153" i="34"/>
  <c r="D153" i="34"/>
  <c r="E153" i="34"/>
  <c r="F153" i="34"/>
  <c r="B154" i="34"/>
  <c r="C154" i="34"/>
  <c r="D154" i="34"/>
  <c r="E154" i="34"/>
  <c r="F154" i="34"/>
  <c r="B155" i="34"/>
  <c r="C155" i="34"/>
  <c r="E155" i="34" s="1"/>
  <c r="D155" i="34"/>
  <c r="F155" i="34" s="1"/>
  <c r="B156" i="34"/>
  <c r="C156" i="34"/>
  <c r="D156" i="34"/>
  <c r="E156" i="34"/>
  <c r="F156" i="34"/>
  <c r="B157" i="34"/>
  <c r="C157" i="34"/>
  <c r="E157" i="34" s="1"/>
  <c r="D157" i="34"/>
  <c r="F157" i="34"/>
  <c r="B158" i="34"/>
  <c r="C158" i="34"/>
  <c r="D158" i="34"/>
  <c r="F158" i="34" s="1"/>
  <c r="E158" i="34"/>
  <c r="B159" i="34"/>
  <c r="C159" i="34"/>
  <c r="D159" i="34"/>
  <c r="E159" i="34"/>
  <c r="F159" i="34"/>
  <c r="B160" i="34"/>
  <c r="G160" i="34" s="1"/>
  <c r="H160" i="34" s="1"/>
  <c r="I160" i="34" s="1"/>
  <c r="C160" i="34"/>
  <c r="E160" i="34" s="1"/>
  <c r="D160" i="34"/>
  <c r="F160" i="34" s="1"/>
  <c r="B161" i="34"/>
  <c r="C161" i="34"/>
  <c r="E161" i="34" s="1"/>
  <c r="D161" i="34"/>
  <c r="F161" i="34"/>
  <c r="B162" i="34"/>
  <c r="C162" i="34"/>
  <c r="D162" i="34"/>
  <c r="E162" i="34"/>
  <c r="F162" i="34"/>
  <c r="B163" i="34"/>
  <c r="C163" i="34"/>
  <c r="D163" i="34"/>
  <c r="F163" i="34" s="1"/>
  <c r="E163" i="34"/>
  <c r="B164" i="34"/>
  <c r="G164" i="34" s="1"/>
  <c r="H164" i="34" s="1"/>
  <c r="C164" i="34"/>
  <c r="D164" i="34"/>
  <c r="E164" i="34"/>
  <c r="F164" i="34"/>
  <c r="B165" i="34"/>
  <c r="C165" i="34"/>
  <c r="E165" i="34" s="1"/>
  <c r="D165" i="34"/>
  <c r="F165" i="34"/>
  <c r="B166" i="34"/>
  <c r="C166" i="34"/>
  <c r="D166" i="34"/>
  <c r="E166" i="34"/>
  <c r="F166" i="34"/>
  <c r="B167" i="34"/>
  <c r="G167" i="34" s="1"/>
  <c r="H167" i="34" s="1"/>
  <c r="C167" i="34"/>
  <c r="D167" i="34"/>
  <c r="E167" i="34"/>
  <c r="F167" i="34"/>
  <c r="B168" i="34"/>
  <c r="C168" i="34"/>
  <c r="E168" i="34" s="1"/>
  <c r="D168" i="34"/>
  <c r="F168" i="34" s="1"/>
  <c r="B169" i="34"/>
  <c r="C169" i="34"/>
  <c r="D169" i="34"/>
  <c r="E169" i="34"/>
  <c r="F169" i="34"/>
  <c r="G169" i="34" s="1"/>
  <c r="H169" i="34" s="1"/>
  <c r="I169" i="34" s="1"/>
  <c r="B170" i="34"/>
  <c r="C170" i="34"/>
  <c r="D170" i="34"/>
  <c r="F170" i="34" s="1"/>
  <c r="E170" i="34"/>
  <c r="B171" i="34"/>
  <c r="C171" i="34"/>
  <c r="D171" i="34"/>
  <c r="F171" i="34" s="1"/>
  <c r="E171" i="34"/>
  <c r="B172" i="34"/>
  <c r="C172" i="34"/>
  <c r="D172" i="34"/>
  <c r="E172" i="34"/>
  <c r="F172" i="34"/>
  <c r="B173" i="34"/>
  <c r="C173" i="34"/>
  <c r="D173" i="34"/>
  <c r="F173" i="34" s="1"/>
  <c r="E173" i="34"/>
  <c r="B174" i="34"/>
  <c r="C174" i="34"/>
  <c r="D174" i="34"/>
  <c r="E174" i="34"/>
  <c r="F174" i="34"/>
  <c r="B175" i="34"/>
  <c r="C175" i="34"/>
  <c r="D175" i="34"/>
  <c r="E175" i="34"/>
  <c r="F175" i="34"/>
  <c r="B176" i="34"/>
  <c r="C176" i="34"/>
  <c r="D176" i="34"/>
  <c r="E176" i="34"/>
  <c r="F176" i="34"/>
  <c r="B177" i="34"/>
  <c r="C177" i="34"/>
  <c r="E177" i="34" s="1"/>
  <c r="D177" i="34"/>
  <c r="F177" i="34"/>
  <c r="B178" i="34"/>
  <c r="C178" i="34"/>
  <c r="D178" i="34"/>
  <c r="E178" i="34"/>
  <c r="F178" i="34"/>
  <c r="B179" i="34"/>
  <c r="G179" i="34" s="1"/>
  <c r="H179" i="34" s="1"/>
  <c r="C179" i="34"/>
  <c r="E179" i="34" s="1"/>
  <c r="D179" i="34"/>
  <c r="F179" i="34"/>
  <c r="B180" i="34"/>
  <c r="C180" i="34"/>
  <c r="E180" i="34" s="1"/>
  <c r="D180" i="34"/>
  <c r="F180" i="34" s="1"/>
  <c r="B181" i="34"/>
  <c r="C181" i="34"/>
  <c r="D181" i="34"/>
  <c r="E181" i="34"/>
  <c r="F181" i="34"/>
  <c r="B182" i="34"/>
  <c r="C182" i="34"/>
  <c r="E182" i="34" s="1"/>
  <c r="D182" i="34"/>
  <c r="F182" i="34" s="1"/>
  <c r="G182" i="34" s="1"/>
  <c r="H182" i="34" s="1"/>
  <c r="B183" i="34"/>
  <c r="C183" i="34"/>
  <c r="D183" i="34"/>
  <c r="F183" i="34" s="1"/>
  <c r="E183" i="34"/>
  <c r="B184" i="34"/>
  <c r="C184" i="34"/>
  <c r="D184" i="34"/>
  <c r="E184" i="34"/>
  <c r="F184" i="34"/>
  <c r="B185" i="34"/>
  <c r="C185" i="34"/>
  <c r="D185" i="34"/>
  <c r="F185" i="34" s="1"/>
  <c r="E185" i="34"/>
  <c r="B186" i="34"/>
  <c r="C186" i="34"/>
  <c r="E186" i="34" s="1"/>
  <c r="D186" i="34"/>
  <c r="F186" i="34"/>
  <c r="B187" i="34"/>
  <c r="C187" i="34"/>
  <c r="D187" i="34"/>
  <c r="E187" i="34"/>
  <c r="F187" i="34"/>
  <c r="B188" i="34"/>
  <c r="C188" i="34"/>
  <c r="D188" i="34"/>
  <c r="E188" i="34"/>
  <c r="F188" i="34"/>
  <c r="B189" i="34"/>
  <c r="C189" i="34"/>
  <c r="D189" i="34"/>
  <c r="E189" i="34"/>
  <c r="F189" i="34"/>
  <c r="B190" i="34"/>
  <c r="C190" i="34"/>
  <c r="E190" i="34" s="1"/>
  <c r="D190" i="34"/>
  <c r="F190" i="34"/>
  <c r="B191" i="34"/>
  <c r="C191" i="34"/>
  <c r="D191" i="34"/>
  <c r="E191" i="34"/>
  <c r="F191" i="34"/>
  <c r="G191" i="34" s="1"/>
  <c r="H191" i="34" s="1"/>
  <c r="B192" i="34"/>
  <c r="C192" i="34"/>
  <c r="D192" i="34"/>
  <c r="E192" i="34"/>
  <c r="F192" i="34"/>
  <c r="B3" i="34"/>
  <c r="C3" i="34"/>
  <c r="E3" i="34" s="1"/>
  <c r="D3" i="34"/>
  <c r="F3" i="34" s="1"/>
  <c r="B4" i="34"/>
  <c r="C4" i="34"/>
  <c r="D4" i="34"/>
  <c r="E4" i="34"/>
  <c r="F4" i="34"/>
  <c r="B5" i="34"/>
  <c r="C5" i="34"/>
  <c r="E5" i="34" s="1"/>
  <c r="D5" i="34"/>
  <c r="F5" i="34" s="1"/>
  <c r="B6" i="34"/>
  <c r="C6" i="34"/>
  <c r="E6" i="34" s="1"/>
  <c r="D6" i="34"/>
  <c r="F6" i="34"/>
  <c r="B7" i="34"/>
  <c r="C7" i="34"/>
  <c r="D7" i="34"/>
  <c r="F7" i="34" s="1"/>
  <c r="E7" i="34"/>
  <c r="B8" i="34"/>
  <c r="C8" i="34"/>
  <c r="D8" i="34"/>
  <c r="E8" i="34"/>
  <c r="F8" i="34"/>
  <c r="B9" i="34"/>
  <c r="G57" i="34" s="1"/>
  <c r="H57" i="34" s="1"/>
  <c r="C9" i="34"/>
  <c r="E9" i="34" s="1"/>
  <c r="D9" i="34"/>
  <c r="F9" i="34"/>
  <c r="B10" i="34"/>
  <c r="G172" i="34" s="1"/>
  <c r="H172" i="34" s="1"/>
  <c r="I172" i="34" s="1"/>
  <c r="C10" i="34"/>
  <c r="E10" i="34" s="1"/>
  <c r="D10" i="34"/>
  <c r="F10" i="34"/>
  <c r="B11" i="34"/>
  <c r="C11" i="34"/>
  <c r="D11" i="34"/>
  <c r="E11" i="34"/>
  <c r="F11" i="34"/>
  <c r="B12" i="34"/>
  <c r="C12" i="34"/>
  <c r="D12" i="34"/>
  <c r="E12" i="34"/>
  <c r="F12" i="34"/>
  <c r="B13" i="34"/>
  <c r="C13" i="34"/>
  <c r="E13" i="34" s="1"/>
  <c r="D13" i="34"/>
  <c r="F13" i="34" s="1"/>
  <c r="B14" i="34"/>
  <c r="C14" i="34"/>
  <c r="D14" i="34"/>
  <c r="E14" i="34"/>
  <c r="F14" i="34"/>
  <c r="B15" i="34"/>
  <c r="C15" i="34"/>
  <c r="E15" i="34" s="1"/>
  <c r="D15" i="34"/>
  <c r="F15" i="34" s="1"/>
  <c r="B16" i="34"/>
  <c r="C16" i="34"/>
  <c r="D16" i="34"/>
  <c r="E16" i="34"/>
  <c r="F16" i="34"/>
  <c r="B17" i="34"/>
  <c r="C17" i="34"/>
  <c r="D17" i="34"/>
  <c r="F17" i="34" s="1"/>
  <c r="E17" i="34"/>
  <c r="B18" i="34"/>
  <c r="C18" i="34"/>
  <c r="D18" i="34"/>
  <c r="E18" i="34"/>
  <c r="F18" i="34"/>
  <c r="B19" i="34"/>
  <c r="C19" i="34"/>
  <c r="D19" i="34"/>
  <c r="F19" i="34" s="1"/>
  <c r="E19" i="34"/>
  <c r="B20" i="34"/>
  <c r="C20" i="34"/>
  <c r="D20" i="34"/>
  <c r="E20" i="34"/>
  <c r="F20" i="34"/>
  <c r="B21" i="34"/>
  <c r="C21" i="34"/>
  <c r="E21" i="34" s="1"/>
  <c r="D21" i="34"/>
  <c r="F21" i="34"/>
  <c r="B22" i="34"/>
  <c r="C22" i="34"/>
  <c r="D22" i="34"/>
  <c r="E22" i="34"/>
  <c r="F22" i="34"/>
  <c r="B23" i="34"/>
  <c r="C23" i="34"/>
  <c r="D23" i="34"/>
  <c r="E23" i="34"/>
  <c r="F23" i="34"/>
  <c r="B24" i="34"/>
  <c r="C24" i="34"/>
  <c r="D24" i="34"/>
  <c r="E24" i="34"/>
  <c r="F24" i="34"/>
  <c r="B25" i="34"/>
  <c r="C25" i="34"/>
  <c r="E25" i="34" s="1"/>
  <c r="D25" i="34"/>
  <c r="F25" i="34" s="1"/>
  <c r="B26" i="34"/>
  <c r="C26" i="34"/>
  <c r="E26" i="34" s="1"/>
  <c r="D26" i="34"/>
  <c r="F26" i="34" s="1"/>
  <c r="B27" i="34"/>
  <c r="C27" i="34"/>
  <c r="E27" i="34" s="1"/>
  <c r="D27" i="34"/>
  <c r="F27" i="34" s="1"/>
  <c r="B28" i="34"/>
  <c r="C28" i="34"/>
  <c r="D28" i="34"/>
  <c r="E28" i="34"/>
  <c r="F28" i="34"/>
  <c r="B29" i="34"/>
  <c r="C29" i="34"/>
  <c r="D29" i="34"/>
  <c r="F29" i="34" s="1"/>
  <c r="E29" i="34"/>
  <c r="B30" i="34"/>
  <c r="C30" i="34"/>
  <c r="E30" i="34" s="1"/>
  <c r="D30" i="34"/>
  <c r="F30" i="34"/>
  <c r="B31" i="34"/>
  <c r="C31" i="34"/>
  <c r="D31" i="34"/>
  <c r="F31" i="34" s="1"/>
  <c r="E31" i="34"/>
  <c r="B32" i="34"/>
  <c r="C32" i="34"/>
  <c r="D32" i="34"/>
  <c r="E32" i="34"/>
  <c r="F32" i="34"/>
  <c r="B33" i="34"/>
  <c r="C33" i="34"/>
  <c r="E33" i="34" s="1"/>
  <c r="D33" i="34"/>
  <c r="F33" i="34"/>
  <c r="B34" i="34"/>
  <c r="C34" i="34"/>
  <c r="D34" i="34"/>
  <c r="E34" i="34"/>
  <c r="F34" i="34"/>
  <c r="B35" i="34"/>
  <c r="C35" i="34"/>
  <c r="D35" i="34"/>
  <c r="E35" i="34"/>
  <c r="F35" i="34"/>
  <c r="B36" i="34"/>
  <c r="C36" i="34"/>
  <c r="D36" i="34"/>
  <c r="E36" i="34"/>
  <c r="F36" i="34"/>
  <c r="B37" i="34"/>
  <c r="C37" i="34"/>
  <c r="E37" i="34" s="1"/>
  <c r="D37" i="34"/>
  <c r="F37" i="34" s="1"/>
  <c r="B38" i="34"/>
  <c r="C38" i="34"/>
  <c r="E38" i="34" s="1"/>
  <c r="D38" i="34"/>
  <c r="F38" i="34"/>
  <c r="B39" i="34"/>
  <c r="C39" i="34"/>
  <c r="E39" i="34" s="1"/>
  <c r="D39" i="34"/>
  <c r="F39" i="34" s="1"/>
  <c r="B40" i="34"/>
  <c r="C40" i="34"/>
  <c r="D40" i="34"/>
  <c r="E40" i="34"/>
  <c r="F40" i="34"/>
  <c r="B41" i="34"/>
  <c r="C41" i="34"/>
  <c r="E41" i="34" s="1"/>
  <c r="D41" i="34"/>
  <c r="F41" i="34" s="1"/>
  <c r="B42" i="34"/>
  <c r="C42" i="34"/>
  <c r="D42" i="34"/>
  <c r="E42" i="34"/>
  <c r="F42" i="34"/>
  <c r="B43" i="34"/>
  <c r="C43" i="34"/>
  <c r="D43" i="34"/>
  <c r="F43" i="34" s="1"/>
  <c r="E43" i="34"/>
  <c r="B44" i="34"/>
  <c r="C44" i="34"/>
  <c r="D44" i="34"/>
  <c r="E44" i="34"/>
  <c r="F44" i="34"/>
  <c r="B45" i="34"/>
  <c r="C45" i="34"/>
  <c r="E45" i="34" s="1"/>
  <c r="D45" i="34"/>
  <c r="F45" i="34"/>
  <c r="B46" i="34"/>
  <c r="C46" i="34"/>
  <c r="D46" i="34"/>
  <c r="E46" i="34"/>
  <c r="F46" i="34"/>
  <c r="B47" i="34"/>
  <c r="C47" i="34"/>
  <c r="D47" i="34"/>
  <c r="E47" i="34"/>
  <c r="F47" i="34"/>
  <c r="B48" i="34"/>
  <c r="C48" i="34"/>
  <c r="D48" i="34"/>
  <c r="E48" i="34"/>
  <c r="F48" i="34"/>
  <c r="B49" i="34"/>
  <c r="C49" i="34"/>
  <c r="E49" i="34" s="1"/>
  <c r="D49" i="34"/>
  <c r="F49" i="34" s="1"/>
  <c r="B50" i="34"/>
  <c r="G50" i="34" s="1"/>
  <c r="H50" i="34" s="1"/>
  <c r="C50" i="34"/>
  <c r="E50" i="34" s="1"/>
  <c r="I50" i="34" s="1"/>
  <c r="D50" i="34"/>
  <c r="F50" i="34" s="1"/>
  <c r="B51" i="34"/>
  <c r="C51" i="34"/>
  <c r="E51" i="34" s="1"/>
  <c r="D51" i="34"/>
  <c r="F51" i="34" s="1"/>
  <c r="B3" i="32"/>
  <c r="C3" i="32"/>
  <c r="D3" i="32" s="1"/>
  <c r="E3" i="32" s="1"/>
  <c r="B4" i="32"/>
  <c r="C4" i="32"/>
  <c r="D4" i="32" s="1"/>
  <c r="E4" i="32" s="1"/>
  <c r="B5" i="32"/>
  <c r="C5" i="32"/>
  <c r="D5" i="32"/>
  <c r="E5" i="32"/>
  <c r="B6" i="32"/>
  <c r="C6" i="32"/>
  <c r="D6" i="32"/>
  <c r="E6" i="32"/>
  <c r="B7" i="32"/>
  <c r="C7" i="32"/>
  <c r="D7" i="32"/>
  <c r="E7" i="32"/>
  <c r="B8" i="32"/>
  <c r="C8" i="32"/>
  <c r="D8" i="32"/>
  <c r="E8" i="32"/>
  <c r="B9" i="32"/>
  <c r="C9" i="32"/>
  <c r="D9" i="32" s="1"/>
  <c r="E9" i="32" s="1"/>
  <c r="B10" i="32"/>
  <c r="C10" i="32"/>
  <c r="D10" i="32" s="1"/>
  <c r="E10" i="32" s="1"/>
  <c r="B11" i="32"/>
  <c r="C11" i="32"/>
  <c r="D11" i="32"/>
  <c r="E11" i="32"/>
  <c r="B12" i="32"/>
  <c r="C12" i="32"/>
  <c r="D12" i="32"/>
  <c r="E12" i="32"/>
  <c r="B13" i="32"/>
  <c r="C13" i="32"/>
  <c r="D13" i="32"/>
  <c r="E13" i="32"/>
  <c r="B14" i="32"/>
  <c r="C14" i="32"/>
  <c r="D14" i="32"/>
  <c r="E14" i="32"/>
  <c r="B15" i="32"/>
  <c r="C15" i="32"/>
  <c r="D15" i="32" s="1"/>
  <c r="E15" i="32" s="1"/>
  <c r="B16" i="32"/>
  <c r="C16" i="32"/>
  <c r="D16" i="32" s="1"/>
  <c r="E16" i="32" s="1"/>
  <c r="B17" i="32"/>
  <c r="C17" i="32"/>
  <c r="D17" i="32"/>
  <c r="E17" i="32"/>
  <c r="B18" i="32"/>
  <c r="C18" i="32"/>
  <c r="D18" i="32"/>
  <c r="E18" i="32"/>
  <c r="B19" i="32"/>
  <c r="C19" i="32"/>
  <c r="D19" i="32"/>
  <c r="E19" i="32"/>
  <c r="B20" i="32"/>
  <c r="C20" i="32"/>
  <c r="D20" i="32"/>
  <c r="E20" i="32"/>
  <c r="B21" i="32"/>
  <c r="C21" i="32"/>
  <c r="D21" i="32" s="1"/>
  <c r="E21" i="32" s="1"/>
  <c r="C2" i="32"/>
  <c r="B2" i="32"/>
  <c r="B3" i="29"/>
  <c r="C3" i="29"/>
  <c r="D3" i="29" s="1"/>
  <c r="E3" i="29" s="1"/>
  <c r="B4" i="29"/>
  <c r="C4" i="29"/>
  <c r="D4" i="29" s="1"/>
  <c r="E4" i="29" s="1"/>
  <c r="B5" i="29"/>
  <c r="C5" i="29"/>
  <c r="D5" i="29"/>
  <c r="E5" i="29"/>
  <c r="B6" i="29"/>
  <c r="C6" i="29"/>
  <c r="D6" i="29"/>
  <c r="E6" i="29"/>
  <c r="B7" i="29"/>
  <c r="C7" i="29"/>
  <c r="D7" i="29"/>
  <c r="E7" i="29"/>
  <c r="B8" i="29"/>
  <c r="C8" i="29"/>
  <c r="D8" i="29"/>
  <c r="E8" i="29"/>
  <c r="B9" i="29"/>
  <c r="C9" i="29"/>
  <c r="D9" i="29" s="1"/>
  <c r="E9" i="29" s="1"/>
  <c r="B10" i="29"/>
  <c r="C10" i="29"/>
  <c r="D10" i="29" s="1"/>
  <c r="E10" i="29" s="1"/>
  <c r="B11" i="29"/>
  <c r="C11" i="29"/>
  <c r="D11" i="29"/>
  <c r="E11" i="29"/>
  <c r="B12" i="29"/>
  <c r="C12" i="29"/>
  <c r="D12" i="29"/>
  <c r="E12" i="29"/>
  <c r="B13" i="29"/>
  <c r="C13" i="29"/>
  <c r="D13" i="29"/>
  <c r="E13" i="29"/>
  <c r="B14" i="29"/>
  <c r="C14" i="29"/>
  <c r="D14" i="29"/>
  <c r="E14" i="29"/>
  <c r="B15" i="29"/>
  <c r="C15" i="29"/>
  <c r="D15" i="29" s="1"/>
  <c r="E15" i="29" s="1"/>
  <c r="B16" i="29"/>
  <c r="C16" i="29"/>
  <c r="D16" i="29" s="1"/>
  <c r="E16" i="29" s="1"/>
  <c r="B17" i="29"/>
  <c r="C17" i="29"/>
  <c r="D17" i="29"/>
  <c r="E17" i="29"/>
  <c r="B18" i="29"/>
  <c r="C18" i="29"/>
  <c r="D18" i="29"/>
  <c r="E18" i="29"/>
  <c r="B19" i="29"/>
  <c r="C19" i="29"/>
  <c r="D19" i="29"/>
  <c r="E19" i="29"/>
  <c r="B20" i="29"/>
  <c r="C20" i="29"/>
  <c r="D20" i="29"/>
  <c r="E20" i="29"/>
  <c r="B21" i="29"/>
  <c r="C21" i="29"/>
  <c r="D21" i="29" s="1"/>
  <c r="E21" i="29" s="1"/>
  <c r="C2" i="29"/>
  <c r="B2" i="29"/>
  <c r="B3" i="25"/>
  <c r="C3" i="25"/>
  <c r="D3" i="25" s="1"/>
  <c r="E3" i="25" s="1"/>
  <c r="B4" i="25"/>
  <c r="C4" i="25"/>
  <c r="D4" i="25" s="1"/>
  <c r="E4" i="25" s="1"/>
  <c r="B5" i="25"/>
  <c r="C5" i="25"/>
  <c r="D5" i="25" s="1"/>
  <c r="E5" i="25" s="1"/>
  <c r="B6" i="25"/>
  <c r="C6" i="25"/>
  <c r="D6" i="25" s="1"/>
  <c r="E6" i="25" s="1"/>
  <c r="B7" i="25"/>
  <c r="C7" i="25"/>
  <c r="D7" i="25"/>
  <c r="E7" i="25"/>
  <c r="B8" i="25"/>
  <c r="C8" i="25"/>
  <c r="D8" i="25"/>
  <c r="E8" i="25"/>
  <c r="B9" i="25"/>
  <c r="C9" i="25"/>
  <c r="D9" i="25" s="1"/>
  <c r="E9" i="25" s="1"/>
  <c r="B10" i="25"/>
  <c r="C10" i="25"/>
  <c r="D10" i="25" s="1"/>
  <c r="E10" i="25" s="1"/>
  <c r="B11" i="25"/>
  <c r="C11" i="25"/>
  <c r="D11" i="25" s="1"/>
  <c r="E11" i="25" s="1"/>
  <c r="B12" i="25"/>
  <c r="C12" i="25"/>
  <c r="D12" i="25" s="1"/>
  <c r="E12" i="25" s="1"/>
  <c r="B13" i="25"/>
  <c r="C13" i="25"/>
  <c r="D13" i="25"/>
  <c r="E13" i="25"/>
  <c r="B14" i="25"/>
  <c r="C14" i="25"/>
  <c r="D14" i="25"/>
  <c r="E14" i="25"/>
  <c r="B15" i="25"/>
  <c r="C15" i="25"/>
  <c r="D15" i="25" s="1"/>
  <c r="E15" i="25" s="1"/>
  <c r="B16" i="25"/>
  <c r="C16" i="25"/>
  <c r="D16" i="25" s="1"/>
  <c r="E16" i="25" s="1"/>
  <c r="B17" i="25"/>
  <c r="C17" i="25"/>
  <c r="D17" i="25" s="1"/>
  <c r="E17" i="25" s="1"/>
  <c r="B18" i="25"/>
  <c r="C18" i="25"/>
  <c r="D18" i="25" s="1"/>
  <c r="E18" i="25" s="1"/>
  <c r="B19" i="25"/>
  <c r="C19" i="25"/>
  <c r="D19" i="25"/>
  <c r="E19" i="25"/>
  <c r="B20" i="25"/>
  <c r="C20" i="25"/>
  <c r="D20" i="25"/>
  <c r="E20" i="25"/>
  <c r="B21" i="25"/>
  <c r="C21" i="25"/>
  <c r="D21" i="25" s="1"/>
  <c r="E21" i="25" s="1"/>
  <c r="C2" i="25"/>
  <c r="B2" i="25"/>
  <c r="B3" i="22"/>
  <c r="C3" i="22"/>
  <c r="D3" i="22" s="1"/>
  <c r="E3" i="22" s="1"/>
  <c r="B4" i="22"/>
  <c r="C4" i="22"/>
  <c r="D4" i="22" s="1"/>
  <c r="E4" i="22" s="1"/>
  <c r="B5" i="22"/>
  <c r="C5" i="22"/>
  <c r="D5" i="22"/>
  <c r="E5" i="22"/>
  <c r="B6" i="22"/>
  <c r="C6" i="22"/>
  <c r="D6" i="22"/>
  <c r="E6" i="22"/>
  <c r="B7" i="22"/>
  <c r="C7" i="22"/>
  <c r="D7" i="22"/>
  <c r="E7" i="22"/>
  <c r="B8" i="22"/>
  <c r="C8" i="22"/>
  <c r="D8" i="22"/>
  <c r="E8" i="22"/>
  <c r="B9" i="22"/>
  <c r="C9" i="22"/>
  <c r="D9" i="22" s="1"/>
  <c r="E9" i="22" s="1"/>
  <c r="B10" i="22"/>
  <c r="C10" i="22"/>
  <c r="D10" i="22" s="1"/>
  <c r="E10" i="22" s="1"/>
  <c r="B11" i="22"/>
  <c r="C11" i="22"/>
  <c r="D11" i="22"/>
  <c r="E11" i="22"/>
  <c r="B12" i="22"/>
  <c r="C12" i="22"/>
  <c r="D12" i="22"/>
  <c r="E12" i="22"/>
  <c r="B13" i="22"/>
  <c r="C13" i="22"/>
  <c r="D13" i="22"/>
  <c r="E13" i="22"/>
  <c r="B14" i="22"/>
  <c r="C14" i="22"/>
  <c r="D14" i="22"/>
  <c r="E14" i="22"/>
  <c r="B15" i="22"/>
  <c r="C15" i="22"/>
  <c r="D15" i="22" s="1"/>
  <c r="E15" i="22" s="1"/>
  <c r="B16" i="22"/>
  <c r="C16" i="22"/>
  <c r="D16" i="22" s="1"/>
  <c r="E16" i="22" s="1"/>
  <c r="B17" i="22"/>
  <c r="C17" i="22"/>
  <c r="D17" i="22"/>
  <c r="E17" i="22"/>
  <c r="B18" i="22"/>
  <c r="C18" i="22"/>
  <c r="D18" i="22"/>
  <c r="E18" i="22"/>
  <c r="B19" i="22"/>
  <c r="C19" i="22"/>
  <c r="D19" i="22"/>
  <c r="E19" i="22"/>
  <c r="B20" i="22"/>
  <c r="C20" i="22"/>
  <c r="D20" i="22"/>
  <c r="E20" i="22"/>
  <c r="B21" i="22"/>
  <c r="C21" i="22"/>
  <c r="D21" i="22" s="1"/>
  <c r="E21" i="22" s="1"/>
  <c r="C2" i="22"/>
  <c r="B2" i="22"/>
  <c r="B3" i="19"/>
  <c r="C3" i="19"/>
  <c r="D3" i="19" s="1"/>
  <c r="E3" i="19" s="1"/>
  <c r="B4" i="19"/>
  <c r="C4" i="19"/>
  <c r="D4" i="19" s="1"/>
  <c r="E4" i="19" s="1"/>
  <c r="B5" i="19"/>
  <c r="C5" i="19"/>
  <c r="D5" i="19"/>
  <c r="E5" i="19"/>
  <c r="B6" i="19"/>
  <c r="C6" i="19"/>
  <c r="D6" i="19"/>
  <c r="E6" i="19"/>
  <c r="B7" i="19"/>
  <c r="C7" i="19"/>
  <c r="D7" i="19"/>
  <c r="E7" i="19"/>
  <c r="B8" i="19"/>
  <c r="C8" i="19"/>
  <c r="D8" i="19"/>
  <c r="E8" i="19"/>
  <c r="B9" i="19"/>
  <c r="C9" i="19"/>
  <c r="D9" i="19" s="1"/>
  <c r="E9" i="19" s="1"/>
  <c r="B10" i="19"/>
  <c r="C10" i="19"/>
  <c r="D10" i="19" s="1"/>
  <c r="E10" i="19" s="1"/>
  <c r="B11" i="19"/>
  <c r="C11" i="19"/>
  <c r="D11" i="19"/>
  <c r="E11" i="19"/>
  <c r="B12" i="19"/>
  <c r="C12" i="19"/>
  <c r="D12" i="19"/>
  <c r="E12" i="19"/>
  <c r="B13" i="19"/>
  <c r="C13" i="19"/>
  <c r="D13" i="19"/>
  <c r="E13" i="19"/>
  <c r="B14" i="19"/>
  <c r="C14" i="19"/>
  <c r="D14" i="19"/>
  <c r="E14" i="19"/>
  <c r="B15" i="19"/>
  <c r="C15" i="19"/>
  <c r="D15" i="19" s="1"/>
  <c r="E15" i="19" s="1"/>
  <c r="B16" i="19"/>
  <c r="C16" i="19"/>
  <c r="D16" i="19" s="1"/>
  <c r="E16" i="19" s="1"/>
  <c r="B17" i="19"/>
  <c r="C17" i="19"/>
  <c r="D17" i="19"/>
  <c r="E17" i="19"/>
  <c r="B18" i="19"/>
  <c r="C18" i="19"/>
  <c r="D18" i="19"/>
  <c r="E18" i="19"/>
  <c r="B19" i="19"/>
  <c r="C19" i="19"/>
  <c r="D19" i="19"/>
  <c r="E19" i="19"/>
  <c r="B20" i="19"/>
  <c r="C20" i="19"/>
  <c r="D20" i="19"/>
  <c r="E20" i="19"/>
  <c r="B21" i="19"/>
  <c r="C21" i="19"/>
  <c r="D21" i="19" s="1"/>
  <c r="E21" i="19" s="1"/>
  <c r="C2" i="19"/>
  <c r="B2" i="19"/>
  <c r="B3" i="2"/>
  <c r="C3" i="2"/>
  <c r="D3" i="2" s="1"/>
  <c r="E3" i="2" s="1"/>
  <c r="B4" i="2"/>
  <c r="C4" i="2"/>
  <c r="D4" i="2" s="1"/>
  <c r="E4" i="2" s="1"/>
  <c r="B5" i="2"/>
  <c r="C5" i="2"/>
  <c r="D5" i="2" s="1"/>
  <c r="E5" i="2" s="1"/>
  <c r="B6" i="2"/>
  <c r="C6" i="2"/>
  <c r="D6" i="2"/>
  <c r="E6" i="2"/>
  <c r="B7" i="2"/>
  <c r="C7" i="2"/>
  <c r="D7" i="2"/>
  <c r="E7" i="2"/>
  <c r="B8" i="2"/>
  <c r="C8" i="2"/>
  <c r="D8" i="2"/>
  <c r="E8" i="2"/>
  <c r="B9" i="2"/>
  <c r="C9" i="2"/>
  <c r="D9" i="2" s="1"/>
  <c r="E9" i="2" s="1"/>
  <c r="B10" i="2"/>
  <c r="C10" i="2"/>
  <c r="D10" i="2" s="1"/>
  <c r="E10" i="2" s="1"/>
  <c r="B11" i="2"/>
  <c r="C11" i="2"/>
  <c r="D11" i="2" s="1"/>
  <c r="E11" i="2" s="1"/>
  <c r="B12" i="2"/>
  <c r="C12" i="2"/>
  <c r="D12" i="2"/>
  <c r="E12" i="2"/>
  <c r="B13" i="2"/>
  <c r="C13" i="2"/>
  <c r="D13" i="2" s="1"/>
  <c r="E13" i="2" s="1"/>
  <c r="B14" i="2"/>
  <c r="C14" i="2"/>
  <c r="D14" i="2"/>
  <c r="E14" i="2"/>
  <c r="B15" i="2"/>
  <c r="C15" i="2"/>
  <c r="D15" i="2" s="1"/>
  <c r="E15" i="2" s="1"/>
  <c r="B16" i="2"/>
  <c r="C16" i="2"/>
  <c r="D16" i="2" s="1"/>
  <c r="E16" i="2" s="1"/>
  <c r="B17" i="2"/>
  <c r="C17" i="2"/>
  <c r="D17" i="2" s="1"/>
  <c r="E17" i="2" s="1"/>
  <c r="B18" i="2"/>
  <c r="C18" i="2"/>
  <c r="D18" i="2"/>
  <c r="E18" i="2"/>
  <c r="B19" i="2"/>
  <c r="C19" i="2"/>
  <c r="D19" i="2"/>
  <c r="E19" i="2"/>
  <c r="B20" i="2"/>
  <c r="C20" i="2"/>
  <c r="D20" i="2"/>
  <c r="E20" i="2"/>
  <c r="B21" i="2"/>
  <c r="C21" i="2"/>
  <c r="D21" i="2" s="1"/>
  <c r="E21" i="2" s="1"/>
  <c r="C2" i="2"/>
  <c r="B2" i="2"/>
  <c r="D2" i="34"/>
  <c r="F2" i="34" s="1"/>
  <c r="C2" i="34"/>
  <c r="E2" i="34" s="1"/>
  <c r="B2" i="34"/>
  <c r="C22" i="32"/>
  <c r="B78" i="31"/>
  <c r="C78" i="31"/>
  <c r="D78" i="31"/>
  <c r="E78" i="31"/>
  <c r="F78" i="31"/>
  <c r="B79" i="31"/>
  <c r="C79" i="31"/>
  <c r="D79" i="31"/>
  <c r="E79" i="31"/>
  <c r="F79" i="31"/>
  <c r="G79" i="31"/>
  <c r="H79" i="31"/>
  <c r="I79" i="31"/>
  <c r="B80" i="31"/>
  <c r="C80" i="31"/>
  <c r="D80" i="31"/>
  <c r="E80" i="31"/>
  <c r="F80" i="31"/>
  <c r="G80" i="31"/>
  <c r="H80" i="31"/>
  <c r="I80" i="31"/>
  <c r="B81" i="31"/>
  <c r="C81" i="31"/>
  <c r="D81" i="31"/>
  <c r="E81" i="31"/>
  <c r="F81" i="31"/>
  <c r="G81" i="31" s="1"/>
  <c r="H81" i="31"/>
  <c r="B82" i="31"/>
  <c r="C82" i="31"/>
  <c r="D82" i="31"/>
  <c r="F82" i="31" s="1"/>
  <c r="E82" i="31"/>
  <c r="G82" i="31"/>
  <c r="H82" i="31" s="1"/>
  <c r="I82" i="31" s="1"/>
  <c r="B83" i="31"/>
  <c r="C83" i="31"/>
  <c r="D83" i="31"/>
  <c r="E83" i="31"/>
  <c r="F83" i="31"/>
  <c r="G83" i="31"/>
  <c r="H83" i="31"/>
  <c r="I83" i="31"/>
  <c r="B84" i="31"/>
  <c r="C84" i="31"/>
  <c r="D84" i="31"/>
  <c r="E84" i="31"/>
  <c r="F84" i="31"/>
  <c r="G84" i="31" s="1"/>
  <c r="H84" i="31"/>
  <c r="I84" i="31"/>
  <c r="B85" i="31"/>
  <c r="C85" i="31"/>
  <c r="D85" i="31"/>
  <c r="F85" i="31" s="1"/>
  <c r="E85" i="31"/>
  <c r="B86" i="31"/>
  <c r="C86" i="31"/>
  <c r="D86" i="31"/>
  <c r="E86" i="31"/>
  <c r="F86" i="31"/>
  <c r="G86" i="31"/>
  <c r="H86" i="31" s="1"/>
  <c r="B87" i="31"/>
  <c r="C87" i="31"/>
  <c r="D87" i="31"/>
  <c r="E87" i="31"/>
  <c r="F87" i="31"/>
  <c r="G87" i="31" s="1"/>
  <c r="H87" i="31"/>
  <c r="I87" i="31"/>
  <c r="B88" i="31"/>
  <c r="G88" i="31" s="1"/>
  <c r="H88" i="31" s="1"/>
  <c r="C88" i="31"/>
  <c r="D88" i="31"/>
  <c r="E88" i="31"/>
  <c r="F88" i="31"/>
  <c r="I88" i="31"/>
  <c r="B89" i="31"/>
  <c r="C89" i="31"/>
  <c r="D89" i="31"/>
  <c r="F89" i="31" s="1"/>
  <c r="G89" i="31" s="1"/>
  <c r="H89" i="31" s="1"/>
  <c r="E89" i="31"/>
  <c r="I89" i="31"/>
  <c r="B90" i="31"/>
  <c r="C90" i="31"/>
  <c r="D90" i="31"/>
  <c r="E90" i="31"/>
  <c r="I90" i="31" s="1"/>
  <c r="F90" i="31"/>
  <c r="G90" i="31" s="1"/>
  <c r="H90" i="31"/>
  <c r="B91" i="31"/>
  <c r="C91" i="31"/>
  <c r="D91" i="31"/>
  <c r="E91" i="31"/>
  <c r="F91" i="31"/>
  <c r="B92" i="31"/>
  <c r="C92" i="31"/>
  <c r="D92" i="31"/>
  <c r="F92" i="31" s="1"/>
  <c r="E92" i="31"/>
  <c r="B93" i="31"/>
  <c r="C93" i="31"/>
  <c r="D93" i="31"/>
  <c r="E93" i="31"/>
  <c r="F93" i="31"/>
  <c r="G93" i="31" s="1"/>
  <c r="H93" i="31" s="1"/>
  <c r="B94" i="31"/>
  <c r="C94" i="31"/>
  <c r="D94" i="31"/>
  <c r="F94" i="31" s="1"/>
  <c r="G94" i="31" s="1"/>
  <c r="H94" i="31" s="1"/>
  <c r="E94" i="31"/>
  <c r="B95" i="31"/>
  <c r="C95" i="31"/>
  <c r="D95" i="31"/>
  <c r="F95" i="31" s="1"/>
  <c r="B96" i="31"/>
  <c r="C96" i="31"/>
  <c r="G96" i="31" s="1"/>
  <c r="D96" i="31"/>
  <c r="E96" i="31"/>
  <c r="I96" i="31" s="1"/>
  <c r="F96" i="31"/>
  <c r="H96" i="31"/>
  <c r="B97" i="31"/>
  <c r="C97" i="31"/>
  <c r="D97" i="31"/>
  <c r="F97" i="31" s="1"/>
  <c r="E97" i="31"/>
  <c r="G97" i="31"/>
  <c r="H97" i="31" s="1"/>
  <c r="B98" i="31"/>
  <c r="C98" i="31"/>
  <c r="D98" i="31"/>
  <c r="F98" i="31" s="1"/>
  <c r="G98" i="31" s="1"/>
  <c r="H98" i="31" s="1"/>
  <c r="E98" i="31"/>
  <c r="B99" i="31"/>
  <c r="C99" i="31"/>
  <c r="G99" i="31" s="1"/>
  <c r="H99" i="31" s="1"/>
  <c r="D99" i="31"/>
  <c r="E99" i="31"/>
  <c r="F99" i="31"/>
  <c r="I99" i="31"/>
  <c r="B100" i="31"/>
  <c r="C100" i="31"/>
  <c r="D100" i="31"/>
  <c r="E100" i="31"/>
  <c r="F100" i="31"/>
  <c r="G100" i="31" s="1"/>
  <c r="H100" i="31"/>
  <c r="I100" i="31"/>
  <c r="B101" i="31"/>
  <c r="G101" i="31" s="1"/>
  <c r="H101" i="31" s="1"/>
  <c r="I101" i="31" s="1"/>
  <c r="C101" i="31"/>
  <c r="D101" i="31"/>
  <c r="E101" i="31"/>
  <c r="F101" i="31"/>
  <c r="B102" i="31"/>
  <c r="C102" i="31"/>
  <c r="D102" i="31"/>
  <c r="E102" i="31"/>
  <c r="F102" i="31"/>
  <c r="B103" i="31"/>
  <c r="C103" i="31"/>
  <c r="D103" i="31"/>
  <c r="E103" i="31"/>
  <c r="F103" i="31"/>
  <c r="G103" i="31"/>
  <c r="H103" i="31" s="1"/>
  <c r="I103" i="31"/>
  <c r="B104" i="31"/>
  <c r="C104" i="31"/>
  <c r="E104" i="31" s="1"/>
  <c r="D104" i="31"/>
  <c r="F104" i="31"/>
  <c r="G104" i="31"/>
  <c r="H104" i="31"/>
  <c r="I104" i="31"/>
  <c r="B105" i="31"/>
  <c r="C105" i="31"/>
  <c r="G105" i="31" s="1"/>
  <c r="H105" i="31" s="1"/>
  <c r="I105" i="31" s="1"/>
  <c r="D105" i="31"/>
  <c r="E105" i="31"/>
  <c r="F105" i="31"/>
  <c r="B106" i="31"/>
  <c r="G106" i="31" s="1"/>
  <c r="H106" i="31" s="1"/>
  <c r="C106" i="31"/>
  <c r="D106" i="31"/>
  <c r="E106" i="31"/>
  <c r="F106" i="31"/>
  <c r="B107" i="31"/>
  <c r="C107" i="31"/>
  <c r="E107" i="31" s="1"/>
  <c r="D107" i="31"/>
  <c r="F107" i="31" s="1"/>
  <c r="G107" i="31"/>
  <c r="H107" i="31"/>
  <c r="I107" i="31"/>
  <c r="B108" i="31"/>
  <c r="C108" i="31"/>
  <c r="D108" i="31"/>
  <c r="E108" i="31"/>
  <c r="F108" i="31"/>
  <c r="B109" i="31"/>
  <c r="C109" i="31"/>
  <c r="D109" i="31"/>
  <c r="F109" i="31" s="1"/>
  <c r="E109" i="31"/>
  <c r="B110" i="31"/>
  <c r="C110" i="31"/>
  <c r="E110" i="31" s="1"/>
  <c r="D110" i="31"/>
  <c r="F110" i="31" s="1"/>
  <c r="B111" i="31"/>
  <c r="C111" i="31"/>
  <c r="D111" i="31"/>
  <c r="E111" i="31"/>
  <c r="F111" i="31"/>
  <c r="B112" i="31"/>
  <c r="C112" i="31"/>
  <c r="D112" i="31"/>
  <c r="F112" i="31" s="1"/>
  <c r="E112" i="31"/>
  <c r="B113" i="31"/>
  <c r="C113" i="31"/>
  <c r="D113" i="31"/>
  <c r="E113" i="31"/>
  <c r="F113" i="31"/>
  <c r="B114" i="31"/>
  <c r="C114" i="31"/>
  <c r="G114" i="31" s="1"/>
  <c r="D114" i="31"/>
  <c r="E114" i="31"/>
  <c r="F114" i="31"/>
  <c r="H114" i="31"/>
  <c r="I114" i="31"/>
  <c r="B115" i="31"/>
  <c r="C115" i="31"/>
  <c r="D115" i="31"/>
  <c r="E115" i="31"/>
  <c r="F115" i="31"/>
  <c r="B116" i="31"/>
  <c r="C116" i="31"/>
  <c r="D116" i="31"/>
  <c r="E116" i="31"/>
  <c r="F116" i="31"/>
  <c r="G116" i="31"/>
  <c r="H116" i="31" s="1"/>
  <c r="B117" i="31"/>
  <c r="C117" i="31"/>
  <c r="D117" i="31"/>
  <c r="E117" i="31"/>
  <c r="F117" i="31"/>
  <c r="B118" i="31"/>
  <c r="C118" i="31"/>
  <c r="D118" i="31"/>
  <c r="E118" i="31"/>
  <c r="F118" i="31"/>
  <c r="G118" i="31"/>
  <c r="H118" i="31" s="1"/>
  <c r="B119" i="31"/>
  <c r="C119" i="31"/>
  <c r="E119" i="31" s="1"/>
  <c r="D119" i="31"/>
  <c r="F119" i="31"/>
  <c r="G119" i="31" s="1"/>
  <c r="H119" i="31" s="1"/>
  <c r="B120" i="31"/>
  <c r="C120" i="31"/>
  <c r="D120" i="31"/>
  <c r="E120" i="31"/>
  <c r="F120" i="31"/>
  <c r="B121" i="31"/>
  <c r="C121" i="31"/>
  <c r="D121" i="31"/>
  <c r="F121" i="31" s="1"/>
  <c r="G121" i="31" s="1"/>
  <c r="E121" i="31"/>
  <c r="H121" i="31"/>
  <c r="B122" i="31"/>
  <c r="C122" i="31"/>
  <c r="D122" i="31"/>
  <c r="F122" i="31" s="1"/>
  <c r="E122" i="31"/>
  <c r="G122" i="31"/>
  <c r="H122" i="31" s="1"/>
  <c r="I122" i="31" s="1"/>
  <c r="B123" i="31"/>
  <c r="C123" i="31"/>
  <c r="D123" i="31"/>
  <c r="E123" i="31"/>
  <c r="F123" i="31"/>
  <c r="B124" i="31"/>
  <c r="C124" i="31"/>
  <c r="D124" i="31"/>
  <c r="E124" i="31"/>
  <c r="F124" i="31"/>
  <c r="G124" i="31"/>
  <c r="H124" i="31" s="1"/>
  <c r="B125" i="31"/>
  <c r="C125" i="31"/>
  <c r="G125" i="31" s="1"/>
  <c r="D125" i="31"/>
  <c r="E125" i="31"/>
  <c r="F125" i="31"/>
  <c r="H125" i="31"/>
  <c r="I125" i="31" s="1"/>
  <c r="B126" i="31"/>
  <c r="C126" i="31"/>
  <c r="D126" i="31"/>
  <c r="E126" i="31"/>
  <c r="F126" i="31"/>
  <c r="B127" i="31"/>
  <c r="G127" i="31" s="1"/>
  <c r="H127" i="31" s="1"/>
  <c r="C127" i="31"/>
  <c r="D127" i="31"/>
  <c r="F127" i="31" s="1"/>
  <c r="E127" i="31"/>
  <c r="I127" i="31"/>
  <c r="B128" i="31"/>
  <c r="C128" i="31"/>
  <c r="D128" i="31"/>
  <c r="E128" i="31"/>
  <c r="F128" i="31"/>
  <c r="G128" i="31"/>
  <c r="H128" i="31" s="1"/>
  <c r="I128" i="31"/>
  <c r="B129" i="31"/>
  <c r="C129" i="31"/>
  <c r="D129" i="31"/>
  <c r="E129" i="31"/>
  <c r="F129" i="31"/>
  <c r="B130" i="31"/>
  <c r="C130" i="31"/>
  <c r="D130" i="31"/>
  <c r="F130" i="31" s="1"/>
  <c r="E130" i="31"/>
  <c r="B131" i="31"/>
  <c r="C131" i="31"/>
  <c r="E131" i="31" s="1"/>
  <c r="D131" i="31"/>
  <c r="F131" i="31"/>
  <c r="B132" i="31"/>
  <c r="C132" i="31"/>
  <c r="G132" i="31" s="1"/>
  <c r="D132" i="31"/>
  <c r="E132" i="31"/>
  <c r="F132" i="31"/>
  <c r="H132" i="31"/>
  <c r="I132" i="31"/>
  <c r="B133" i="31"/>
  <c r="C133" i="31"/>
  <c r="D133" i="31"/>
  <c r="E133" i="31"/>
  <c r="F133" i="31"/>
  <c r="B134" i="31"/>
  <c r="C134" i="31"/>
  <c r="E134" i="31" s="1"/>
  <c r="D134" i="31"/>
  <c r="F134" i="31" s="1"/>
  <c r="B135" i="31"/>
  <c r="C135" i="31"/>
  <c r="G135" i="31" s="1"/>
  <c r="H135" i="31" s="1"/>
  <c r="D135" i="31"/>
  <c r="E135" i="31"/>
  <c r="I135" i="31" s="1"/>
  <c r="F135" i="31"/>
  <c r="B136" i="31"/>
  <c r="C136" i="31"/>
  <c r="D136" i="31"/>
  <c r="E136" i="31"/>
  <c r="F136" i="31"/>
  <c r="G136" i="31"/>
  <c r="H136" i="31"/>
  <c r="I136" i="31"/>
  <c r="B137" i="31"/>
  <c r="C137" i="31"/>
  <c r="D137" i="31"/>
  <c r="F137" i="31" s="1"/>
  <c r="E137" i="31"/>
  <c r="B138" i="31"/>
  <c r="C138" i="31"/>
  <c r="D138" i="31"/>
  <c r="E138" i="31"/>
  <c r="F138" i="31"/>
  <c r="B139" i="31"/>
  <c r="C139" i="31"/>
  <c r="D139" i="31"/>
  <c r="F139" i="31" s="1"/>
  <c r="G139" i="31" s="1"/>
  <c r="H139" i="31" s="1"/>
  <c r="E139" i="31"/>
  <c r="B140" i="31"/>
  <c r="C140" i="31"/>
  <c r="D140" i="31"/>
  <c r="E140" i="31"/>
  <c r="F140" i="31"/>
  <c r="B141" i="31"/>
  <c r="C141" i="31"/>
  <c r="D141" i="31"/>
  <c r="E141" i="31"/>
  <c r="F141" i="31"/>
  <c r="B142" i="31"/>
  <c r="C142" i="31"/>
  <c r="D142" i="31"/>
  <c r="E142" i="31"/>
  <c r="F142" i="31"/>
  <c r="G142" i="31" s="1"/>
  <c r="H142" i="31" s="1"/>
  <c r="B143" i="31"/>
  <c r="C143" i="31"/>
  <c r="D143" i="31"/>
  <c r="E143" i="31"/>
  <c r="F143" i="31"/>
  <c r="G143" i="31"/>
  <c r="H143" i="31" s="1"/>
  <c r="B144" i="31"/>
  <c r="C144" i="31"/>
  <c r="D144" i="31"/>
  <c r="E144" i="31"/>
  <c r="F144" i="31"/>
  <c r="B145" i="31"/>
  <c r="C145" i="31"/>
  <c r="D145" i="31"/>
  <c r="F145" i="31" s="1"/>
  <c r="G145" i="31" s="1"/>
  <c r="H145" i="31" s="1"/>
  <c r="E145" i="31"/>
  <c r="I145" i="31"/>
  <c r="B146" i="31"/>
  <c r="C146" i="31"/>
  <c r="D146" i="31"/>
  <c r="F146" i="31" s="1"/>
  <c r="G146" i="31" s="1"/>
  <c r="H146" i="31" s="1"/>
  <c r="E146" i="31"/>
  <c r="B147" i="31"/>
  <c r="C147" i="31"/>
  <c r="G147" i="31" s="1"/>
  <c r="D147" i="31"/>
  <c r="E147" i="31"/>
  <c r="I147" i="31" s="1"/>
  <c r="F147" i="31"/>
  <c r="H147" i="31"/>
  <c r="B148" i="31"/>
  <c r="C148" i="31"/>
  <c r="D148" i="31"/>
  <c r="E148" i="31"/>
  <c r="F148" i="31"/>
  <c r="B149" i="31"/>
  <c r="C149" i="31"/>
  <c r="E149" i="31" s="1"/>
  <c r="D149" i="31"/>
  <c r="F149" i="31"/>
  <c r="G149" i="31"/>
  <c r="H149" i="31" s="1"/>
  <c r="B150" i="31"/>
  <c r="C150" i="31"/>
  <c r="D150" i="31"/>
  <c r="E150" i="31"/>
  <c r="F150" i="31"/>
  <c r="B151" i="31"/>
  <c r="C151" i="31"/>
  <c r="D151" i="31"/>
  <c r="E151" i="31"/>
  <c r="F151" i="31"/>
  <c r="G151" i="31" s="1"/>
  <c r="H151" i="31" s="1"/>
  <c r="B152" i="31"/>
  <c r="C152" i="31"/>
  <c r="G152" i="31" s="1"/>
  <c r="H152" i="31" s="1"/>
  <c r="I152" i="31" s="1"/>
  <c r="D152" i="31"/>
  <c r="F152" i="31" s="1"/>
  <c r="E152" i="31"/>
  <c r="B153" i="31"/>
  <c r="C153" i="31"/>
  <c r="D153" i="31"/>
  <c r="E153" i="31"/>
  <c r="F153" i="31"/>
  <c r="B154" i="31"/>
  <c r="C154" i="31"/>
  <c r="D154" i="31"/>
  <c r="F154" i="31" s="1"/>
  <c r="E154" i="31"/>
  <c r="G154" i="31"/>
  <c r="H154" i="31" s="1"/>
  <c r="B155" i="31"/>
  <c r="C155" i="31"/>
  <c r="E155" i="31" s="1"/>
  <c r="D155" i="31"/>
  <c r="F155" i="31"/>
  <c r="B156" i="31"/>
  <c r="C156" i="31"/>
  <c r="G156" i="31" s="1"/>
  <c r="D156" i="31"/>
  <c r="E156" i="31"/>
  <c r="F156" i="31"/>
  <c r="H156" i="31"/>
  <c r="I156" i="31"/>
  <c r="B157" i="31"/>
  <c r="C157" i="31"/>
  <c r="D157" i="31"/>
  <c r="F157" i="31" s="1"/>
  <c r="G157" i="31" s="1"/>
  <c r="E157" i="31"/>
  <c r="H157" i="31"/>
  <c r="I157" i="31"/>
  <c r="B158" i="31"/>
  <c r="C158" i="31"/>
  <c r="D158" i="31"/>
  <c r="E158" i="31"/>
  <c r="F158" i="31"/>
  <c r="B159" i="31"/>
  <c r="C159" i="31"/>
  <c r="G159" i="31" s="1"/>
  <c r="D159" i="31"/>
  <c r="E159" i="31"/>
  <c r="F159" i="31"/>
  <c r="H159" i="31"/>
  <c r="I159" i="31" s="1"/>
  <c r="B160" i="31"/>
  <c r="C160" i="31"/>
  <c r="D160" i="31"/>
  <c r="F160" i="31" s="1"/>
  <c r="E160" i="31"/>
  <c r="B161" i="31"/>
  <c r="C161" i="31"/>
  <c r="D161" i="31"/>
  <c r="E161" i="31"/>
  <c r="F161" i="31"/>
  <c r="G161" i="31"/>
  <c r="H161" i="31"/>
  <c r="I161" i="31"/>
  <c r="B162" i="31"/>
  <c r="C162" i="31"/>
  <c r="G162" i="31" s="1"/>
  <c r="H162" i="31" s="1"/>
  <c r="D162" i="31"/>
  <c r="E162" i="31"/>
  <c r="I162" i="31" s="1"/>
  <c r="F162" i="31"/>
  <c r="B163" i="31"/>
  <c r="C163" i="31"/>
  <c r="D163" i="31"/>
  <c r="E163" i="31"/>
  <c r="F163" i="31"/>
  <c r="G163" i="31"/>
  <c r="H163" i="31" s="1"/>
  <c r="B164" i="31"/>
  <c r="C164" i="31"/>
  <c r="E164" i="31" s="1"/>
  <c r="I164" i="31" s="1"/>
  <c r="D164" i="31"/>
  <c r="F164" i="31"/>
  <c r="G164" i="31"/>
  <c r="H164" i="31"/>
  <c r="B165" i="31"/>
  <c r="C165" i="31"/>
  <c r="G165" i="31" s="1"/>
  <c r="H165" i="31" s="1"/>
  <c r="D165" i="31"/>
  <c r="E165" i="31"/>
  <c r="I165" i="31" s="1"/>
  <c r="F165" i="31"/>
  <c r="B166" i="31"/>
  <c r="C166" i="31"/>
  <c r="D166" i="31"/>
  <c r="F166" i="31" s="1"/>
  <c r="G166" i="31" s="1"/>
  <c r="H166" i="31" s="1"/>
  <c r="E166" i="31"/>
  <c r="I166" i="31" s="1"/>
  <c r="B167" i="31"/>
  <c r="C167" i="31"/>
  <c r="D167" i="31"/>
  <c r="E167" i="31"/>
  <c r="F167" i="31"/>
  <c r="G167" i="31" s="1"/>
  <c r="H167" i="31" s="1"/>
  <c r="B168" i="31"/>
  <c r="C168" i="31"/>
  <c r="D168" i="31"/>
  <c r="E168" i="31"/>
  <c r="F168" i="31"/>
  <c r="B169" i="31"/>
  <c r="C169" i="31"/>
  <c r="D169" i="31"/>
  <c r="F169" i="31" s="1"/>
  <c r="E169" i="31"/>
  <c r="G169" i="31"/>
  <c r="H169" i="31"/>
  <c r="I169" i="31"/>
  <c r="B170" i="31"/>
  <c r="C170" i="31"/>
  <c r="D170" i="31"/>
  <c r="F170" i="31" s="1"/>
  <c r="G170" i="31" s="1"/>
  <c r="H170" i="31" s="1"/>
  <c r="E170" i="31"/>
  <c r="I170" i="31" s="1"/>
  <c r="B171" i="31"/>
  <c r="C171" i="31"/>
  <c r="D171" i="31"/>
  <c r="F171" i="31" s="1"/>
  <c r="E171" i="31"/>
  <c r="B172" i="31"/>
  <c r="C172" i="31"/>
  <c r="D172" i="31"/>
  <c r="F172" i="31" s="1"/>
  <c r="G172" i="31" s="1"/>
  <c r="H172" i="31" s="1"/>
  <c r="E172" i="31"/>
  <c r="I172" i="31" s="1"/>
  <c r="B173" i="31"/>
  <c r="C173" i="31"/>
  <c r="D173" i="31"/>
  <c r="E173" i="31"/>
  <c r="F173" i="31"/>
  <c r="G173" i="31"/>
  <c r="H173" i="31" s="1"/>
  <c r="B174" i="31"/>
  <c r="C174" i="31"/>
  <c r="D174" i="31"/>
  <c r="E174" i="31"/>
  <c r="F174" i="31"/>
  <c r="B175" i="31"/>
  <c r="C175" i="31"/>
  <c r="D175" i="31"/>
  <c r="E175" i="31"/>
  <c r="F175" i="31"/>
  <c r="G175" i="31"/>
  <c r="H175" i="31" s="1"/>
  <c r="B176" i="31"/>
  <c r="C176" i="31"/>
  <c r="E176" i="31" s="1"/>
  <c r="D176" i="31"/>
  <c r="F176" i="31"/>
  <c r="B177" i="31"/>
  <c r="C177" i="31"/>
  <c r="D177" i="31"/>
  <c r="E177" i="31"/>
  <c r="F177" i="31"/>
  <c r="B178" i="31"/>
  <c r="C178" i="31"/>
  <c r="D178" i="31"/>
  <c r="E178" i="31"/>
  <c r="F178" i="31"/>
  <c r="B179" i="31"/>
  <c r="C179" i="31"/>
  <c r="E179" i="31" s="1"/>
  <c r="D179" i="31"/>
  <c r="F179" i="31" s="1"/>
  <c r="B180" i="31"/>
  <c r="C180" i="31"/>
  <c r="D180" i="31"/>
  <c r="E180" i="31"/>
  <c r="F180" i="31"/>
  <c r="B181" i="31"/>
  <c r="C181" i="31"/>
  <c r="D181" i="31"/>
  <c r="F181" i="31" s="1"/>
  <c r="E181" i="31"/>
  <c r="G181" i="31"/>
  <c r="H181" i="31"/>
  <c r="I181" i="31"/>
  <c r="B182" i="31"/>
  <c r="C182" i="31"/>
  <c r="D182" i="31"/>
  <c r="F182" i="31" s="1"/>
  <c r="E182" i="31"/>
  <c r="B183" i="31"/>
  <c r="C183" i="31"/>
  <c r="D183" i="31"/>
  <c r="E183" i="31"/>
  <c r="F183" i="31"/>
  <c r="B184" i="31"/>
  <c r="G184" i="31" s="1"/>
  <c r="C184" i="31"/>
  <c r="D184" i="31"/>
  <c r="F184" i="31" s="1"/>
  <c r="E184" i="31"/>
  <c r="H184" i="31"/>
  <c r="I184" i="31"/>
  <c r="B185" i="31"/>
  <c r="C185" i="31"/>
  <c r="D185" i="31"/>
  <c r="E185" i="31"/>
  <c r="F185" i="31"/>
  <c r="B186" i="31"/>
  <c r="C186" i="31"/>
  <c r="D186" i="31"/>
  <c r="E186" i="31"/>
  <c r="F186" i="31"/>
  <c r="B187" i="31"/>
  <c r="C187" i="31"/>
  <c r="D187" i="31"/>
  <c r="F187" i="31" s="1"/>
  <c r="E187" i="31"/>
  <c r="B188" i="31"/>
  <c r="C188" i="31"/>
  <c r="D188" i="31"/>
  <c r="E188" i="31"/>
  <c r="F188" i="31"/>
  <c r="G188" i="31" s="1"/>
  <c r="H188" i="31" s="1"/>
  <c r="B189" i="31"/>
  <c r="C189" i="31"/>
  <c r="D189" i="31"/>
  <c r="E189" i="31"/>
  <c r="F189" i="31"/>
  <c r="B190" i="31"/>
  <c r="C190" i="31"/>
  <c r="D190" i="31"/>
  <c r="F190" i="31" s="1"/>
  <c r="E190" i="31"/>
  <c r="B191" i="31"/>
  <c r="C191" i="31"/>
  <c r="E191" i="31" s="1"/>
  <c r="D191" i="31"/>
  <c r="F191" i="31"/>
  <c r="B192" i="31"/>
  <c r="C192" i="31"/>
  <c r="D192" i="31"/>
  <c r="E192" i="31"/>
  <c r="F192" i="31"/>
  <c r="B193" i="31"/>
  <c r="C193" i="31"/>
  <c r="D193" i="31"/>
  <c r="F193" i="31" s="1"/>
  <c r="G193" i="31" s="1"/>
  <c r="H193" i="31" s="1"/>
  <c r="E193" i="31"/>
  <c r="B194" i="31"/>
  <c r="C194" i="31"/>
  <c r="D194" i="31"/>
  <c r="F194" i="31" s="1"/>
  <c r="E194" i="31"/>
  <c r="G194" i="31"/>
  <c r="H194" i="31"/>
  <c r="B195" i="31"/>
  <c r="C195" i="31"/>
  <c r="D195" i="31"/>
  <c r="F195" i="31" s="1"/>
  <c r="E195" i="31"/>
  <c r="B196" i="31"/>
  <c r="C196" i="31"/>
  <c r="D196" i="31"/>
  <c r="E196" i="31"/>
  <c r="F196" i="31"/>
  <c r="G196" i="31" s="1"/>
  <c r="H196" i="31" s="1"/>
  <c r="B197" i="31"/>
  <c r="C197" i="31"/>
  <c r="D197" i="31"/>
  <c r="F197" i="31" s="1"/>
  <c r="E197" i="31"/>
  <c r="B198" i="31"/>
  <c r="C198" i="31"/>
  <c r="D198" i="31"/>
  <c r="E198" i="31"/>
  <c r="F198" i="31"/>
  <c r="B199" i="31"/>
  <c r="C199" i="31"/>
  <c r="D199" i="31"/>
  <c r="E199" i="31"/>
  <c r="F199" i="31"/>
  <c r="G199" i="31"/>
  <c r="H199" i="31"/>
  <c r="B200" i="31"/>
  <c r="C200" i="31"/>
  <c r="D200" i="31"/>
  <c r="E200" i="31"/>
  <c r="F200" i="31"/>
  <c r="B201" i="31"/>
  <c r="C201" i="31"/>
  <c r="G201" i="31" s="1"/>
  <c r="H201" i="31" s="1"/>
  <c r="D201" i="31"/>
  <c r="E201" i="31"/>
  <c r="F201" i="31"/>
  <c r="I201" i="31"/>
  <c r="B202" i="31"/>
  <c r="C202" i="31"/>
  <c r="D202" i="31"/>
  <c r="E202" i="31"/>
  <c r="F202" i="31"/>
  <c r="G202" i="31"/>
  <c r="H202" i="31"/>
  <c r="I202" i="31"/>
  <c r="B203" i="31"/>
  <c r="C203" i="31"/>
  <c r="E203" i="31" s="1"/>
  <c r="D203" i="31"/>
  <c r="F203" i="31"/>
  <c r="B204" i="31"/>
  <c r="C204" i="31"/>
  <c r="D204" i="31"/>
  <c r="F204" i="31" s="1"/>
  <c r="E204" i="31"/>
  <c r="B205" i="31"/>
  <c r="C205" i="31"/>
  <c r="D205" i="31"/>
  <c r="F205" i="31" s="1"/>
  <c r="G205" i="31" s="1"/>
  <c r="E205" i="31"/>
  <c r="H205" i="31"/>
  <c r="I205" i="31"/>
  <c r="B206" i="31"/>
  <c r="C206" i="31"/>
  <c r="E206" i="31" s="1"/>
  <c r="D206" i="31"/>
  <c r="F206" i="31" s="1"/>
  <c r="G206" i="31"/>
  <c r="H206" i="31"/>
  <c r="I206" i="31"/>
  <c r="B207" i="31"/>
  <c r="C207" i="31"/>
  <c r="D207" i="31"/>
  <c r="F207" i="31" s="1"/>
  <c r="E207" i="31"/>
  <c r="B208" i="31"/>
  <c r="C208" i="31"/>
  <c r="D208" i="31"/>
  <c r="E208" i="31"/>
  <c r="F208" i="31"/>
  <c r="G208" i="31" s="1"/>
  <c r="H208" i="31" s="1"/>
  <c r="B209" i="31"/>
  <c r="G209" i="31" s="1"/>
  <c r="H209" i="31" s="1"/>
  <c r="C209" i="31"/>
  <c r="D209" i="31"/>
  <c r="F209" i="31" s="1"/>
  <c r="E209" i="31"/>
  <c r="B210" i="31"/>
  <c r="C210" i="31"/>
  <c r="D210" i="31"/>
  <c r="E210" i="31"/>
  <c r="F210" i="31"/>
  <c r="B211" i="31"/>
  <c r="C211" i="31"/>
  <c r="D211" i="31"/>
  <c r="E211" i="31"/>
  <c r="F211" i="31"/>
  <c r="B212" i="31"/>
  <c r="C212" i="31"/>
  <c r="E212" i="31" s="1"/>
  <c r="D212" i="31"/>
  <c r="F212" i="31"/>
  <c r="B213" i="31"/>
  <c r="C213" i="31"/>
  <c r="D213" i="31"/>
  <c r="E213" i="31"/>
  <c r="F213" i="31"/>
  <c r="B214" i="31"/>
  <c r="C214" i="31"/>
  <c r="D214" i="31"/>
  <c r="E214" i="31"/>
  <c r="F214" i="31"/>
  <c r="G214" i="31"/>
  <c r="H214" i="31"/>
  <c r="I214" i="31"/>
  <c r="B215" i="31"/>
  <c r="C215" i="31"/>
  <c r="D215" i="31"/>
  <c r="E215" i="31"/>
  <c r="F215" i="31"/>
  <c r="G215" i="31"/>
  <c r="H215" i="31" s="1"/>
  <c r="B216" i="31"/>
  <c r="C216" i="31"/>
  <c r="D216" i="31"/>
  <c r="F216" i="31" s="1"/>
  <c r="E216" i="31"/>
  <c r="B217" i="31"/>
  <c r="C217" i="31"/>
  <c r="D217" i="31"/>
  <c r="E217" i="31"/>
  <c r="F217" i="31"/>
  <c r="G217" i="31"/>
  <c r="H217" i="31" s="1"/>
  <c r="B218" i="31"/>
  <c r="C218" i="31"/>
  <c r="D218" i="31"/>
  <c r="F218" i="31" s="1"/>
  <c r="E218" i="31"/>
  <c r="B219" i="31"/>
  <c r="C219" i="31"/>
  <c r="G219" i="31" s="1"/>
  <c r="H219" i="31" s="1"/>
  <c r="D219" i="31"/>
  <c r="F219" i="31" s="1"/>
  <c r="E219" i="31"/>
  <c r="I219" i="31"/>
  <c r="B220" i="31"/>
  <c r="C220" i="31"/>
  <c r="D220" i="31"/>
  <c r="E220" i="31"/>
  <c r="F220" i="31"/>
  <c r="G220" i="31" s="1"/>
  <c r="H220" i="31" s="1"/>
  <c r="B221" i="31"/>
  <c r="G221" i="31" s="1"/>
  <c r="H221" i="31" s="1"/>
  <c r="C221" i="31"/>
  <c r="D221" i="31"/>
  <c r="E221" i="31"/>
  <c r="F221" i="31"/>
  <c r="B222" i="31"/>
  <c r="C222" i="31"/>
  <c r="D222" i="31"/>
  <c r="F222" i="31" s="1"/>
  <c r="E222" i="31"/>
  <c r="B223" i="31"/>
  <c r="C223" i="31"/>
  <c r="D223" i="31"/>
  <c r="E223" i="31"/>
  <c r="F223" i="31"/>
  <c r="G223" i="31"/>
  <c r="H223" i="31" s="1"/>
  <c r="I223" i="31" s="1"/>
  <c r="B224" i="31"/>
  <c r="G224" i="31" s="1"/>
  <c r="H224" i="31" s="1"/>
  <c r="C224" i="31"/>
  <c r="D224" i="31"/>
  <c r="E224" i="31"/>
  <c r="I224" i="31" s="1"/>
  <c r="F224" i="31"/>
  <c r="B225" i="31"/>
  <c r="C225" i="31"/>
  <c r="D225" i="31"/>
  <c r="E225" i="31"/>
  <c r="F225" i="31"/>
  <c r="B226" i="31"/>
  <c r="C226" i="31"/>
  <c r="D226" i="31"/>
  <c r="F226" i="31" s="1"/>
  <c r="G226" i="31" s="1"/>
  <c r="E226" i="31"/>
  <c r="H226" i="31"/>
  <c r="I226" i="31"/>
  <c r="B227" i="31"/>
  <c r="C227" i="31"/>
  <c r="E227" i="31" s="1"/>
  <c r="D227" i="31"/>
  <c r="F227" i="31" s="1"/>
  <c r="B228" i="31"/>
  <c r="C228" i="31"/>
  <c r="G228" i="31" s="1"/>
  <c r="H228" i="31" s="1"/>
  <c r="I228" i="31" s="1"/>
  <c r="D228" i="31"/>
  <c r="E228" i="31"/>
  <c r="F228" i="31"/>
  <c r="B229" i="31"/>
  <c r="C229" i="31"/>
  <c r="D229" i="31"/>
  <c r="F229" i="31" s="1"/>
  <c r="E229" i="31"/>
  <c r="G229" i="31"/>
  <c r="H229" i="31" s="1"/>
  <c r="B230" i="31"/>
  <c r="C230" i="31"/>
  <c r="D230" i="31"/>
  <c r="E230" i="31"/>
  <c r="F230" i="31"/>
  <c r="G230" i="31"/>
  <c r="H230" i="31"/>
  <c r="I230" i="31"/>
  <c r="B231" i="31"/>
  <c r="C231" i="31"/>
  <c r="D231" i="31"/>
  <c r="F231" i="31" s="1"/>
  <c r="E231" i="31"/>
  <c r="B232" i="31"/>
  <c r="C232" i="31"/>
  <c r="D232" i="31"/>
  <c r="F232" i="31" s="1"/>
  <c r="E232" i="31"/>
  <c r="B233" i="31"/>
  <c r="C233" i="31"/>
  <c r="D233" i="31"/>
  <c r="E233" i="31"/>
  <c r="F233" i="31"/>
  <c r="G233" i="31"/>
  <c r="H233" i="31"/>
  <c r="I233" i="31"/>
  <c r="B234" i="31"/>
  <c r="C234" i="31"/>
  <c r="D234" i="31"/>
  <c r="F234" i="31" s="1"/>
  <c r="E234" i="31"/>
  <c r="B235" i="31"/>
  <c r="C235" i="31"/>
  <c r="E235" i="31" s="1"/>
  <c r="D235" i="31"/>
  <c r="F235" i="31"/>
  <c r="B236" i="31"/>
  <c r="G236" i="31" s="1"/>
  <c r="H236" i="31" s="1"/>
  <c r="I236" i="31" s="1"/>
  <c r="C236" i="31"/>
  <c r="D236" i="31"/>
  <c r="E236" i="31"/>
  <c r="F236" i="31"/>
  <c r="B237" i="31"/>
  <c r="C237" i="31"/>
  <c r="D237" i="31"/>
  <c r="F237" i="31" s="1"/>
  <c r="E237" i="31"/>
  <c r="B238" i="31"/>
  <c r="C238" i="31"/>
  <c r="E238" i="31" s="1"/>
  <c r="D238" i="31"/>
  <c r="F238" i="31"/>
  <c r="G238" i="31"/>
  <c r="H238" i="31"/>
  <c r="B239" i="31"/>
  <c r="C239" i="31"/>
  <c r="D239" i="31"/>
  <c r="E239" i="31"/>
  <c r="F239" i="31"/>
  <c r="G239" i="31"/>
  <c r="H239" i="31" s="1"/>
  <c r="B240" i="31"/>
  <c r="C240" i="31"/>
  <c r="G240" i="31" s="1"/>
  <c r="H240" i="31" s="1"/>
  <c r="D240" i="31"/>
  <c r="E240" i="31"/>
  <c r="F240" i="31"/>
  <c r="B241" i="31"/>
  <c r="C241" i="31"/>
  <c r="D241" i="31"/>
  <c r="F241" i="31" s="1"/>
  <c r="E241" i="31"/>
  <c r="G241" i="31"/>
  <c r="H241" i="31" s="1"/>
  <c r="B242" i="31"/>
  <c r="C242" i="31"/>
  <c r="D242" i="31"/>
  <c r="F242" i="31" s="1"/>
  <c r="E242" i="31"/>
  <c r="B243" i="31"/>
  <c r="C243" i="31"/>
  <c r="D243" i="31"/>
  <c r="E243" i="31"/>
  <c r="F243" i="31"/>
  <c r="B244" i="31"/>
  <c r="C244" i="31"/>
  <c r="D244" i="31"/>
  <c r="F244" i="31" s="1"/>
  <c r="E244" i="31"/>
  <c r="B245" i="31"/>
  <c r="C245" i="31"/>
  <c r="D245" i="31"/>
  <c r="E245" i="31"/>
  <c r="F245" i="31"/>
  <c r="G245" i="31"/>
  <c r="H245" i="31" s="1"/>
  <c r="B246" i="31"/>
  <c r="C246" i="31"/>
  <c r="D246" i="31"/>
  <c r="F246" i="31" s="1"/>
  <c r="E246" i="31"/>
  <c r="B247" i="31"/>
  <c r="C247" i="31"/>
  <c r="D247" i="31"/>
  <c r="E247" i="31"/>
  <c r="F247" i="31"/>
  <c r="G247" i="31"/>
  <c r="H247" i="31" s="1"/>
  <c r="I247" i="31"/>
  <c r="B248" i="31"/>
  <c r="C248" i="31"/>
  <c r="E248" i="31" s="1"/>
  <c r="D248" i="31"/>
  <c r="F248" i="31"/>
  <c r="B249" i="31"/>
  <c r="C249" i="31"/>
  <c r="D249" i="31"/>
  <c r="E249" i="31"/>
  <c r="F249" i="31"/>
  <c r="B250" i="31"/>
  <c r="C250" i="31"/>
  <c r="E250" i="31" s="1"/>
  <c r="D250" i="31"/>
  <c r="F250" i="31"/>
  <c r="G250" i="31"/>
  <c r="H250" i="31"/>
  <c r="B251" i="31"/>
  <c r="C251" i="31"/>
  <c r="E251" i="31" s="1"/>
  <c r="D251" i="31"/>
  <c r="F251" i="31"/>
  <c r="G251" i="31"/>
  <c r="H251" i="31" s="1"/>
  <c r="I251" i="31" s="1"/>
  <c r="B252" i="31"/>
  <c r="C252" i="31"/>
  <c r="G252" i="31" s="1"/>
  <c r="H252" i="31" s="1"/>
  <c r="D252" i="31"/>
  <c r="F252" i="31" s="1"/>
  <c r="E252" i="31"/>
  <c r="I252" i="31" s="1"/>
  <c r="B253" i="31"/>
  <c r="C253" i="31"/>
  <c r="E253" i="31" s="1"/>
  <c r="D253" i="31"/>
  <c r="F253" i="31" s="1"/>
  <c r="B254" i="31"/>
  <c r="C254" i="31"/>
  <c r="D254" i="31"/>
  <c r="F254" i="31" s="1"/>
  <c r="E254" i="31"/>
  <c r="G254" i="31"/>
  <c r="H254" i="31"/>
  <c r="I254" i="31"/>
  <c r="B255" i="31"/>
  <c r="C255" i="31"/>
  <c r="D255" i="31"/>
  <c r="E255" i="31"/>
  <c r="F255" i="31"/>
  <c r="B256" i="31"/>
  <c r="G256" i="31" s="1"/>
  <c r="H256" i="31" s="1"/>
  <c r="I256" i="31" s="1"/>
  <c r="C256" i="31"/>
  <c r="D256" i="31"/>
  <c r="F256" i="31" s="1"/>
  <c r="E256" i="31"/>
  <c r="B257" i="31"/>
  <c r="C257" i="31"/>
  <c r="D257" i="31"/>
  <c r="F257" i="31" s="1"/>
  <c r="E257" i="31"/>
  <c r="B258" i="31"/>
  <c r="C258" i="31"/>
  <c r="D258" i="31"/>
  <c r="E258" i="31"/>
  <c r="F258" i="31"/>
  <c r="B259" i="31"/>
  <c r="C259" i="31"/>
  <c r="D259" i="31"/>
  <c r="E259" i="31"/>
  <c r="F259" i="31"/>
  <c r="B260" i="31"/>
  <c r="C260" i="31"/>
  <c r="G260" i="31" s="1"/>
  <c r="H260" i="31" s="1"/>
  <c r="D260" i="31"/>
  <c r="E260" i="31"/>
  <c r="F260" i="31"/>
  <c r="B261" i="31"/>
  <c r="C261" i="31"/>
  <c r="D261" i="31"/>
  <c r="E261" i="31"/>
  <c r="F261" i="31"/>
  <c r="B262" i="31"/>
  <c r="C262" i="31"/>
  <c r="E262" i="31" s="1"/>
  <c r="I262" i="31" s="1"/>
  <c r="D262" i="31"/>
  <c r="F262" i="31"/>
  <c r="G262" i="31"/>
  <c r="H262" i="31" s="1"/>
  <c r="B263" i="31"/>
  <c r="C263" i="31"/>
  <c r="E263" i="31" s="1"/>
  <c r="D263" i="31"/>
  <c r="F263" i="31" s="1"/>
  <c r="B264" i="31"/>
  <c r="C264" i="31"/>
  <c r="G264" i="31" s="1"/>
  <c r="D264" i="31"/>
  <c r="E264" i="31"/>
  <c r="F264" i="31"/>
  <c r="H264" i="31"/>
  <c r="B265" i="31"/>
  <c r="C265" i="31"/>
  <c r="D265" i="31"/>
  <c r="F265" i="31"/>
  <c r="B266" i="31"/>
  <c r="C266" i="31"/>
  <c r="D266" i="31"/>
  <c r="F266" i="31" s="1"/>
  <c r="G266" i="31" s="1"/>
  <c r="H266" i="31" s="1"/>
  <c r="I266" i="31" s="1"/>
  <c r="E266" i="31"/>
  <c r="B267" i="31"/>
  <c r="C267" i="31"/>
  <c r="D267" i="31"/>
  <c r="E267" i="31"/>
  <c r="F267" i="31"/>
  <c r="B268" i="31"/>
  <c r="C268" i="31"/>
  <c r="E268" i="31" s="1"/>
  <c r="D268" i="31"/>
  <c r="F268" i="31"/>
  <c r="G268" i="31"/>
  <c r="H268" i="31"/>
  <c r="I268" i="31"/>
  <c r="B269" i="31"/>
  <c r="C269" i="31"/>
  <c r="D269" i="31"/>
  <c r="E269" i="31"/>
  <c r="F269" i="31"/>
  <c r="B270" i="31"/>
  <c r="C270" i="31"/>
  <c r="D270" i="31"/>
  <c r="E270" i="31"/>
  <c r="F270" i="31"/>
  <c r="B271" i="31"/>
  <c r="C271" i="31"/>
  <c r="D271" i="31"/>
  <c r="F271" i="31" s="1"/>
  <c r="G271" i="31" s="1"/>
  <c r="E271" i="31"/>
  <c r="H271" i="31"/>
  <c r="I271" i="31"/>
  <c r="B272" i="31"/>
  <c r="C272" i="31"/>
  <c r="D272" i="31"/>
  <c r="E272" i="31"/>
  <c r="F272" i="31"/>
  <c r="B273" i="31"/>
  <c r="C273" i="31"/>
  <c r="G273" i="31" s="1"/>
  <c r="H273" i="31" s="1"/>
  <c r="D273" i="31"/>
  <c r="E273" i="31"/>
  <c r="F273" i="31"/>
  <c r="B274" i="31"/>
  <c r="C274" i="31"/>
  <c r="E274" i="31" s="1"/>
  <c r="D274" i="31"/>
  <c r="F274" i="31"/>
  <c r="G274" i="31"/>
  <c r="H274" i="31" s="1"/>
  <c r="B275" i="31"/>
  <c r="C275" i="31"/>
  <c r="E275" i="31" s="1"/>
  <c r="D275" i="31"/>
  <c r="F275" i="31"/>
  <c r="G275" i="31"/>
  <c r="H275" i="31"/>
  <c r="B276" i="31"/>
  <c r="C276" i="31"/>
  <c r="D276" i="31"/>
  <c r="E276" i="31"/>
  <c r="F276" i="31"/>
  <c r="B277" i="31"/>
  <c r="C277" i="31"/>
  <c r="D277" i="31"/>
  <c r="E277" i="31"/>
  <c r="I277" i="31" s="1"/>
  <c r="F277" i="31"/>
  <c r="G277" i="31" s="1"/>
  <c r="H277" i="31" s="1"/>
  <c r="B278" i="31"/>
  <c r="C278" i="31"/>
  <c r="E278" i="31" s="1"/>
  <c r="D278" i="31"/>
  <c r="F278" i="31" s="1"/>
  <c r="G278" i="31"/>
  <c r="H278" i="31"/>
  <c r="I278" i="31"/>
  <c r="B279" i="31"/>
  <c r="C279" i="31"/>
  <c r="D279" i="31"/>
  <c r="F279" i="31" s="1"/>
  <c r="E279" i="31"/>
  <c r="B280" i="31"/>
  <c r="C280" i="31"/>
  <c r="D280" i="31"/>
  <c r="F280" i="31" s="1"/>
  <c r="E280" i="31"/>
  <c r="B281" i="31"/>
  <c r="G281" i="31" s="1"/>
  <c r="H281" i="31" s="1"/>
  <c r="C281" i="31"/>
  <c r="D281" i="31"/>
  <c r="F281" i="31" s="1"/>
  <c r="E281" i="31"/>
  <c r="B282" i="31"/>
  <c r="C282" i="31"/>
  <c r="D282" i="31"/>
  <c r="E282" i="31"/>
  <c r="F282" i="31"/>
  <c r="B283" i="31"/>
  <c r="C283" i="31"/>
  <c r="D283" i="31"/>
  <c r="E283" i="31"/>
  <c r="F283" i="31"/>
  <c r="G283" i="31"/>
  <c r="H283" i="31"/>
  <c r="I283" i="31"/>
  <c r="B284" i="31"/>
  <c r="C284" i="31"/>
  <c r="D284" i="31"/>
  <c r="E284" i="31"/>
  <c r="F284" i="31"/>
  <c r="B285" i="31"/>
  <c r="C285" i="31"/>
  <c r="G285" i="31" s="1"/>
  <c r="D285" i="31"/>
  <c r="E285" i="31"/>
  <c r="F285" i="31"/>
  <c r="H285" i="31"/>
  <c r="B286" i="31"/>
  <c r="G286" i="31" s="1"/>
  <c r="H286" i="31" s="1"/>
  <c r="I286" i="31" s="1"/>
  <c r="C286" i="31"/>
  <c r="D286" i="31"/>
  <c r="E286" i="31"/>
  <c r="F286" i="31"/>
  <c r="B287" i="31"/>
  <c r="C287" i="31"/>
  <c r="D287" i="31"/>
  <c r="F287" i="31" s="1"/>
  <c r="E287" i="31"/>
  <c r="B288" i="31"/>
  <c r="C288" i="31"/>
  <c r="D288" i="31"/>
  <c r="F288" i="31" s="1"/>
  <c r="E288" i="31"/>
  <c r="B289" i="31"/>
  <c r="C289" i="31"/>
  <c r="D289" i="31"/>
  <c r="F289" i="31" s="1"/>
  <c r="E289" i="31"/>
  <c r="B290" i="31"/>
  <c r="C290" i="31"/>
  <c r="D290" i="31"/>
  <c r="F290" i="31" s="1"/>
  <c r="G290" i="31" s="1"/>
  <c r="H290" i="31" s="1"/>
  <c r="E290" i="31"/>
  <c r="B291" i="31"/>
  <c r="C291" i="31"/>
  <c r="D291" i="31"/>
  <c r="F291" i="31" s="1"/>
  <c r="E291" i="31"/>
  <c r="B292" i="31"/>
  <c r="C292" i="31"/>
  <c r="D292" i="31"/>
  <c r="F292" i="31" s="1"/>
  <c r="E292" i="31"/>
  <c r="G292" i="31"/>
  <c r="H292" i="31"/>
  <c r="I292" i="31"/>
  <c r="B293" i="31"/>
  <c r="C293" i="31"/>
  <c r="D293" i="31"/>
  <c r="E293" i="31"/>
  <c r="F293" i="31"/>
  <c r="G293" i="31" s="1"/>
  <c r="H293" i="31" s="1"/>
  <c r="I293" i="31" s="1"/>
  <c r="B294" i="31"/>
  <c r="C294" i="31"/>
  <c r="D294" i="31"/>
  <c r="E294" i="31"/>
  <c r="F294" i="31"/>
  <c r="B295" i="31"/>
  <c r="C295" i="31"/>
  <c r="D295" i="31"/>
  <c r="E295" i="31"/>
  <c r="F295" i="31"/>
  <c r="B296" i="31"/>
  <c r="C296" i="31"/>
  <c r="D296" i="31"/>
  <c r="E296" i="31"/>
  <c r="F296" i="31"/>
  <c r="B297" i="31"/>
  <c r="C297" i="31"/>
  <c r="D297" i="31"/>
  <c r="F297" i="31" s="1"/>
  <c r="E297" i="31"/>
  <c r="B298" i="31"/>
  <c r="C298" i="31"/>
  <c r="E298" i="31" s="1"/>
  <c r="D298" i="31"/>
  <c r="F298" i="31" s="1"/>
  <c r="B299" i="31"/>
  <c r="C299" i="31"/>
  <c r="D299" i="31"/>
  <c r="E299" i="31"/>
  <c r="F299" i="31"/>
  <c r="G299" i="31"/>
  <c r="H299" i="31"/>
  <c r="I299" i="31"/>
  <c r="B300" i="31"/>
  <c r="C300" i="31"/>
  <c r="D300" i="31"/>
  <c r="E300" i="31"/>
  <c r="F300" i="31"/>
  <c r="B301" i="31"/>
  <c r="C301" i="31"/>
  <c r="D301" i="31"/>
  <c r="F301" i="31" s="1"/>
  <c r="E301" i="31"/>
  <c r="I301" i="31" s="1"/>
  <c r="G301" i="31"/>
  <c r="H301" i="31" s="1"/>
  <c r="B302" i="31"/>
  <c r="C302" i="31"/>
  <c r="E302" i="31" s="1"/>
  <c r="D302" i="31"/>
  <c r="F302" i="31"/>
  <c r="G302" i="31"/>
  <c r="H302" i="31"/>
  <c r="I302" i="31"/>
  <c r="B303" i="31"/>
  <c r="C303" i="31"/>
  <c r="D303" i="31"/>
  <c r="F303" i="31"/>
  <c r="B304" i="31"/>
  <c r="C304" i="31"/>
  <c r="D304" i="31"/>
  <c r="F304" i="31" s="1"/>
  <c r="E304" i="31"/>
  <c r="B305" i="31"/>
  <c r="C305" i="31"/>
  <c r="D305" i="31"/>
  <c r="E305" i="31"/>
  <c r="F305" i="31"/>
  <c r="B306" i="31"/>
  <c r="C306" i="31"/>
  <c r="G306" i="31" s="1"/>
  <c r="D306" i="31"/>
  <c r="F306" i="31" s="1"/>
  <c r="H306" i="31"/>
  <c r="B307" i="31"/>
  <c r="C307" i="31"/>
  <c r="D307" i="31"/>
  <c r="E307" i="31"/>
  <c r="F307" i="31"/>
  <c r="G307" i="31"/>
  <c r="H307" i="31" s="1"/>
  <c r="B308" i="31"/>
  <c r="C308" i="31"/>
  <c r="G308" i="31" s="1"/>
  <c r="H308" i="31" s="1"/>
  <c r="D308" i="31"/>
  <c r="F308" i="31" s="1"/>
  <c r="E308" i="31"/>
  <c r="I308" i="31" s="1"/>
  <c r="B309" i="31"/>
  <c r="C309" i="31"/>
  <c r="D309" i="31"/>
  <c r="E309" i="31"/>
  <c r="F309" i="31"/>
  <c r="B310" i="31"/>
  <c r="C310" i="31"/>
  <c r="E310" i="31" s="1"/>
  <c r="D310" i="31"/>
  <c r="F310" i="31" s="1"/>
  <c r="B311" i="31"/>
  <c r="C311" i="31"/>
  <c r="E311" i="31" s="1"/>
  <c r="D311" i="31"/>
  <c r="F311" i="31" s="1"/>
  <c r="B312" i="31"/>
  <c r="C312" i="31"/>
  <c r="D312" i="31"/>
  <c r="F312" i="31" s="1"/>
  <c r="E312" i="31"/>
  <c r="B313" i="31"/>
  <c r="C313" i="31"/>
  <c r="E313" i="31" s="1"/>
  <c r="D313" i="31"/>
  <c r="F313" i="31" s="1"/>
  <c r="B314" i="31"/>
  <c r="C314" i="31"/>
  <c r="G314" i="31" s="1"/>
  <c r="H314" i="31" s="1"/>
  <c r="D314" i="31"/>
  <c r="E314" i="31"/>
  <c r="F314" i="31"/>
  <c r="B315" i="31"/>
  <c r="C315" i="31"/>
  <c r="D315" i="31"/>
  <c r="F315" i="31" s="1"/>
  <c r="B316" i="31"/>
  <c r="C316" i="31"/>
  <c r="D316" i="31"/>
  <c r="E316" i="31"/>
  <c r="F316" i="31"/>
  <c r="B317" i="31"/>
  <c r="C317" i="31"/>
  <c r="D317" i="31"/>
  <c r="F317" i="31" s="1"/>
  <c r="E317" i="31"/>
  <c r="B318" i="31"/>
  <c r="C318" i="31"/>
  <c r="D318" i="31"/>
  <c r="E318" i="31"/>
  <c r="F318" i="31"/>
  <c r="B319" i="31"/>
  <c r="C319" i="31"/>
  <c r="D319" i="31"/>
  <c r="E319" i="31"/>
  <c r="F319" i="31"/>
  <c r="G319" i="31"/>
  <c r="H319" i="31" s="1"/>
  <c r="I319" i="31"/>
  <c r="B320" i="31"/>
  <c r="C320" i="31"/>
  <c r="D320" i="31"/>
  <c r="E320" i="31"/>
  <c r="F320" i="31"/>
  <c r="G320" i="31"/>
  <c r="H320" i="31"/>
  <c r="B321" i="31"/>
  <c r="C321" i="31"/>
  <c r="D321" i="31"/>
  <c r="F321" i="31"/>
  <c r="B322" i="31"/>
  <c r="C322" i="31"/>
  <c r="D322" i="31"/>
  <c r="E322" i="31"/>
  <c r="F322" i="31"/>
  <c r="G322" i="31"/>
  <c r="H322" i="31"/>
  <c r="B323" i="31"/>
  <c r="C323" i="31"/>
  <c r="E323" i="31" s="1"/>
  <c r="D323" i="31"/>
  <c r="F323" i="31"/>
  <c r="G323" i="31"/>
  <c r="H323" i="31"/>
  <c r="I323" i="31"/>
  <c r="B324" i="31"/>
  <c r="C324" i="31"/>
  <c r="D324" i="31"/>
  <c r="F324" i="31" s="1"/>
  <c r="B325" i="31"/>
  <c r="C325" i="31"/>
  <c r="E325" i="31" s="1"/>
  <c r="D325" i="31"/>
  <c r="F325" i="31" s="1"/>
  <c r="B326" i="31"/>
  <c r="C326" i="31"/>
  <c r="D326" i="31"/>
  <c r="F326" i="31" s="1"/>
  <c r="G326" i="31" s="1"/>
  <c r="H326" i="31" s="1"/>
  <c r="I326" i="31" s="1"/>
  <c r="E326" i="31"/>
  <c r="B327" i="31"/>
  <c r="C327" i="31"/>
  <c r="D327" i="31"/>
  <c r="E327" i="31"/>
  <c r="F327" i="31"/>
  <c r="B328" i="31"/>
  <c r="G328" i="31" s="1"/>
  <c r="H328" i="31" s="1"/>
  <c r="C328" i="31"/>
  <c r="D328" i="31"/>
  <c r="F328" i="31" s="1"/>
  <c r="E328" i="31"/>
  <c r="I328" i="31" s="1"/>
  <c r="B329" i="31"/>
  <c r="C329" i="31"/>
  <c r="D329" i="31"/>
  <c r="F329" i="31" s="1"/>
  <c r="E329" i="31"/>
  <c r="B330" i="31"/>
  <c r="C330" i="31"/>
  <c r="D330" i="31"/>
  <c r="E330" i="31"/>
  <c r="F330" i="31"/>
  <c r="B331" i="31"/>
  <c r="C331" i="31"/>
  <c r="D331" i="31"/>
  <c r="F331" i="31" s="1"/>
  <c r="E331" i="31"/>
  <c r="B332" i="31"/>
  <c r="C332" i="31"/>
  <c r="E332" i="31" s="1"/>
  <c r="D332" i="31"/>
  <c r="F332" i="31"/>
  <c r="G332" i="31"/>
  <c r="H332" i="31" s="1"/>
  <c r="B333" i="31"/>
  <c r="C333" i="31"/>
  <c r="D333" i="31"/>
  <c r="E333" i="31"/>
  <c r="F333" i="31"/>
  <c r="G333" i="31" s="1"/>
  <c r="H333" i="31" s="1"/>
  <c r="I333" i="31" s="1"/>
  <c r="B334" i="31"/>
  <c r="C334" i="31"/>
  <c r="D334" i="31"/>
  <c r="E334" i="31"/>
  <c r="F334" i="31"/>
  <c r="B335" i="31"/>
  <c r="C335" i="31"/>
  <c r="D335" i="31"/>
  <c r="F335" i="31" s="1"/>
  <c r="E335" i="31"/>
  <c r="B336" i="31"/>
  <c r="C336" i="31"/>
  <c r="D336" i="31"/>
  <c r="E336" i="31"/>
  <c r="F336" i="31"/>
  <c r="G336" i="31"/>
  <c r="H336" i="31" s="1"/>
  <c r="B337" i="31"/>
  <c r="C337" i="31"/>
  <c r="D337" i="31"/>
  <c r="F337" i="31" s="1"/>
  <c r="E337" i="31"/>
  <c r="B338" i="31"/>
  <c r="C338" i="31"/>
  <c r="D338" i="31"/>
  <c r="E338" i="31"/>
  <c r="F338" i="31"/>
  <c r="G338" i="31"/>
  <c r="H338" i="31" s="1"/>
  <c r="B339" i="31"/>
  <c r="C339" i="31"/>
  <c r="E339" i="31" s="1"/>
  <c r="D339" i="31"/>
  <c r="F339" i="31" s="1"/>
  <c r="G339" i="31"/>
  <c r="H339" i="31"/>
  <c r="I339" i="31"/>
  <c r="B340" i="31"/>
  <c r="C340" i="31"/>
  <c r="E340" i="31" s="1"/>
  <c r="D340" i="31"/>
  <c r="F340" i="31" s="1"/>
  <c r="B341" i="31"/>
  <c r="G341" i="31" s="1"/>
  <c r="H341" i="31" s="1"/>
  <c r="C341" i="31"/>
  <c r="E341" i="31" s="1"/>
  <c r="D341" i="31"/>
  <c r="F341" i="31" s="1"/>
  <c r="I341" i="31"/>
  <c r="B342" i="31"/>
  <c r="C342" i="31"/>
  <c r="D342" i="31"/>
  <c r="E342" i="31"/>
  <c r="F342" i="31"/>
  <c r="B343" i="31"/>
  <c r="C343" i="31"/>
  <c r="D343" i="31"/>
  <c r="E343" i="31"/>
  <c r="F343" i="31"/>
  <c r="B344" i="31"/>
  <c r="C344" i="31"/>
  <c r="E344" i="31" s="1"/>
  <c r="D344" i="31"/>
  <c r="F344" i="31" s="1"/>
  <c r="B345" i="31"/>
  <c r="C345" i="31"/>
  <c r="D345" i="31"/>
  <c r="F345" i="31" s="1"/>
  <c r="B346" i="31"/>
  <c r="C346" i="31"/>
  <c r="E346" i="31" s="1"/>
  <c r="D346" i="31"/>
  <c r="F346" i="31" s="1"/>
  <c r="B347" i="31"/>
  <c r="C347" i="31"/>
  <c r="D347" i="31"/>
  <c r="E347" i="31"/>
  <c r="F347" i="31"/>
  <c r="G347" i="31"/>
  <c r="H347" i="31" s="1"/>
  <c r="I347" i="31"/>
  <c r="B348" i="31"/>
  <c r="C348" i="31"/>
  <c r="D348" i="31"/>
  <c r="E348" i="31"/>
  <c r="I348" i="31" s="1"/>
  <c r="F348" i="31"/>
  <c r="G348" i="31" s="1"/>
  <c r="H348" i="31" s="1"/>
  <c r="B349" i="31"/>
  <c r="C349" i="31"/>
  <c r="D349" i="31"/>
  <c r="E349" i="31"/>
  <c r="F349" i="31"/>
  <c r="B350" i="31"/>
  <c r="C350" i="31"/>
  <c r="D350" i="31"/>
  <c r="E350" i="31"/>
  <c r="F350" i="31"/>
  <c r="G350" i="31"/>
  <c r="H350" i="31" s="1"/>
  <c r="I350" i="31"/>
  <c r="B351" i="31"/>
  <c r="C351" i="31"/>
  <c r="E351" i="31" s="1"/>
  <c r="D351" i="31"/>
  <c r="F351" i="31"/>
  <c r="G351" i="31"/>
  <c r="H351" i="31"/>
  <c r="B352" i="31"/>
  <c r="C352" i="31"/>
  <c r="E352" i="31" s="1"/>
  <c r="D352" i="31"/>
  <c r="F352" i="31" s="1"/>
  <c r="B353" i="31"/>
  <c r="C353" i="31"/>
  <c r="D353" i="31"/>
  <c r="F353" i="31" s="1"/>
  <c r="E353" i="31"/>
  <c r="B354" i="31"/>
  <c r="C354" i="31"/>
  <c r="D354" i="31"/>
  <c r="F354" i="31" s="1"/>
  <c r="E354" i="31"/>
  <c r="B355" i="31"/>
  <c r="C355" i="31"/>
  <c r="D355" i="31"/>
  <c r="E355" i="31"/>
  <c r="F355" i="31"/>
  <c r="B356" i="31"/>
  <c r="C356" i="31"/>
  <c r="D356" i="31"/>
  <c r="E356" i="31"/>
  <c r="F356" i="31"/>
  <c r="B357" i="31"/>
  <c r="C357" i="31"/>
  <c r="D357" i="31"/>
  <c r="F357" i="31" s="1"/>
  <c r="G357" i="31" s="1"/>
  <c r="H357" i="31" s="1"/>
  <c r="E357" i="31"/>
  <c r="B358" i="31"/>
  <c r="C358" i="31"/>
  <c r="E358" i="31" s="1"/>
  <c r="D358" i="31"/>
  <c r="F358" i="31" s="1"/>
  <c r="B359" i="31"/>
  <c r="C359" i="31"/>
  <c r="D359" i="31"/>
  <c r="E359" i="31"/>
  <c r="F359" i="31"/>
  <c r="G359" i="31"/>
  <c r="H359" i="31" s="1"/>
  <c r="I359" i="31"/>
  <c r="B3" i="31"/>
  <c r="C3" i="31"/>
  <c r="D3" i="31"/>
  <c r="E3" i="31"/>
  <c r="F3" i="31"/>
  <c r="B4" i="31"/>
  <c r="C4" i="31"/>
  <c r="D4" i="31"/>
  <c r="E4" i="31"/>
  <c r="F4" i="31"/>
  <c r="B5" i="31"/>
  <c r="G53" i="31" s="1"/>
  <c r="H53" i="31" s="1"/>
  <c r="I53" i="31" s="1"/>
  <c r="C5" i="31"/>
  <c r="D5" i="31"/>
  <c r="E5" i="31"/>
  <c r="F5" i="31"/>
  <c r="G5" i="31" s="1"/>
  <c r="H5" i="31" s="1"/>
  <c r="B6" i="31"/>
  <c r="C6" i="31"/>
  <c r="D6" i="31"/>
  <c r="E6" i="31"/>
  <c r="F6" i="31"/>
  <c r="B7" i="31"/>
  <c r="C7" i="31"/>
  <c r="D7" i="31"/>
  <c r="E7" i="31"/>
  <c r="F7" i="31"/>
  <c r="B8" i="31"/>
  <c r="C8" i="31"/>
  <c r="D8" i="31"/>
  <c r="E8" i="31"/>
  <c r="F8" i="31"/>
  <c r="G8" i="31"/>
  <c r="H8" i="31"/>
  <c r="I8" i="31"/>
  <c r="B9" i="31"/>
  <c r="C9" i="31"/>
  <c r="D9" i="31"/>
  <c r="E9" i="31"/>
  <c r="F9" i="31"/>
  <c r="B10" i="31"/>
  <c r="C10" i="31"/>
  <c r="D10" i="31"/>
  <c r="E10" i="31"/>
  <c r="F10" i="31"/>
  <c r="B11" i="31"/>
  <c r="C11" i="31"/>
  <c r="D11" i="31"/>
  <c r="E11" i="31"/>
  <c r="F11" i="31"/>
  <c r="B12" i="31"/>
  <c r="C12" i="31"/>
  <c r="D12" i="31"/>
  <c r="E12" i="31"/>
  <c r="F12" i="31"/>
  <c r="B13" i="31"/>
  <c r="C13" i="31"/>
  <c r="D13" i="31"/>
  <c r="E13" i="31"/>
  <c r="F13" i="31"/>
  <c r="B14" i="31"/>
  <c r="C14" i="31"/>
  <c r="D14" i="31"/>
  <c r="E14" i="31"/>
  <c r="F14" i="31"/>
  <c r="B15" i="31"/>
  <c r="C15" i="31"/>
  <c r="D15" i="31"/>
  <c r="E15" i="31"/>
  <c r="F15" i="31"/>
  <c r="B16" i="31"/>
  <c r="C16" i="31"/>
  <c r="D16" i="31"/>
  <c r="E16" i="31"/>
  <c r="F16" i="31"/>
  <c r="B17" i="31"/>
  <c r="C17" i="31"/>
  <c r="D17" i="31"/>
  <c r="F17" i="31" s="1"/>
  <c r="E17" i="31"/>
  <c r="B18" i="31"/>
  <c r="C18" i="31"/>
  <c r="D18" i="31"/>
  <c r="E18" i="31"/>
  <c r="F18" i="31"/>
  <c r="B19" i="31"/>
  <c r="C19" i="31"/>
  <c r="D19" i="31"/>
  <c r="E19" i="31"/>
  <c r="F19" i="31"/>
  <c r="B20" i="31"/>
  <c r="C20" i="31"/>
  <c r="D20" i="31"/>
  <c r="E20" i="31"/>
  <c r="F20" i="31"/>
  <c r="G20" i="31"/>
  <c r="H20" i="31"/>
  <c r="I20" i="31"/>
  <c r="B21" i="31"/>
  <c r="C21" i="31"/>
  <c r="D21" i="31"/>
  <c r="E21" i="31"/>
  <c r="F21" i="31"/>
  <c r="B22" i="31"/>
  <c r="C22" i="31"/>
  <c r="D22" i="31"/>
  <c r="E22" i="31"/>
  <c r="F22" i="31"/>
  <c r="B23" i="31"/>
  <c r="C23" i="31"/>
  <c r="D23" i="31"/>
  <c r="E23" i="31"/>
  <c r="F23" i="31"/>
  <c r="G23" i="31"/>
  <c r="H23" i="31"/>
  <c r="I23" i="31"/>
  <c r="B24" i="31"/>
  <c r="C24" i="31"/>
  <c r="D24" i="31"/>
  <c r="E24" i="31"/>
  <c r="F24" i="31"/>
  <c r="B25" i="31"/>
  <c r="C25" i="31"/>
  <c r="D25" i="31"/>
  <c r="E25" i="31"/>
  <c r="F25" i="31"/>
  <c r="B26" i="31"/>
  <c r="C26" i="31"/>
  <c r="D26" i="31"/>
  <c r="E26" i="31"/>
  <c r="F26" i="31"/>
  <c r="G26" i="31"/>
  <c r="H26" i="31"/>
  <c r="I26" i="31"/>
  <c r="B27" i="31"/>
  <c r="C27" i="31"/>
  <c r="D27" i="31"/>
  <c r="E27" i="31"/>
  <c r="F27" i="31"/>
  <c r="B28" i="31"/>
  <c r="C28" i="31"/>
  <c r="D28" i="31"/>
  <c r="E28" i="31"/>
  <c r="F28" i="31"/>
  <c r="B29" i="31"/>
  <c r="C29" i="31"/>
  <c r="D29" i="31"/>
  <c r="E29" i="31"/>
  <c r="F29" i="31"/>
  <c r="B30" i="31"/>
  <c r="C30" i="31"/>
  <c r="D30" i="31"/>
  <c r="E30" i="31"/>
  <c r="F30" i="31"/>
  <c r="B31" i="31"/>
  <c r="C31" i="31"/>
  <c r="D31" i="31"/>
  <c r="E31" i="31"/>
  <c r="F31" i="31"/>
  <c r="B32" i="31"/>
  <c r="C32" i="31"/>
  <c r="D32" i="31"/>
  <c r="E32" i="31"/>
  <c r="F32" i="31"/>
  <c r="B33" i="31"/>
  <c r="C33" i="31"/>
  <c r="D33" i="31"/>
  <c r="E33" i="31"/>
  <c r="F33" i="31"/>
  <c r="B34" i="31"/>
  <c r="C34" i="31"/>
  <c r="D34" i="31"/>
  <c r="E34" i="31"/>
  <c r="F34" i="31"/>
  <c r="B35" i="31"/>
  <c r="C35" i="31"/>
  <c r="D35" i="31"/>
  <c r="F35" i="31" s="1"/>
  <c r="E35" i="31"/>
  <c r="B36" i="31"/>
  <c r="C36" i="31"/>
  <c r="D36" i="31"/>
  <c r="E36" i="31"/>
  <c r="F36" i="31"/>
  <c r="B37" i="31"/>
  <c r="C37" i="31"/>
  <c r="D37" i="31"/>
  <c r="E37" i="31"/>
  <c r="F37" i="31"/>
  <c r="B38" i="31"/>
  <c r="C38" i="31"/>
  <c r="D38" i="31"/>
  <c r="E38" i="31"/>
  <c r="F38" i="31"/>
  <c r="G38" i="31"/>
  <c r="H38" i="31"/>
  <c r="I38" i="31"/>
  <c r="B39" i="31"/>
  <c r="C39" i="31"/>
  <c r="D39" i="31"/>
  <c r="E39" i="31"/>
  <c r="F39" i="31"/>
  <c r="B40" i="31"/>
  <c r="C40" i="31"/>
  <c r="D40" i="31"/>
  <c r="E40" i="31"/>
  <c r="F40" i="31"/>
  <c r="B41" i="31"/>
  <c r="C41" i="31"/>
  <c r="D41" i="31"/>
  <c r="E41" i="31"/>
  <c r="F41" i="31"/>
  <c r="G41" i="31"/>
  <c r="H41" i="31"/>
  <c r="I41" i="31"/>
  <c r="B42" i="31"/>
  <c r="C42" i="31"/>
  <c r="D42" i="31"/>
  <c r="E42" i="31"/>
  <c r="F42" i="31"/>
  <c r="B43" i="31"/>
  <c r="C43" i="31"/>
  <c r="D43" i="31"/>
  <c r="E43" i="31"/>
  <c r="F43" i="31"/>
  <c r="B44" i="31"/>
  <c r="C44" i="31"/>
  <c r="D44" i="31"/>
  <c r="E44" i="31"/>
  <c r="F44" i="31"/>
  <c r="G44" i="31"/>
  <c r="H44" i="31"/>
  <c r="I44" i="31"/>
  <c r="B45" i="31"/>
  <c r="C45" i="31"/>
  <c r="D45" i="31"/>
  <c r="E45" i="31"/>
  <c r="F45" i="31"/>
  <c r="B46" i="31"/>
  <c r="C46" i="31"/>
  <c r="D46" i="31"/>
  <c r="E46" i="31"/>
  <c r="F46" i="31"/>
  <c r="B47" i="31"/>
  <c r="C47" i="31"/>
  <c r="D47" i="31"/>
  <c r="E47" i="31"/>
  <c r="F47" i="31"/>
  <c r="B48" i="31"/>
  <c r="C48" i="31"/>
  <c r="D48" i="31"/>
  <c r="E48" i="31"/>
  <c r="F48" i="31"/>
  <c r="B49" i="31"/>
  <c r="C49" i="31"/>
  <c r="D49" i="31"/>
  <c r="E49" i="31"/>
  <c r="F49" i="31"/>
  <c r="B50" i="31"/>
  <c r="C50" i="31"/>
  <c r="D50" i="31"/>
  <c r="E50" i="31"/>
  <c r="F50" i="31"/>
  <c r="B51" i="31"/>
  <c r="C51" i="31"/>
  <c r="D51" i="31"/>
  <c r="E51" i="31"/>
  <c r="F51" i="31"/>
  <c r="B52" i="31"/>
  <c r="C52" i="31"/>
  <c r="D52" i="31"/>
  <c r="E52" i="31"/>
  <c r="F52" i="31"/>
  <c r="G52" i="31"/>
  <c r="H52" i="31"/>
  <c r="I52" i="31"/>
  <c r="B53" i="31"/>
  <c r="C53" i="31"/>
  <c r="D53" i="31"/>
  <c r="E53" i="31"/>
  <c r="F53" i="31"/>
  <c r="B54" i="31"/>
  <c r="C54" i="31"/>
  <c r="D54" i="31"/>
  <c r="E54" i="31"/>
  <c r="F54" i="31"/>
  <c r="B55" i="31"/>
  <c r="C55" i="31"/>
  <c r="D55" i="31"/>
  <c r="E55" i="31"/>
  <c r="F55" i="31"/>
  <c r="G55" i="31"/>
  <c r="H55" i="31"/>
  <c r="I55" i="31"/>
  <c r="B56" i="31"/>
  <c r="C56" i="31"/>
  <c r="E56" i="31" s="1"/>
  <c r="D56" i="31"/>
  <c r="F56" i="31" s="1"/>
  <c r="B57" i="31"/>
  <c r="C57" i="31"/>
  <c r="D57" i="31"/>
  <c r="E57" i="31"/>
  <c r="F57" i="31"/>
  <c r="B58" i="31"/>
  <c r="C58" i="31"/>
  <c r="D58" i="31"/>
  <c r="E58" i="31"/>
  <c r="F58" i="31"/>
  <c r="G58" i="31"/>
  <c r="H58" i="31"/>
  <c r="I58" i="31"/>
  <c r="B59" i="31"/>
  <c r="C59" i="31"/>
  <c r="D59" i="31"/>
  <c r="E59" i="31"/>
  <c r="F59" i="31"/>
  <c r="G59" i="31"/>
  <c r="H59" i="31" s="1"/>
  <c r="B60" i="31"/>
  <c r="C60" i="31"/>
  <c r="D60" i="31"/>
  <c r="E60" i="31"/>
  <c r="F60" i="31"/>
  <c r="B61" i="31"/>
  <c r="C61" i="31"/>
  <c r="D61" i="31"/>
  <c r="E61" i="31"/>
  <c r="F61" i="31"/>
  <c r="G61" i="31"/>
  <c r="H61" i="31" s="1"/>
  <c r="I61" i="31" s="1"/>
  <c r="B62" i="31"/>
  <c r="C62" i="31"/>
  <c r="D62" i="31"/>
  <c r="E62" i="31"/>
  <c r="F62" i="31"/>
  <c r="G62" i="31"/>
  <c r="H62" i="31"/>
  <c r="I62" i="31"/>
  <c r="B63" i="31"/>
  <c r="C63" i="31"/>
  <c r="D63" i="31"/>
  <c r="E63" i="31"/>
  <c r="F63" i="31"/>
  <c r="B64" i="31"/>
  <c r="C64" i="31"/>
  <c r="D64" i="31"/>
  <c r="E64" i="31"/>
  <c r="F64" i="31"/>
  <c r="B65" i="31"/>
  <c r="C65" i="31"/>
  <c r="D65" i="31"/>
  <c r="E65" i="31"/>
  <c r="F65" i="31"/>
  <c r="G65" i="31"/>
  <c r="H65" i="31"/>
  <c r="I65" i="31"/>
  <c r="B66" i="31"/>
  <c r="C66" i="31"/>
  <c r="D66" i="31"/>
  <c r="E66" i="31"/>
  <c r="F66" i="31"/>
  <c r="B67" i="31"/>
  <c r="C67" i="31"/>
  <c r="D67" i="31"/>
  <c r="E67" i="31"/>
  <c r="F67" i="31"/>
  <c r="B68" i="31"/>
  <c r="C68" i="31"/>
  <c r="D68" i="31"/>
  <c r="E68" i="31"/>
  <c r="F68" i="31"/>
  <c r="G68" i="31"/>
  <c r="H68" i="31"/>
  <c r="I68" i="31"/>
  <c r="B69" i="31"/>
  <c r="C69" i="31"/>
  <c r="D69" i="31"/>
  <c r="E69" i="31"/>
  <c r="F69" i="31"/>
  <c r="B70" i="31"/>
  <c r="C70" i="31"/>
  <c r="D70" i="31"/>
  <c r="E70" i="31"/>
  <c r="F70" i="31"/>
  <c r="B71" i="31"/>
  <c r="C71" i="31"/>
  <c r="D71" i="31"/>
  <c r="E71" i="31"/>
  <c r="F71" i="31"/>
  <c r="B72" i="31"/>
  <c r="C72" i="31"/>
  <c r="D72" i="31"/>
  <c r="E72" i="31"/>
  <c r="F72" i="31"/>
  <c r="B73" i="31"/>
  <c r="C73" i="31"/>
  <c r="D73" i="31"/>
  <c r="E73" i="31"/>
  <c r="F73" i="31"/>
  <c r="B74" i="31"/>
  <c r="C74" i="31"/>
  <c r="D74" i="31"/>
  <c r="E74" i="31"/>
  <c r="F74" i="31"/>
  <c r="B75" i="31"/>
  <c r="C75" i="31"/>
  <c r="D75" i="31"/>
  <c r="E75" i="31"/>
  <c r="F75" i="31"/>
  <c r="B76" i="31"/>
  <c r="C76" i="31"/>
  <c r="D76" i="31"/>
  <c r="E76" i="31"/>
  <c r="F76" i="31"/>
  <c r="G76" i="31"/>
  <c r="H76" i="31"/>
  <c r="I76" i="31"/>
  <c r="B77" i="31"/>
  <c r="C77" i="31"/>
  <c r="D77" i="31"/>
  <c r="E77" i="31"/>
  <c r="F77" i="31"/>
  <c r="D2" i="31"/>
  <c r="C2" i="31"/>
  <c r="B2" i="31"/>
  <c r="D2" i="32"/>
  <c r="F2" i="31"/>
  <c r="E2" i="31"/>
  <c r="B3" i="24"/>
  <c r="C3" i="24"/>
  <c r="D3" i="24"/>
  <c r="E3" i="24"/>
  <c r="F3" i="24"/>
  <c r="B4" i="24"/>
  <c r="G6" i="24" s="1"/>
  <c r="H6" i="24" s="1"/>
  <c r="I6" i="24" s="1"/>
  <c r="C4" i="24"/>
  <c r="D4" i="24"/>
  <c r="E4" i="24"/>
  <c r="F4" i="24"/>
  <c r="B5" i="24"/>
  <c r="G7" i="24" s="1"/>
  <c r="H7" i="24" s="1"/>
  <c r="I7" i="24" s="1"/>
  <c r="C5" i="24"/>
  <c r="D5" i="24"/>
  <c r="E5" i="24"/>
  <c r="F5" i="24"/>
  <c r="G5" i="24"/>
  <c r="H5" i="24"/>
  <c r="I5" i="24"/>
  <c r="B6" i="24"/>
  <c r="C6" i="24"/>
  <c r="D6" i="24"/>
  <c r="E6" i="24"/>
  <c r="F6" i="24"/>
  <c r="B7" i="24"/>
  <c r="C7" i="24"/>
  <c r="D7" i="24"/>
  <c r="E7" i="24"/>
  <c r="F7" i="24"/>
  <c r="B8" i="24"/>
  <c r="C8" i="24"/>
  <c r="D8" i="24"/>
  <c r="E8" i="24"/>
  <c r="F8" i="24"/>
  <c r="G8" i="24"/>
  <c r="H8" i="24"/>
  <c r="I8" i="24"/>
  <c r="B9" i="24"/>
  <c r="C9" i="24"/>
  <c r="D9" i="24"/>
  <c r="E9" i="24"/>
  <c r="F9" i="24"/>
  <c r="B10" i="24"/>
  <c r="C10" i="24"/>
  <c r="D10" i="24"/>
  <c r="E10" i="24"/>
  <c r="F10" i="24"/>
  <c r="B11" i="24"/>
  <c r="C11" i="24"/>
  <c r="D11" i="24"/>
  <c r="E11" i="24"/>
  <c r="F11" i="24"/>
  <c r="G11" i="24"/>
  <c r="H11" i="24"/>
  <c r="I11" i="24"/>
  <c r="B12" i="24"/>
  <c r="C12" i="24"/>
  <c r="D12" i="24"/>
  <c r="E12" i="24"/>
  <c r="F12" i="24"/>
  <c r="B13" i="24"/>
  <c r="C13" i="24"/>
  <c r="D13" i="24"/>
  <c r="E13" i="24"/>
  <c r="F13" i="24"/>
  <c r="B14" i="24"/>
  <c r="C14" i="24"/>
  <c r="D14" i="24"/>
  <c r="E14" i="24"/>
  <c r="F14" i="24"/>
  <c r="G14" i="24"/>
  <c r="H14" i="24"/>
  <c r="I14" i="24"/>
  <c r="B15" i="24"/>
  <c r="C15" i="24"/>
  <c r="D15" i="24"/>
  <c r="E15" i="24"/>
  <c r="F15" i="24"/>
  <c r="B16" i="24"/>
  <c r="C16" i="24"/>
  <c r="D16" i="24"/>
  <c r="E16" i="24"/>
  <c r="F16" i="24"/>
  <c r="B17" i="24"/>
  <c r="C17" i="24"/>
  <c r="D17" i="24"/>
  <c r="E17" i="24"/>
  <c r="F17" i="24"/>
  <c r="G17" i="24"/>
  <c r="H17" i="24"/>
  <c r="I17" i="24"/>
  <c r="B18" i="24"/>
  <c r="C18" i="24"/>
  <c r="D18" i="24"/>
  <c r="E18" i="24"/>
  <c r="F18" i="24"/>
  <c r="B19" i="24"/>
  <c r="C19" i="24"/>
  <c r="D19" i="24"/>
  <c r="E19" i="24"/>
  <c r="F19" i="24"/>
  <c r="B20" i="24"/>
  <c r="C20" i="24"/>
  <c r="D20" i="24"/>
  <c r="E20" i="24"/>
  <c r="F20" i="24"/>
  <c r="G20" i="24"/>
  <c r="H20" i="24"/>
  <c r="I20" i="24"/>
  <c r="B21" i="24"/>
  <c r="C21" i="24"/>
  <c r="D21" i="24"/>
  <c r="E21" i="24"/>
  <c r="F21" i="24"/>
  <c r="B22" i="24"/>
  <c r="C22" i="24"/>
  <c r="D22" i="24"/>
  <c r="E22" i="24"/>
  <c r="F22" i="24"/>
  <c r="B23" i="24"/>
  <c r="C23" i="24"/>
  <c r="D23" i="24"/>
  <c r="E23" i="24"/>
  <c r="F23" i="24"/>
  <c r="G23" i="24"/>
  <c r="H23" i="24"/>
  <c r="I23" i="24"/>
  <c r="B24" i="24"/>
  <c r="C24" i="24"/>
  <c r="D24" i="24"/>
  <c r="E24" i="24"/>
  <c r="F24" i="24"/>
  <c r="B25" i="24"/>
  <c r="C25" i="24"/>
  <c r="D25" i="24"/>
  <c r="E25" i="24"/>
  <c r="F25" i="24"/>
  <c r="B26" i="24"/>
  <c r="C26" i="24"/>
  <c r="D26" i="24"/>
  <c r="E26" i="24"/>
  <c r="F26" i="24"/>
  <c r="G26" i="24"/>
  <c r="H26" i="24"/>
  <c r="I26" i="24"/>
  <c r="B27" i="24"/>
  <c r="C27" i="24"/>
  <c r="D27" i="24"/>
  <c r="E27" i="24"/>
  <c r="F27" i="24"/>
  <c r="B28" i="24"/>
  <c r="C28" i="24"/>
  <c r="D28" i="24"/>
  <c r="E28" i="24"/>
  <c r="F28" i="24"/>
  <c r="B29" i="24"/>
  <c r="C29" i="24"/>
  <c r="D29" i="24"/>
  <c r="E29" i="24"/>
  <c r="F29" i="24"/>
  <c r="G29" i="24"/>
  <c r="H29" i="24"/>
  <c r="I29" i="24"/>
  <c r="B30" i="24"/>
  <c r="C30" i="24"/>
  <c r="D30" i="24"/>
  <c r="E30" i="24"/>
  <c r="F30" i="24"/>
  <c r="B31" i="24"/>
  <c r="C31" i="24"/>
  <c r="D31" i="24"/>
  <c r="E31" i="24"/>
  <c r="F31" i="24"/>
  <c r="B32" i="24"/>
  <c r="C32" i="24"/>
  <c r="D32" i="24"/>
  <c r="E32" i="24"/>
  <c r="F32" i="24"/>
  <c r="G32" i="24"/>
  <c r="H32" i="24"/>
  <c r="I32" i="24"/>
  <c r="B33" i="24"/>
  <c r="C33" i="24"/>
  <c r="D33" i="24"/>
  <c r="E33" i="24"/>
  <c r="F33" i="24"/>
  <c r="B34" i="24"/>
  <c r="C34" i="24"/>
  <c r="D34" i="24"/>
  <c r="E34" i="24"/>
  <c r="F34" i="24"/>
  <c r="B35" i="24"/>
  <c r="C35" i="24"/>
  <c r="D35" i="24"/>
  <c r="E35" i="24"/>
  <c r="F35" i="24"/>
  <c r="G35" i="24"/>
  <c r="H35" i="24"/>
  <c r="I35" i="24"/>
  <c r="B36" i="24"/>
  <c r="C36" i="24"/>
  <c r="D36" i="24"/>
  <c r="E36" i="24"/>
  <c r="F36" i="24"/>
  <c r="B37" i="24"/>
  <c r="C37" i="24"/>
  <c r="D37" i="24"/>
  <c r="E37" i="24"/>
  <c r="F37" i="24"/>
  <c r="B38" i="24"/>
  <c r="C38" i="24"/>
  <c r="D38" i="24"/>
  <c r="E38" i="24"/>
  <c r="F38" i="24"/>
  <c r="G38" i="24"/>
  <c r="H38" i="24"/>
  <c r="I38" i="24"/>
  <c r="B39" i="24"/>
  <c r="C39" i="24"/>
  <c r="D39" i="24"/>
  <c r="E39" i="24"/>
  <c r="F39" i="24"/>
  <c r="B40" i="24"/>
  <c r="C40" i="24"/>
  <c r="D40" i="24"/>
  <c r="E40" i="24"/>
  <c r="F40" i="24"/>
  <c r="B41" i="24"/>
  <c r="C41" i="24"/>
  <c r="D41" i="24"/>
  <c r="E41" i="24"/>
  <c r="F41" i="24"/>
  <c r="G41" i="24"/>
  <c r="H41" i="24"/>
  <c r="I41" i="24"/>
  <c r="B42" i="24"/>
  <c r="C42" i="24"/>
  <c r="D42" i="24"/>
  <c r="E42" i="24"/>
  <c r="F42" i="24"/>
  <c r="B43" i="24"/>
  <c r="C43" i="24"/>
  <c r="D43" i="24"/>
  <c r="E43" i="24"/>
  <c r="F43" i="24"/>
  <c r="B44" i="24"/>
  <c r="C44" i="24"/>
  <c r="D44" i="24"/>
  <c r="E44" i="24"/>
  <c r="F44" i="24"/>
  <c r="G44" i="24"/>
  <c r="H44" i="24"/>
  <c r="I44" i="24"/>
  <c r="B45" i="24"/>
  <c r="C45" i="24"/>
  <c r="D45" i="24"/>
  <c r="E45" i="24"/>
  <c r="F45" i="24"/>
  <c r="B46" i="24"/>
  <c r="C46" i="24"/>
  <c r="D46" i="24"/>
  <c r="E46" i="24"/>
  <c r="F46" i="24"/>
  <c r="B47" i="24"/>
  <c r="C47" i="24"/>
  <c r="D47" i="24"/>
  <c r="E47" i="24"/>
  <c r="F47" i="24"/>
  <c r="G47" i="24"/>
  <c r="H47" i="24"/>
  <c r="I47" i="24"/>
  <c r="B48" i="24"/>
  <c r="C48" i="24"/>
  <c r="D48" i="24"/>
  <c r="E48" i="24"/>
  <c r="F48" i="24"/>
  <c r="B49" i="24"/>
  <c r="C49" i="24"/>
  <c r="D49" i="24"/>
  <c r="E49" i="24"/>
  <c r="F49" i="24"/>
  <c r="B3" i="28"/>
  <c r="C3" i="28"/>
  <c r="E3" i="28" s="1"/>
  <c r="D3" i="28"/>
  <c r="F3" i="28" s="1"/>
  <c r="B4" i="28"/>
  <c r="C4" i="28"/>
  <c r="D4" i="28"/>
  <c r="E4" i="28"/>
  <c r="F4" i="28"/>
  <c r="B5" i="28"/>
  <c r="C5" i="28"/>
  <c r="D5" i="28"/>
  <c r="E5" i="28"/>
  <c r="F5" i="28"/>
  <c r="B6" i="28"/>
  <c r="C6" i="28"/>
  <c r="E6" i="28" s="1"/>
  <c r="D6" i="28"/>
  <c r="F6" i="28" s="1"/>
  <c r="B7" i="28"/>
  <c r="C7" i="28"/>
  <c r="D7" i="28"/>
  <c r="E7" i="28"/>
  <c r="F7" i="28"/>
  <c r="B8" i="28"/>
  <c r="C8" i="28"/>
  <c r="E8" i="28" s="1"/>
  <c r="D8" i="28"/>
  <c r="F8" i="28" s="1"/>
  <c r="B9" i="28"/>
  <c r="C9" i="28"/>
  <c r="E9" i="28" s="1"/>
  <c r="D9" i="28"/>
  <c r="F9" i="28" s="1"/>
  <c r="B10" i="28"/>
  <c r="C10" i="28"/>
  <c r="D10" i="28"/>
  <c r="F10" i="28" s="1"/>
  <c r="E10" i="28"/>
  <c r="B11" i="28"/>
  <c r="C11" i="28"/>
  <c r="D11" i="28"/>
  <c r="E11" i="28"/>
  <c r="F11" i="28"/>
  <c r="B12" i="28"/>
  <c r="C12" i="28"/>
  <c r="E12" i="28" s="1"/>
  <c r="D12" i="28"/>
  <c r="F12" i="28" s="1"/>
  <c r="B13" i="28"/>
  <c r="C13" i="28"/>
  <c r="D13" i="28"/>
  <c r="E13" i="28"/>
  <c r="F13" i="28"/>
  <c r="B14" i="28"/>
  <c r="C14" i="28"/>
  <c r="D14" i="28"/>
  <c r="F14" i="28" s="1"/>
  <c r="E14" i="28"/>
  <c r="B15" i="28"/>
  <c r="C15" i="28"/>
  <c r="E15" i="28" s="1"/>
  <c r="D15" i="28"/>
  <c r="F15" i="28" s="1"/>
  <c r="B16" i="28"/>
  <c r="C16" i="28"/>
  <c r="D16" i="28"/>
  <c r="E16" i="28"/>
  <c r="F16" i="28"/>
  <c r="B17" i="28"/>
  <c r="C17" i="28"/>
  <c r="D17" i="28"/>
  <c r="E17" i="28"/>
  <c r="F17" i="28"/>
  <c r="B18" i="28"/>
  <c r="C18" i="28"/>
  <c r="E18" i="28" s="1"/>
  <c r="D18" i="28"/>
  <c r="F18" i="28" s="1"/>
  <c r="B19" i="28"/>
  <c r="C19" i="28"/>
  <c r="D19" i="28"/>
  <c r="F19" i="28" s="1"/>
  <c r="E19" i="28"/>
  <c r="B20" i="28"/>
  <c r="C20" i="28"/>
  <c r="E20" i="28" s="1"/>
  <c r="D20" i="28"/>
  <c r="F20" i="28" s="1"/>
  <c r="B21" i="28"/>
  <c r="C21" i="28"/>
  <c r="E21" i="28" s="1"/>
  <c r="D21" i="28"/>
  <c r="F21" i="28" s="1"/>
  <c r="B22" i="28"/>
  <c r="C22" i="28"/>
  <c r="D22" i="28"/>
  <c r="E22" i="28"/>
  <c r="F22" i="28"/>
  <c r="B23" i="28"/>
  <c r="C23" i="28"/>
  <c r="D23" i="28"/>
  <c r="E23" i="28"/>
  <c r="F23" i="28"/>
  <c r="G23" i="28" s="1"/>
  <c r="H23" i="28" s="1"/>
  <c r="B24" i="28"/>
  <c r="C24" i="28"/>
  <c r="E24" i="28" s="1"/>
  <c r="D24" i="28"/>
  <c r="F24" i="28" s="1"/>
  <c r="B25" i="28"/>
  <c r="C25" i="28"/>
  <c r="D25" i="28"/>
  <c r="E25" i="28"/>
  <c r="F25" i="28"/>
  <c r="B26" i="28"/>
  <c r="C26" i="28"/>
  <c r="D26" i="28"/>
  <c r="F26" i="28" s="1"/>
  <c r="E26" i="28"/>
  <c r="B27" i="28"/>
  <c r="C27" i="28"/>
  <c r="E27" i="28" s="1"/>
  <c r="D27" i="28"/>
  <c r="F27" i="28" s="1"/>
  <c r="B28" i="28"/>
  <c r="C28" i="28"/>
  <c r="D28" i="28"/>
  <c r="F28" i="28" s="1"/>
  <c r="E28" i="28"/>
  <c r="B29" i="28"/>
  <c r="C29" i="28"/>
  <c r="E29" i="28" s="1"/>
  <c r="D29" i="28"/>
  <c r="F29" i="28" s="1"/>
  <c r="B30" i="28"/>
  <c r="C30" i="28"/>
  <c r="E30" i="28" s="1"/>
  <c r="D30" i="28"/>
  <c r="F30" i="28" s="1"/>
  <c r="B31" i="28"/>
  <c r="C31" i="28"/>
  <c r="D31" i="28"/>
  <c r="E31" i="28"/>
  <c r="F31" i="28"/>
  <c r="B32" i="28"/>
  <c r="C32" i="28"/>
  <c r="D32" i="28"/>
  <c r="E32" i="28"/>
  <c r="F32" i="28"/>
  <c r="G32" i="28"/>
  <c r="H32" i="28"/>
  <c r="B33" i="28"/>
  <c r="C33" i="28"/>
  <c r="E33" i="28" s="1"/>
  <c r="D33" i="28"/>
  <c r="F33" i="28" s="1"/>
  <c r="B34" i="28"/>
  <c r="C34" i="28"/>
  <c r="D34" i="28"/>
  <c r="E34" i="28"/>
  <c r="F34" i="28"/>
  <c r="B35" i="28"/>
  <c r="C35" i="28"/>
  <c r="D35" i="28"/>
  <c r="E35" i="28"/>
  <c r="F35" i="28"/>
  <c r="B36" i="28"/>
  <c r="C36" i="28"/>
  <c r="E36" i="28" s="1"/>
  <c r="D36" i="28"/>
  <c r="F36" i="28" s="1"/>
  <c r="B37" i="28"/>
  <c r="C37" i="28"/>
  <c r="D37" i="28"/>
  <c r="F37" i="28" s="1"/>
  <c r="E37" i="28"/>
  <c r="B38" i="28"/>
  <c r="C38" i="28"/>
  <c r="E38" i="28" s="1"/>
  <c r="D38" i="28"/>
  <c r="F38" i="28" s="1"/>
  <c r="B39" i="28"/>
  <c r="C39" i="28"/>
  <c r="E39" i="28" s="1"/>
  <c r="D39" i="28"/>
  <c r="F39" i="28" s="1"/>
  <c r="B40" i="28"/>
  <c r="C40" i="28"/>
  <c r="D40" i="28"/>
  <c r="E40" i="28"/>
  <c r="F40" i="28"/>
  <c r="B41" i="28"/>
  <c r="C41" i="28"/>
  <c r="D41" i="28"/>
  <c r="E41" i="28"/>
  <c r="F41" i="28"/>
  <c r="G41" i="28" s="1"/>
  <c r="H41" i="28" s="1"/>
  <c r="B42" i="28"/>
  <c r="C42" i="28"/>
  <c r="E42" i="28" s="1"/>
  <c r="D42" i="28"/>
  <c r="F42" i="28" s="1"/>
  <c r="B43" i="28"/>
  <c r="C43" i="28"/>
  <c r="D43" i="28"/>
  <c r="E43" i="28"/>
  <c r="F43" i="28"/>
  <c r="B44" i="28"/>
  <c r="C44" i="28"/>
  <c r="D44" i="28"/>
  <c r="E44" i="28"/>
  <c r="F44" i="28"/>
  <c r="B45" i="28"/>
  <c r="C45" i="28"/>
  <c r="E45" i="28" s="1"/>
  <c r="D45" i="28"/>
  <c r="F45" i="28" s="1"/>
  <c r="B46" i="28"/>
  <c r="C46" i="28"/>
  <c r="D46" i="28"/>
  <c r="F46" i="28" s="1"/>
  <c r="E46" i="28"/>
  <c r="B47" i="28"/>
  <c r="C47" i="28"/>
  <c r="E47" i="28" s="1"/>
  <c r="D47" i="28"/>
  <c r="F47" i="28" s="1"/>
  <c r="B48" i="28"/>
  <c r="C48" i="28"/>
  <c r="E48" i="28" s="1"/>
  <c r="D48" i="28"/>
  <c r="F48" i="28" s="1"/>
  <c r="B49" i="28"/>
  <c r="C49" i="28"/>
  <c r="D49" i="28"/>
  <c r="E49" i="28"/>
  <c r="F49" i="28"/>
  <c r="B50" i="28"/>
  <c r="C50" i="28"/>
  <c r="D50" i="28"/>
  <c r="E50" i="28"/>
  <c r="F50" i="28"/>
  <c r="G50" i="28"/>
  <c r="H50" i="28"/>
  <c r="B51" i="28"/>
  <c r="C51" i="28"/>
  <c r="E51" i="28" s="1"/>
  <c r="D51" i="28"/>
  <c r="F51" i="28" s="1"/>
  <c r="B52" i="28"/>
  <c r="C52" i="28"/>
  <c r="D52" i="28"/>
  <c r="E52" i="28"/>
  <c r="F52" i="28"/>
  <c r="B53" i="28"/>
  <c r="C53" i="28"/>
  <c r="D53" i="28"/>
  <c r="E53" i="28"/>
  <c r="F53" i="28"/>
  <c r="B54" i="28"/>
  <c r="C54" i="28"/>
  <c r="E54" i="28" s="1"/>
  <c r="D54" i="28"/>
  <c r="F54" i="28" s="1"/>
  <c r="B55" i="28"/>
  <c r="C55" i="28"/>
  <c r="D55" i="28"/>
  <c r="F55" i="28" s="1"/>
  <c r="E55" i="28"/>
  <c r="B56" i="28"/>
  <c r="C56" i="28"/>
  <c r="E56" i="28" s="1"/>
  <c r="D56" i="28"/>
  <c r="F56" i="28" s="1"/>
  <c r="B57" i="28"/>
  <c r="C57" i="28"/>
  <c r="E57" i="28" s="1"/>
  <c r="D57" i="28"/>
  <c r="F57" i="28" s="1"/>
  <c r="B58" i="28"/>
  <c r="C58" i="28"/>
  <c r="D58" i="28"/>
  <c r="E58" i="28"/>
  <c r="F58" i="28"/>
  <c r="B59" i="28"/>
  <c r="C59" i="28"/>
  <c r="D59" i="28"/>
  <c r="E59" i="28"/>
  <c r="F59" i="28"/>
  <c r="G59" i="28" s="1"/>
  <c r="H59" i="28" s="1"/>
  <c r="B60" i="28"/>
  <c r="C60" i="28"/>
  <c r="E60" i="28" s="1"/>
  <c r="D60" i="28"/>
  <c r="F60" i="28" s="1"/>
  <c r="B61" i="28"/>
  <c r="C61" i="28"/>
  <c r="D61" i="28"/>
  <c r="E61" i="28"/>
  <c r="F61" i="28"/>
  <c r="B62" i="28"/>
  <c r="C62" i="28"/>
  <c r="D62" i="28"/>
  <c r="E62" i="28"/>
  <c r="F62" i="28"/>
  <c r="B63" i="28"/>
  <c r="C63" i="28"/>
  <c r="E63" i="28" s="1"/>
  <c r="D63" i="28"/>
  <c r="F63" i="28" s="1"/>
  <c r="B64" i="28"/>
  <c r="C64" i="28"/>
  <c r="D64" i="28"/>
  <c r="F64" i="28" s="1"/>
  <c r="E64" i="28"/>
  <c r="B65" i="28"/>
  <c r="C65" i="28"/>
  <c r="E65" i="28" s="1"/>
  <c r="D65" i="28"/>
  <c r="F65" i="28" s="1"/>
  <c r="B66" i="28"/>
  <c r="C66" i="28"/>
  <c r="E66" i="28" s="1"/>
  <c r="D66" i="28"/>
  <c r="F66" i="28" s="1"/>
  <c r="B67" i="28"/>
  <c r="C67" i="28"/>
  <c r="D67" i="28"/>
  <c r="E67" i="28"/>
  <c r="F67" i="28"/>
  <c r="B68" i="28"/>
  <c r="C68" i="28"/>
  <c r="D68" i="28"/>
  <c r="E68" i="28"/>
  <c r="F68" i="28"/>
  <c r="G68" i="28"/>
  <c r="H68" i="28" s="1"/>
  <c r="B69" i="28"/>
  <c r="C69" i="28"/>
  <c r="E69" i="28" s="1"/>
  <c r="D69" i="28"/>
  <c r="F69" i="28" s="1"/>
  <c r="B70" i="28"/>
  <c r="C70" i="28"/>
  <c r="D70" i="28"/>
  <c r="E70" i="28"/>
  <c r="F70" i="28"/>
  <c r="B71" i="28"/>
  <c r="C71" i="28"/>
  <c r="D71" i="28"/>
  <c r="E71" i="28"/>
  <c r="F71" i="28"/>
  <c r="B72" i="28"/>
  <c r="C72" i="28"/>
  <c r="E72" i="28" s="1"/>
  <c r="D72" i="28"/>
  <c r="F72" i="28" s="1"/>
  <c r="B73" i="28"/>
  <c r="C73" i="28"/>
  <c r="D73" i="28"/>
  <c r="F73" i="28" s="1"/>
  <c r="E73" i="28"/>
  <c r="B74" i="28"/>
  <c r="C74" i="28"/>
  <c r="E74" i="28" s="1"/>
  <c r="D74" i="28"/>
  <c r="F74" i="28" s="1"/>
  <c r="B75" i="28"/>
  <c r="C75" i="28"/>
  <c r="E75" i="28" s="1"/>
  <c r="D75" i="28"/>
  <c r="F75" i="28" s="1"/>
  <c r="B76" i="28"/>
  <c r="C76" i="28"/>
  <c r="D76" i="28"/>
  <c r="E76" i="28"/>
  <c r="F76" i="28"/>
  <c r="B77" i="28"/>
  <c r="C77" i="28"/>
  <c r="D77" i="28"/>
  <c r="E77" i="28"/>
  <c r="F77" i="28"/>
  <c r="G77" i="28"/>
  <c r="H77" i="28"/>
  <c r="D2" i="28"/>
  <c r="F2" i="28" s="1"/>
  <c r="C2" i="28"/>
  <c r="B2" i="28"/>
  <c r="E2" i="28"/>
  <c r="D2" i="24"/>
  <c r="F2" i="24" s="1"/>
  <c r="C2" i="24"/>
  <c r="E2" i="24" s="1"/>
  <c r="B2" i="24"/>
  <c r="B3" i="21"/>
  <c r="C3" i="21"/>
  <c r="E3" i="21" s="1"/>
  <c r="D3" i="21"/>
  <c r="F3" i="21" s="1"/>
  <c r="B4" i="21"/>
  <c r="C4" i="21"/>
  <c r="E4" i="21" s="1"/>
  <c r="D4" i="21"/>
  <c r="F4" i="21" s="1"/>
  <c r="B5" i="21"/>
  <c r="C5" i="21"/>
  <c r="D5" i="21"/>
  <c r="E5" i="21"/>
  <c r="F5" i="21"/>
  <c r="B6" i="21"/>
  <c r="C6" i="21"/>
  <c r="E6" i="21" s="1"/>
  <c r="D6" i="21"/>
  <c r="F6" i="21" s="1"/>
  <c r="B7" i="21"/>
  <c r="C7" i="21"/>
  <c r="D7" i="21"/>
  <c r="E7" i="21"/>
  <c r="F7" i="21"/>
  <c r="B8" i="21"/>
  <c r="C8" i="21"/>
  <c r="E8" i="21" s="1"/>
  <c r="D8" i="21"/>
  <c r="F8" i="21" s="1"/>
  <c r="B9" i="21"/>
  <c r="C9" i="21"/>
  <c r="E9" i="21" s="1"/>
  <c r="D9" i="21"/>
  <c r="F9" i="21" s="1"/>
  <c r="B10" i="21"/>
  <c r="C10" i="21"/>
  <c r="D10" i="21"/>
  <c r="E10" i="21"/>
  <c r="F10" i="21"/>
  <c r="B11" i="21"/>
  <c r="C11" i="21"/>
  <c r="D11" i="21"/>
  <c r="E11" i="21"/>
  <c r="F11" i="21"/>
  <c r="B12" i="21"/>
  <c r="C12" i="21"/>
  <c r="E12" i="21" s="1"/>
  <c r="D12" i="21"/>
  <c r="F12" i="21" s="1"/>
  <c r="B13" i="21"/>
  <c r="C13" i="21"/>
  <c r="E13" i="21" s="1"/>
  <c r="D13" i="21"/>
  <c r="F13" i="21" s="1"/>
  <c r="B14" i="21"/>
  <c r="C14" i="21"/>
  <c r="E14" i="21" s="1"/>
  <c r="D14" i="21"/>
  <c r="F14" i="21" s="1"/>
  <c r="B15" i="21"/>
  <c r="C15" i="21"/>
  <c r="E15" i="21" s="1"/>
  <c r="D15" i="21"/>
  <c r="F15" i="21" s="1"/>
  <c r="B16" i="21"/>
  <c r="C16" i="21"/>
  <c r="D16" i="21"/>
  <c r="F16" i="21" s="1"/>
  <c r="G16" i="21" s="1"/>
  <c r="H16" i="21" s="1"/>
  <c r="E16" i="21"/>
  <c r="B17" i="21"/>
  <c r="C17" i="21"/>
  <c r="D17" i="21"/>
  <c r="E17" i="21"/>
  <c r="F17" i="21"/>
  <c r="B18" i="21"/>
  <c r="G70" i="21" s="1"/>
  <c r="H70" i="21" s="1"/>
  <c r="C18" i="21"/>
  <c r="E18" i="21" s="1"/>
  <c r="D18" i="21"/>
  <c r="F18" i="21" s="1"/>
  <c r="B19" i="21"/>
  <c r="C19" i="21"/>
  <c r="D19" i="21"/>
  <c r="F19" i="21" s="1"/>
  <c r="E19" i="21"/>
  <c r="B20" i="21"/>
  <c r="C20" i="21"/>
  <c r="D20" i="21"/>
  <c r="E20" i="21"/>
  <c r="F20" i="21"/>
  <c r="B21" i="21"/>
  <c r="C21" i="21"/>
  <c r="E21" i="21" s="1"/>
  <c r="D21" i="21"/>
  <c r="F21" i="21" s="1"/>
  <c r="B22" i="21"/>
  <c r="C22" i="21"/>
  <c r="D22" i="21"/>
  <c r="E22" i="21"/>
  <c r="F22" i="21"/>
  <c r="B23" i="21"/>
  <c r="C23" i="21"/>
  <c r="E23" i="21" s="1"/>
  <c r="D23" i="21"/>
  <c r="F23" i="21" s="1"/>
  <c r="B24" i="21"/>
  <c r="C24" i="21"/>
  <c r="E24" i="21" s="1"/>
  <c r="D24" i="21"/>
  <c r="F24" i="21" s="1"/>
  <c r="B25" i="21"/>
  <c r="C25" i="21"/>
  <c r="D25" i="21"/>
  <c r="E25" i="21"/>
  <c r="F25" i="21"/>
  <c r="B26" i="21"/>
  <c r="C26" i="21"/>
  <c r="G26" i="21" s="1"/>
  <c r="H26" i="21" s="1"/>
  <c r="I26" i="21" s="1"/>
  <c r="D26" i="21"/>
  <c r="E26" i="21"/>
  <c r="F26" i="21"/>
  <c r="B27" i="21"/>
  <c r="C27" i="21"/>
  <c r="E27" i="21" s="1"/>
  <c r="D27" i="21"/>
  <c r="F27" i="21" s="1"/>
  <c r="B28" i="21"/>
  <c r="C28" i="21"/>
  <c r="D28" i="21"/>
  <c r="E28" i="21"/>
  <c r="F28" i="21"/>
  <c r="B29" i="21"/>
  <c r="C29" i="21"/>
  <c r="E29" i="21" s="1"/>
  <c r="D29" i="21"/>
  <c r="F29" i="21" s="1"/>
  <c r="B30" i="21"/>
  <c r="C30" i="21"/>
  <c r="E30" i="21" s="1"/>
  <c r="D30" i="21"/>
  <c r="F30" i="21" s="1"/>
  <c r="B31" i="21"/>
  <c r="C31" i="21"/>
  <c r="D31" i="21"/>
  <c r="E31" i="21"/>
  <c r="F31" i="21"/>
  <c r="B32" i="21"/>
  <c r="C32" i="21"/>
  <c r="E32" i="21" s="1"/>
  <c r="D32" i="21"/>
  <c r="F32" i="21"/>
  <c r="B33" i="21"/>
  <c r="C33" i="21"/>
  <c r="E33" i="21" s="1"/>
  <c r="D33" i="21"/>
  <c r="F33" i="21" s="1"/>
  <c r="B34" i="21"/>
  <c r="C34" i="21"/>
  <c r="E34" i="21" s="1"/>
  <c r="D34" i="21"/>
  <c r="F34" i="21" s="1"/>
  <c r="B35" i="21"/>
  <c r="C35" i="21"/>
  <c r="D35" i="21"/>
  <c r="F35" i="21" s="1"/>
  <c r="E35" i="21"/>
  <c r="B36" i="21"/>
  <c r="C36" i="21"/>
  <c r="E36" i="21" s="1"/>
  <c r="D36" i="21"/>
  <c r="F36" i="21" s="1"/>
  <c r="B37" i="21"/>
  <c r="C37" i="21"/>
  <c r="D37" i="21"/>
  <c r="F37" i="21" s="1"/>
  <c r="G37" i="21" s="1"/>
  <c r="H37" i="21" s="1"/>
  <c r="E37" i="21"/>
  <c r="B38" i="21"/>
  <c r="C38" i="21"/>
  <c r="D38" i="21"/>
  <c r="E38" i="21"/>
  <c r="F38" i="21"/>
  <c r="B39" i="21"/>
  <c r="C39" i="21"/>
  <c r="E39" i="21" s="1"/>
  <c r="D39" i="21"/>
  <c r="F39" i="21" s="1"/>
  <c r="B40" i="21"/>
  <c r="C40" i="21"/>
  <c r="E40" i="21" s="1"/>
  <c r="D40" i="21"/>
  <c r="F40" i="21"/>
  <c r="B41" i="21"/>
  <c r="C41" i="21"/>
  <c r="D41" i="21"/>
  <c r="E41" i="21"/>
  <c r="F41" i="21"/>
  <c r="B42" i="21"/>
  <c r="C42" i="21"/>
  <c r="E42" i="21" s="1"/>
  <c r="D42" i="21"/>
  <c r="F42" i="21" s="1"/>
  <c r="B43" i="21"/>
  <c r="C43" i="21"/>
  <c r="D43" i="21"/>
  <c r="E43" i="21"/>
  <c r="F43" i="21"/>
  <c r="B44" i="21"/>
  <c r="C44" i="21"/>
  <c r="D44" i="21"/>
  <c r="F44" i="21" s="1"/>
  <c r="E44" i="21"/>
  <c r="B45" i="21"/>
  <c r="C45" i="21"/>
  <c r="E45" i="21" s="1"/>
  <c r="D45" i="21"/>
  <c r="F45" i="21" s="1"/>
  <c r="B46" i="21"/>
  <c r="C46" i="21"/>
  <c r="E46" i="21" s="1"/>
  <c r="D46" i="21"/>
  <c r="F46" i="21" s="1"/>
  <c r="B47" i="21"/>
  <c r="C47" i="21"/>
  <c r="D47" i="21"/>
  <c r="E47" i="21"/>
  <c r="F47" i="21"/>
  <c r="B48" i="21"/>
  <c r="C48" i="21"/>
  <c r="E48" i="21" s="1"/>
  <c r="D48" i="21"/>
  <c r="F48" i="21" s="1"/>
  <c r="B49" i="21"/>
  <c r="C49" i="21"/>
  <c r="D49" i="21"/>
  <c r="E49" i="21"/>
  <c r="F49" i="21"/>
  <c r="B50" i="21"/>
  <c r="C50" i="21"/>
  <c r="D50" i="21"/>
  <c r="F50" i="21" s="1"/>
  <c r="E50" i="21"/>
  <c r="B51" i="21"/>
  <c r="C51" i="21"/>
  <c r="E51" i="21" s="1"/>
  <c r="D51" i="21"/>
  <c r="F51" i="21" s="1"/>
  <c r="B52" i="21"/>
  <c r="C52" i="21"/>
  <c r="D52" i="21"/>
  <c r="E52" i="21"/>
  <c r="F52" i="21"/>
  <c r="B53" i="21"/>
  <c r="C53" i="21"/>
  <c r="E53" i="21" s="1"/>
  <c r="D53" i="21"/>
  <c r="F53" i="21"/>
  <c r="B54" i="21"/>
  <c r="C54" i="21"/>
  <c r="E54" i="21" s="1"/>
  <c r="D54" i="21"/>
  <c r="F54" i="21" s="1"/>
  <c r="B55" i="21"/>
  <c r="C55" i="21"/>
  <c r="D55" i="21"/>
  <c r="E55" i="21"/>
  <c r="F55" i="21"/>
  <c r="B56" i="21"/>
  <c r="C56" i="21"/>
  <c r="D56" i="21"/>
  <c r="F56" i="21" s="1"/>
  <c r="E56" i="21"/>
  <c r="B57" i="21"/>
  <c r="C57" i="21"/>
  <c r="E57" i="21" s="1"/>
  <c r="D57" i="21"/>
  <c r="F57" i="21" s="1"/>
  <c r="B58" i="21"/>
  <c r="C58" i="21"/>
  <c r="D58" i="21"/>
  <c r="F58" i="21" s="1"/>
  <c r="E58" i="21"/>
  <c r="B59" i="21"/>
  <c r="C59" i="21"/>
  <c r="D59" i="21"/>
  <c r="E59" i="21"/>
  <c r="F59" i="21"/>
  <c r="B60" i="21"/>
  <c r="C60" i="21"/>
  <c r="E60" i="21" s="1"/>
  <c r="D60" i="21"/>
  <c r="F60" i="21" s="1"/>
  <c r="B61" i="21"/>
  <c r="C61" i="21"/>
  <c r="E61" i="21" s="1"/>
  <c r="D61" i="21"/>
  <c r="F61" i="21" s="1"/>
  <c r="B62" i="21"/>
  <c r="C62" i="21"/>
  <c r="E62" i="21" s="1"/>
  <c r="D62" i="21"/>
  <c r="F62" i="21"/>
  <c r="B63" i="21"/>
  <c r="C63" i="21"/>
  <c r="E63" i="21" s="1"/>
  <c r="D63" i="21"/>
  <c r="F63" i="21" s="1"/>
  <c r="B64" i="21"/>
  <c r="C64" i="21"/>
  <c r="E64" i="21" s="1"/>
  <c r="D64" i="21"/>
  <c r="F64" i="21"/>
  <c r="B65" i="21"/>
  <c r="C65" i="21"/>
  <c r="D65" i="21"/>
  <c r="E65" i="21"/>
  <c r="F65" i="21"/>
  <c r="B66" i="21"/>
  <c r="C66" i="21"/>
  <c r="E66" i="21" s="1"/>
  <c r="D66" i="21"/>
  <c r="F66" i="21" s="1"/>
  <c r="B67" i="21"/>
  <c r="C67" i="21"/>
  <c r="D67" i="21"/>
  <c r="F67" i="21" s="1"/>
  <c r="E67" i="21"/>
  <c r="B68" i="21"/>
  <c r="C68" i="21"/>
  <c r="D68" i="21"/>
  <c r="E68" i="21"/>
  <c r="F68" i="21"/>
  <c r="B69" i="21"/>
  <c r="C69" i="21"/>
  <c r="E69" i="21" s="1"/>
  <c r="D69" i="21"/>
  <c r="F69" i="21" s="1"/>
  <c r="B70" i="21"/>
  <c r="C70" i="21"/>
  <c r="D70" i="21"/>
  <c r="E70" i="21"/>
  <c r="F70" i="21"/>
  <c r="B71" i="21"/>
  <c r="C71" i="21"/>
  <c r="D71" i="21"/>
  <c r="F71" i="21" s="1"/>
  <c r="E71" i="21"/>
  <c r="B72" i="21"/>
  <c r="C72" i="21"/>
  <c r="E72" i="21" s="1"/>
  <c r="D72" i="21"/>
  <c r="F72" i="21" s="1"/>
  <c r="B73" i="21"/>
  <c r="C73" i="21"/>
  <c r="D73" i="21"/>
  <c r="E73" i="21"/>
  <c r="F73" i="21"/>
  <c r="B74" i="21"/>
  <c r="C74" i="21"/>
  <c r="E74" i="21" s="1"/>
  <c r="D74" i="21"/>
  <c r="F74" i="21"/>
  <c r="B75" i="21"/>
  <c r="C75" i="21"/>
  <c r="E75" i="21" s="1"/>
  <c r="D75" i="21"/>
  <c r="F75" i="21" s="1"/>
  <c r="B76" i="21"/>
  <c r="C76" i="21"/>
  <c r="E76" i="21" s="1"/>
  <c r="D76" i="21"/>
  <c r="F76" i="21" s="1"/>
  <c r="B77" i="21"/>
  <c r="C77" i="21"/>
  <c r="D77" i="21"/>
  <c r="E77" i="21"/>
  <c r="F77" i="21"/>
  <c r="B78" i="21"/>
  <c r="C78" i="21"/>
  <c r="E78" i="21" s="1"/>
  <c r="D78" i="21"/>
  <c r="F78" i="21" s="1"/>
  <c r="B79" i="21"/>
  <c r="C79" i="21"/>
  <c r="D79" i="21"/>
  <c r="E79" i="21"/>
  <c r="F79" i="21"/>
  <c r="B80" i="21"/>
  <c r="C80" i="21"/>
  <c r="D80" i="21"/>
  <c r="E80" i="21"/>
  <c r="F80" i="21"/>
  <c r="B81" i="21"/>
  <c r="C81" i="21"/>
  <c r="E81" i="21" s="1"/>
  <c r="D81" i="21"/>
  <c r="F81" i="21" s="1"/>
  <c r="B82" i="21"/>
  <c r="C82" i="21"/>
  <c r="E82" i="21" s="1"/>
  <c r="D82" i="21"/>
  <c r="F82" i="21" s="1"/>
  <c r="B83" i="21"/>
  <c r="C83" i="21"/>
  <c r="E83" i="21" s="1"/>
  <c r="D83" i="21"/>
  <c r="F83" i="21"/>
  <c r="B84" i="21"/>
  <c r="C84" i="21"/>
  <c r="E84" i="21" s="1"/>
  <c r="D84" i="21"/>
  <c r="F84" i="21" s="1"/>
  <c r="B85" i="21"/>
  <c r="C85" i="21"/>
  <c r="E85" i="21" s="1"/>
  <c r="D85" i="21"/>
  <c r="F85" i="21"/>
  <c r="B86" i="21"/>
  <c r="C86" i="21"/>
  <c r="D86" i="21"/>
  <c r="E86" i="21"/>
  <c r="F86" i="21"/>
  <c r="B87" i="21"/>
  <c r="C87" i="21"/>
  <c r="E87" i="21" s="1"/>
  <c r="D87" i="21"/>
  <c r="F87" i="21" s="1"/>
  <c r="B88" i="21"/>
  <c r="C88" i="21"/>
  <c r="E88" i="21" s="1"/>
  <c r="D88" i="21"/>
  <c r="F88" i="21" s="1"/>
  <c r="B89" i="21"/>
  <c r="C89" i="21"/>
  <c r="D89" i="21"/>
  <c r="E89" i="21"/>
  <c r="F89" i="21"/>
  <c r="B90" i="21"/>
  <c r="C90" i="21"/>
  <c r="E90" i="21" s="1"/>
  <c r="D90" i="21"/>
  <c r="F90" i="21" s="1"/>
  <c r="B91" i="21"/>
  <c r="C91" i="21"/>
  <c r="D91" i="21"/>
  <c r="E91" i="21"/>
  <c r="F91" i="21"/>
  <c r="B92" i="21"/>
  <c r="C92" i="21"/>
  <c r="E92" i="21" s="1"/>
  <c r="D92" i="21"/>
  <c r="F92" i="21"/>
  <c r="B93" i="21"/>
  <c r="C93" i="21"/>
  <c r="E93" i="21" s="1"/>
  <c r="D93" i="21"/>
  <c r="F93" i="21" s="1"/>
  <c r="B94" i="21"/>
  <c r="C94" i="21"/>
  <c r="D94" i="21"/>
  <c r="E94" i="21"/>
  <c r="F94" i="21"/>
  <c r="B95" i="21"/>
  <c r="C95" i="21"/>
  <c r="E95" i="21" s="1"/>
  <c r="D95" i="21"/>
  <c r="F95" i="21" s="1"/>
  <c r="B96" i="21"/>
  <c r="C96" i="21"/>
  <c r="E96" i="21" s="1"/>
  <c r="D96" i="21"/>
  <c r="F96" i="21" s="1"/>
  <c r="B97" i="21"/>
  <c r="C97" i="21"/>
  <c r="E97" i="21" s="1"/>
  <c r="D97" i="21"/>
  <c r="F97" i="21" s="1"/>
  <c r="B98" i="21"/>
  <c r="C98" i="21"/>
  <c r="D98" i="21"/>
  <c r="E98" i="21"/>
  <c r="F98" i="21"/>
  <c r="B99" i="21"/>
  <c r="C99" i="21"/>
  <c r="E99" i="21" s="1"/>
  <c r="D99" i="21"/>
  <c r="F99" i="21" s="1"/>
  <c r="B100" i="21"/>
  <c r="C100" i="21"/>
  <c r="D100" i="21"/>
  <c r="E100" i="21"/>
  <c r="F100" i="21"/>
  <c r="B101" i="21"/>
  <c r="C101" i="21"/>
  <c r="D101" i="21"/>
  <c r="E101" i="21"/>
  <c r="F101" i="21"/>
  <c r="B102" i="21"/>
  <c r="C102" i="21"/>
  <c r="E102" i="21" s="1"/>
  <c r="D102" i="21"/>
  <c r="F102" i="21" s="1"/>
  <c r="B103" i="21"/>
  <c r="C103" i="21"/>
  <c r="D103" i="21"/>
  <c r="F103" i="21" s="1"/>
  <c r="E103" i="21"/>
  <c r="B104" i="21"/>
  <c r="C104" i="21"/>
  <c r="E104" i="21" s="1"/>
  <c r="D104" i="21"/>
  <c r="F104" i="21" s="1"/>
  <c r="B105" i="21"/>
  <c r="C105" i="21"/>
  <c r="E105" i="21" s="1"/>
  <c r="D105" i="21"/>
  <c r="F105" i="21" s="1"/>
  <c r="B106" i="21"/>
  <c r="C106" i="21"/>
  <c r="E106" i="21" s="1"/>
  <c r="D106" i="21"/>
  <c r="F106" i="21" s="1"/>
  <c r="G106" i="21" s="1"/>
  <c r="H106" i="21" s="1"/>
  <c r="B107" i="21"/>
  <c r="C107" i="21"/>
  <c r="D107" i="21"/>
  <c r="E107" i="21"/>
  <c r="F107" i="21"/>
  <c r="G107" i="21" s="1"/>
  <c r="H107" i="21" s="1"/>
  <c r="I107" i="21" s="1"/>
  <c r="B108" i="21"/>
  <c r="C108" i="21"/>
  <c r="E108" i="21" s="1"/>
  <c r="D108" i="21"/>
  <c r="F108" i="21" s="1"/>
  <c r="B109" i="21"/>
  <c r="C109" i="21"/>
  <c r="D109" i="21"/>
  <c r="F109" i="21" s="1"/>
  <c r="E109" i="21"/>
  <c r="B110" i="21"/>
  <c r="C110" i="21"/>
  <c r="D110" i="21"/>
  <c r="E110" i="21"/>
  <c r="F110" i="21"/>
  <c r="B111" i="21"/>
  <c r="C111" i="21"/>
  <c r="E111" i="21" s="1"/>
  <c r="D111" i="21"/>
  <c r="F111" i="21" s="1"/>
  <c r="B112" i="21"/>
  <c r="C112" i="21"/>
  <c r="D112" i="21"/>
  <c r="E112" i="21"/>
  <c r="F112" i="21"/>
  <c r="B113" i="21"/>
  <c r="C113" i="21"/>
  <c r="D113" i="21"/>
  <c r="F113" i="21" s="1"/>
  <c r="E113" i="21"/>
  <c r="B114" i="21"/>
  <c r="C114" i="21"/>
  <c r="E114" i="21" s="1"/>
  <c r="D114" i="21"/>
  <c r="F114" i="21" s="1"/>
  <c r="B115" i="21"/>
  <c r="C115" i="21"/>
  <c r="D115" i="21"/>
  <c r="E115" i="21"/>
  <c r="F115" i="21"/>
  <c r="D2" i="21"/>
  <c r="F2" i="21" s="1"/>
  <c r="C2" i="21"/>
  <c r="E2" i="21" s="1"/>
  <c r="B2" i="21"/>
  <c r="B3" i="18"/>
  <c r="C3" i="18"/>
  <c r="E3" i="18" s="1"/>
  <c r="D3" i="18"/>
  <c r="F3" i="18" s="1"/>
  <c r="B4" i="18"/>
  <c r="C4" i="18"/>
  <c r="E4" i="18" s="1"/>
  <c r="D4" i="18"/>
  <c r="F4" i="18" s="1"/>
  <c r="B5" i="18"/>
  <c r="C5" i="18"/>
  <c r="D5" i="18"/>
  <c r="E5" i="18"/>
  <c r="F5" i="18"/>
  <c r="B6" i="18"/>
  <c r="C6" i="18"/>
  <c r="E6" i="18" s="1"/>
  <c r="D6" i="18"/>
  <c r="F6" i="18" s="1"/>
  <c r="B7" i="18"/>
  <c r="C7" i="18"/>
  <c r="D7" i="18"/>
  <c r="E7" i="18"/>
  <c r="F7" i="18"/>
  <c r="B8" i="18"/>
  <c r="G94" i="18" s="1"/>
  <c r="H94" i="18" s="1"/>
  <c r="C8" i="18"/>
  <c r="D8" i="18"/>
  <c r="F8" i="18" s="1"/>
  <c r="E8" i="18"/>
  <c r="B9" i="18"/>
  <c r="C9" i="18"/>
  <c r="E9" i="18" s="1"/>
  <c r="D9" i="18"/>
  <c r="F9" i="18" s="1"/>
  <c r="B10" i="18"/>
  <c r="C10" i="18"/>
  <c r="D10" i="18"/>
  <c r="F10" i="18" s="1"/>
  <c r="G10" i="18" s="1"/>
  <c r="H10" i="18" s="1"/>
  <c r="E10" i="18"/>
  <c r="B11" i="18"/>
  <c r="C11" i="18"/>
  <c r="D11" i="18"/>
  <c r="E11" i="18"/>
  <c r="F11" i="18"/>
  <c r="B12" i="18"/>
  <c r="C12" i="18"/>
  <c r="E12" i="18" s="1"/>
  <c r="D12" i="18"/>
  <c r="F12" i="18" s="1"/>
  <c r="B13" i="18"/>
  <c r="C13" i="18"/>
  <c r="E13" i="18" s="1"/>
  <c r="D13" i="18"/>
  <c r="F13" i="18"/>
  <c r="B14" i="18"/>
  <c r="C14" i="18"/>
  <c r="D14" i="18"/>
  <c r="F14" i="18" s="1"/>
  <c r="E14" i="18"/>
  <c r="B15" i="18"/>
  <c r="C15" i="18"/>
  <c r="E15" i="18" s="1"/>
  <c r="D15" i="18"/>
  <c r="F15" i="18" s="1"/>
  <c r="B16" i="18"/>
  <c r="C16" i="18"/>
  <c r="D16" i="18"/>
  <c r="E16" i="18"/>
  <c r="F16" i="18"/>
  <c r="B17" i="18"/>
  <c r="C17" i="18"/>
  <c r="D17" i="18"/>
  <c r="E17" i="18"/>
  <c r="F17" i="18"/>
  <c r="B18" i="18"/>
  <c r="C18" i="18"/>
  <c r="E18" i="18" s="1"/>
  <c r="D18" i="18"/>
  <c r="F18" i="18" s="1"/>
  <c r="B19" i="18"/>
  <c r="C19" i="18"/>
  <c r="E19" i="18" s="1"/>
  <c r="D19" i="18"/>
  <c r="F19" i="18"/>
  <c r="B20" i="18"/>
  <c r="C20" i="18"/>
  <c r="D20" i="18"/>
  <c r="E20" i="18"/>
  <c r="F20" i="18"/>
  <c r="B21" i="18"/>
  <c r="C21" i="18"/>
  <c r="E21" i="18" s="1"/>
  <c r="D21" i="18"/>
  <c r="F21" i="18" s="1"/>
  <c r="B22" i="18"/>
  <c r="C22" i="18"/>
  <c r="D22" i="18"/>
  <c r="E22" i="18"/>
  <c r="F22" i="18"/>
  <c r="B23" i="18"/>
  <c r="C23" i="18"/>
  <c r="D23" i="18"/>
  <c r="F23" i="18" s="1"/>
  <c r="E23" i="18"/>
  <c r="B24" i="18"/>
  <c r="C24" i="18"/>
  <c r="E24" i="18" s="1"/>
  <c r="D24" i="18"/>
  <c r="F24" i="18" s="1"/>
  <c r="B25" i="18"/>
  <c r="C25" i="18"/>
  <c r="D25" i="18"/>
  <c r="E25" i="18"/>
  <c r="F25" i="18"/>
  <c r="B26" i="18"/>
  <c r="C26" i="18"/>
  <c r="D26" i="18"/>
  <c r="E26" i="18"/>
  <c r="F26" i="18"/>
  <c r="B27" i="18"/>
  <c r="C27" i="18"/>
  <c r="E27" i="18" s="1"/>
  <c r="D27" i="18"/>
  <c r="F27" i="18" s="1"/>
  <c r="B28" i="18"/>
  <c r="C28" i="18"/>
  <c r="D28" i="18"/>
  <c r="E28" i="18"/>
  <c r="F28" i="18"/>
  <c r="B29" i="18"/>
  <c r="C29" i="18"/>
  <c r="D29" i="18"/>
  <c r="F29" i="18" s="1"/>
  <c r="E29" i="18"/>
  <c r="B30" i="18"/>
  <c r="C30" i="18"/>
  <c r="E30" i="18" s="1"/>
  <c r="D30" i="18"/>
  <c r="F30" i="18" s="1"/>
  <c r="B31" i="18"/>
  <c r="C31" i="18"/>
  <c r="D31" i="18"/>
  <c r="F31" i="18" s="1"/>
  <c r="E31" i="18"/>
  <c r="B32" i="18"/>
  <c r="C32" i="18"/>
  <c r="D32" i="18"/>
  <c r="E32" i="18"/>
  <c r="F32" i="18"/>
  <c r="B33" i="18"/>
  <c r="C33" i="18"/>
  <c r="E33" i="18" s="1"/>
  <c r="D33" i="18"/>
  <c r="F33" i="18" s="1"/>
  <c r="B34" i="18"/>
  <c r="C34" i="18"/>
  <c r="E34" i="18" s="1"/>
  <c r="D34" i="18"/>
  <c r="F34" i="18" s="1"/>
  <c r="B35" i="18"/>
  <c r="C35" i="18"/>
  <c r="D35" i="18"/>
  <c r="E35" i="18"/>
  <c r="F35" i="18"/>
  <c r="G35" i="18" s="1"/>
  <c r="H35" i="18" s="1"/>
  <c r="I35" i="18" s="1"/>
  <c r="B36" i="18"/>
  <c r="C36" i="18"/>
  <c r="E36" i="18" s="1"/>
  <c r="D36" i="18"/>
  <c r="F36" i="18" s="1"/>
  <c r="B37" i="18"/>
  <c r="C37" i="18"/>
  <c r="D37" i="18"/>
  <c r="E37" i="18"/>
  <c r="F37" i="18"/>
  <c r="B38" i="18"/>
  <c r="C38" i="18"/>
  <c r="D38" i="18"/>
  <c r="E38" i="18"/>
  <c r="F38" i="18"/>
  <c r="B39" i="18"/>
  <c r="C39" i="18"/>
  <c r="E39" i="18" s="1"/>
  <c r="D39" i="18"/>
  <c r="F39" i="18" s="1"/>
  <c r="B40" i="18"/>
  <c r="C40" i="18"/>
  <c r="D40" i="18"/>
  <c r="E40" i="18"/>
  <c r="F40" i="18"/>
  <c r="G40" i="18" s="1"/>
  <c r="H40" i="18" s="1"/>
  <c r="B41" i="18"/>
  <c r="C41" i="18"/>
  <c r="E41" i="18" s="1"/>
  <c r="D41" i="18"/>
  <c r="F41" i="18"/>
  <c r="B42" i="18"/>
  <c r="C42" i="18"/>
  <c r="E42" i="18" s="1"/>
  <c r="D42" i="18"/>
  <c r="F42" i="18" s="1"/>
  <c r="B43" i="18"/>
  <c r="C43" i="18"/>
  <c r="D43" i="18"/>
  <c r="E43" i="18"/>
  <c r="F43" i="18"/>
  <c r="B44" i="18"/>
  <c r="C44" i="18"/>
  <c r="D44" i="18"/>
  <c r="F44" i="18" s="1"/>
  <c r="E44" i="18"/>
  <c r="B45" i="18"/>
  <c r="C45" i="18"/>
  <c r="E45" i="18" s="1"/>
  <c r="D45" i="18"/>
  <c r="F45" i="18" s="1"/>
  <c r="B46" i="18"/>
  <c r="C46" i="18"/>
  <c r="D46" i="18"/>
  <c r="F46" i="18" s="1"/>
  <c r="E46" i="18"/>
  <c r="B47" i="18"/>
  <c r="C47" i="18"/>
  <c r="D47" i="18"/>
  <c r="E47" i="18"/>
  <c r="F47" i="18"/>
  <c r="B48" i="18"/>
  <c r="C48" i="18"/>
  <c r="E48" i="18" s="1"/>
  <c r="D48" i="18"/>
  <c r="F48" i="18" s="1"/>
  <c r="B49" i="18"/>
  <c r="C49" i="18"/>
  <c r="E49" i="18" s="1"/>
  <c r="D49" i="18"/>
  <c r="F49" i="18" s="1"/>
  <c r="B50" i="18"/>
  <c r="C50" i="18"/>
  <c r="D50" i="18"/>
  <c r="E50" i="18"/>
  <c r="F50" i="18"/>
  <c r="G50" i="18" s="1"/>
  <c r="H50" i="18" s="1"/>
  <c r="B51" i="18"/>
  <c r="C51" i="18"/>
  <c r="E51" i="18" s="1"/>
  <c r="D51" i="18"/>
  <c r="F51" i="18" s="1"/>
  <c r="B52" i="18"/>
  <c r="C52" i="18"/>
  <c r="D52" i="18"/>
  <c r="E52" i="18"/>
  <c r="F52" i="18"/>
  <c r="B53" i="18"/>
  <c r="C53" i="18"/>
  <c r="D53" i="18"/>
  <c r="E53" i="18"/>
  <c r="F53" i="18"/>
  <c r="B54" i="18"/>
  <c r="C54" i="18"/>
  <c r="E54" i="18" s="1"/>
  <c r="D54" i="18"/>
  <c r="F54" i="18" s="1"/>
  <c r="B55" i="18"/>
  <c r="C55" i="18"/>
  <c r="D55" i="18"/>
  <c r="E55" i="18"/>
  <c r="F55" i="18"/>
  <c r="B56" i="18"/>
  <c r="C56" i="18"/>
  <c r="D56" i="18"/>
  <c r="E56" i="18"/>
  <c r="F56" i="18"/>
  <c r="B57" i="18"/>
  <c r="C57" i="18"/>
  <c r="E57" i="18" s="1"/>
  <c r="D57" i="18"/>
  <c r="F57" i="18" s="1"/>
  <c r="B58" i="18"/>
  <c r="C58" i="18"/>
  <c r="D58" i="18"/>
  <c r="E58" i="18"/>
  <c r="F58" i="18"/>
  <c r="B59" i="18"/>
  <c r="C59" i="18"/>
  <c r="D59" i="18"/>
  <c r="E59" i="18"/>
  <c r="F59" i="18"/>
  <c r="B60" i="18"/>
  <c r="C60" i="18"/>
  <c r="E60" i="18" s="1"/>
  <c r="D60" i="18"/>
  <c r="F60" i="18" s="1"/>
  <c r="B61" i="18"/>
  <c r="C61" i="18"/>
  <c r="D61" i="18"/>
  <c r="F61" i="18" s="1"/>
  <c r="E61" i="18"/>
  <c r="B62" i="18"/>
  <c r="C62" i="18"/>
  <c r="E62" i="18" s="1"/>
  <c r="D62" i="18"/>
  <c r="F62" i="18" s="1"/>
  <c r="B63" i="18"/>
  <c r="C63" i="18"/>
  <c r="E63" i="18" s="1"/>
  <c r="D63" i="18"/>
  <c r="F63" i="18" s="1"/>
  <c r="B64" i="18"/>
  <c r="C64" i="18"/>
  <c r="D64" i="18"/>
  <c r="E64" i="18"/>
  <c r="F64" i="18"/>
  <c r="B65" i="18"/>
  <c r="C65" i="18"/>
  <c r="D65" i="18"/>
  <c r="F65" i="18" s="1"/>
  <c r="E65" i="18"/>
  <c r="B66" i="18"/>
  <c r="C66" i="18"/>
  <c r="E66" i="18" s="1"/>
  <c r="D66" i="18"/>
  <c r="F66" i="18" s="1"/>
  <c r="B67" i="18"/>
  <c r="C67" i="18"/>
  <c r="D67" i="18"/>
  <c r="F67" i="18" s="1"/>
  <c r="E67" i="18"/>
  <c r="B68" i="18"/>
  <c r="C68" i="18"/>
  <c r="D68" i="18"/>
  <c r="E68" i="18"/>
  <c r="F68" i="18"/>
  <c r="B69" i="18"/>
  <c r="C69" i="18"/>
  <c r="E69" i="18" s="1"/>
  <c r="D69" i="18"/>
  <c r="F69" i="18" s="1"/>
  <c r="B70" i="18"/>
  <c r="C70" i="18"/>
  <c r="D70" i="18"/>
  <c r="F70" i="18" s="1"/>
  <c r="E70" i="18"/>
  <c r="B71" i="18"/>
  <c r="C71" i="18"/>
  <c r="D71" i="18"/>
  <c r="E71" i="18"/>
  <c r="F71" i="18"/>
  <c r="B72" i="18"/>
  <c r="C72" i="18"/>
  <c r="E72" i="18" s="1"/>
  <c r="D72" i="18"/>
  <c r="F72" i="18" s="1"/>
  <c r="B73" i="18"/>
  <c r="C73" i="18"/>
  <c r="D73" i="18"/>
  <c r="E73" i="18"/>
  <c r="F73" i="18"/>
  <c r="B74" i="18"/>
  <c r="C74" i="18"/>
  <c r="D74" i="18"/>
  <c r="E74" i="18"/>
  <c r="F74" i="18"/>
  <c r="B75" i="18"/>
  <c r="C75" i="18"/>
  <c r="E75" i="18" s="1"/>
  <c r="D75" i="18"/>
  <c r="F75" i="18" s="1"/>
  <c r="B76" i="18"/>
  <c r="C76" i="18"/>
  <c r="D76" i="18"/>
  <c r="E76" i="18"/>
  <c r="F76" i="18"/>
  <c r="G76" i="18" s="1"/>
  <c r="H76" i="18" s="1"/>
  <c r="B77" i="18"/>
  <c r="C77" i="18"/>
  <c r="E77" i="18" s="1"/>
  <c r="D77" i="18"/>
  <c r="F77" i="18" s="1"/>
  <c r="B78" i="18"/>
  <c r="C78" i="18"/>
  <c r="E78" i="18" s="1"/>
  <c r="D78" i="18"/>
  <c r="F78" i="18" s="1"/>
  <c r="B79" i="18"/>
  <c r="C79" i="18"/>
  <c r="D79" i="18"/>
  <c r="E79" i="18"/>
  <c r="F79" i="18"/>
  <c r="B80" i="18"/>
  <c r="C80" i="18"/>
  <c r="E80" i="18" s="1"/>
  <c r="D80" i="18"/>
  <c r="F80" i="18" s="1"/>
  <c r="G82" i="18" s="1"/>
  <c r="H82" i="18" s="1"/>
  <c r="B81" i="18"/>
  <c r="C81" i="18"/>
  <c r="E81" i="18" s="1"/>
  <c r="D81" i="18"/>
  <c r="F81" i="18" s="1"/>
  <c r="B82" i="18"/>
  <c r="C82" i="18"/>
  <c r="D82" i="18"/>
  <c r="E82" i="18"/>
  <c r="F82" i="18"/>
  <c r="B83" i="18"/>
  <c r="C83" i="18"/>
  <c r="D83" i="18"/>
  <c r="E83" i="18"/>
  <c r="F83" i="18"/>
  <c r="B84" i="18"/>
  <c r="C84" i="18"/>
  <c r="E84" i="18" s="1"/>
  <c r="D84" i="18"/>
  <c r="F84" i="18" s="1"/>
  <c r="B85" i="18"/>
  <c r="C85" i="18"/>
  <c r="D85" i="18"/>
  <c r="E85" i="18"/>
  <c r="F85" i="18"/>
  <c r="B86" i="18"/>
  <c r="C86" i="18"/>
  <c r="E86" i="18" s="1"/>
  <c r="D86" i="18"/>
  <c r="F86" i="18"/>
  <c r="B87" i="18"/>
  <c r="C87" i="18"/>
  <c r="E87" i="18" s="1"/>
  <c r="D87" i="18"/>
  <c r="F87" i="18" s="1"/>
  <c r="B88" i="18"/>
  <c r="C88" i="18"/>
  <c r="E88" i="18" s="1"/>
  <c r="D88" i="18"/>
  <c r="F88" i="18"/>
  <c r="B89" i="18"/>
  <c r="C89" i="18"/>
  <c r="D89" i="18"/>
  <c r="E89" i="18"/>
  <c r="F89" i="18"/>
  <c r="B90" i="18"/>
  <c r="C90" i="18"/>
  <c r="E90" i="18" s="1"/>
  <c r="D90" i="18"/>
  <c r="F90" i="18" s="1"/>
  <c r="B91" i="18"/>
  <c r="C91" i="18"/>
  <c r="D91" i="18"/>
  <c r="F91" i="18" s="1"/>
  <c r="E91" i="18"/>
  <c r="B92" i="18"/>
  <c r="C92" i="18"/>
  <c r="D92" i="18"/>
  <c r="E92" i="18"/>
  <c r="F92" i="18"/>
  <c r="G92" i="18" s="1"/>
  <c r="H92" i="18" s="1"/>
  <c r="I92" i="18" s="1"/>
  <c r="B93" i="18"/>
  <c r="C93" i="18"/>
  <c r="E93" i="18" s="1"/>
  <c r="D93" i="18"/>
  <c r="F93" i="18" s="1"/>
  <c r="B94" i="18"/>
  <c r="C94" i="18"/>
  <c r="D94" i="18"/>
  <c r="E94" i="18"/>
  <c r="F94" i="18"/>
  <c r="B95" i="18"/>
  <c r="C95" i="18"/>
  <c r="E95" i="18" s="1"/>
  <c r="D95" i="18"/>
  <c r="F95" i="18"/>
  <c r="B96" i="18"/>
  <c r="C96" i="18"/>
  <c r="E96" i="18" s="1"/>
  <c r="D96" i="18"/>
  <c r="F96" i="18" s="1"/>
  <c r="B97" i="18"/>
  <c r="C97" i="18"/>
  <c r="D97" i="18"/>
  <c r="F97" i="18" s="1"/>
  <c r="E97" i="18"/>
  <c r="B98" i="18"/>
  <c r="C98" i="18"/>
  <c r="D98" i="18"/>
  <c r="E98" i="18"/>
  <c r="F98" i="18"/>
  <c r="B99" i="18"/>
  <c r="C99" i="18"/>
  <c r="E99" i="18" s="1"/>
  <c r="D99" i="18"/>
  <c r="F99" i="18" s="1"/>
  <c r="B100" i="18"/>
  <c r="C100" i="18"/>
  <c r="D100" i="18"/>
  <c r="F100" i="18" s="1"/>
  <c r="E100" i="18"/>
  <c r="B101" i="18"/>
  <c r="C101" i="18"/>
  <c r="D101" i="18"/>
  <c r="E101" i="18"/>
  <c r="F101" i="18"/>
  <c r="G101" i="18" s="1"/>
  <c r="H101" i="18" s="1"/>
  <c r="I101" i="18" s="1"/>
  <c r="B102" i="18"/>
  <c r="C102" i="18"/>
  <c r="E102" i="18" s="1"/>
  <c r="D102" i="18"/>
  <c r="F102" i="18" s="1"/>
  <c r="B103" i="18"/>
  <c r="C103" i="18"/>
  <c r="D103" i="18"/>
  <c r="E103" i="18"/>
  <c r="F103" i="18"/>
  <c r="B104" i="18"/>
  <c r="C104" i="18"/>
  <c r="D104" i="18"/>
  <c r="E104" i="18"/>
  <c r="F104" i="18"/>
  <c r="G104" i="18" s="1"/>
  <c r="H104" i="18" s="1"/>
  <c r="B105" i="18"/>
  <c r="C105" i="18"/>
  <c r="E105" i="18" s="1"/>
  <c r="D105" i="18"/>
  <c r="F105" i="18" s="1"/>
  <c r="B106" i="18"/>
  <c r="C106" i="18"/>
  <c r="D106" i="18"/>
  <c r="E106" i="18"/>
  <c r="F106" i="18"/>
  <c r="B107" i="18"/>
  <c r="C107" i="18"/>
  <c r="D107" i="18"/>
  <c r="F107" i="18" s="1"/>
  <c r="E107" i="18"/>
  <c r="B108" i="18"/>
  <c r="C108" i="18"/>
  <c r="E108" i="18" s="1"/>
  <c r="D108" i="18"/>
  <c r="F108" i="18" s="1"/>
  <c r="B109" i="18"/>
  <c r="C109" i="18"/>
  <c r="D109" i="18"/>
  <c r="E109" i="18"/>
  <c r="F109" i="18"/>
  <c r="B110" i="18"/>
  <c r="C110" i="18"/>
  <c r="D110" i="18"/>
  <c r="F110" i="18" s="1"/>
  <c r="E110" i="18"/>
  <c r="B111" i="18"/>
  <c r="C111" i="18"/>
  <c r="E111" i="18" s="1"/>
  <c r="D111" i="18"/>
  <c r="F111" i="18" s="1"/>
  <c r="B112" i="18"/>
  <c r="C112" i="18"/>
  <c r="D112" i="18"/>
  <c r="E112" i="18"/>
  <c r="F112" i="18"/>
  <c r="B113" i="18"/>
  <c r="C113" i="18"/>
  <c r="D113" i="18"/>
  <c r="E113" i="18"/>
  <c r="F113" i="18"/>
  <c r="B114" i="18"/>
  <c r="C114" i="18"/>
  <c r="E114" i="18" s="1"/>
  <c r="D114" i="18"/>
  <c r="F114" i="18" s="1"/>
  <c r="B115" i="18"/>
  <c r="C115" i="18"/>
  <c r="D115" i="18"/>
  <c r="E115" i="18"/>
  <c r="F115" i="18"/>
  <c r="G115" i="18"/>
  <c r="H115" i="18" s="1"/>
  <c r="B116" i="18"/>
  <c r="C116" i="18"/>
  <c r="D116" i="18"/>
  <c r="E116" i="18"/>
  <c r="F116" i="18"/>
  <c r="B117" i="18"/>
  <c r="C117" i="18"/>
  <c r="E117" i="18" s="1"/>
  <c r="D117" i="18"/>
  <c r="F117" i="18" s="1"/>
  <c r="B118" i="18"/>
  <c r="C118" i="18"/>
  <c r="D118" i="18"/>
  <c r="E118" i="18"/>
  <c r="F118" i="18"/>
  <c r="B119" i="18"/>
  <c r="C119" i="18"/>
  <c r="D119" i="18"/>
  <c r="E119" i="18"/>
  <c r="F119" i="18"/>
  <c r="B120" i="18"/>
  <c r="C120" i="18"/>
  <c r="E120" i="18" s="1"/>
  <c r="D120" i="18"/>
  <c r="F120" i="18" s="1"/>
  <c r="G125" i="18" s="1"/>
  <c r="H125" i="18" s="1"/>
  <c r="I125" i="18" s="1"/>
  <c r="B121" i="18"/>
  <c r="C121" i="18"/>
  <c r="E121" i="18" s="1"/>
  <c r="D121" i="18"/>
  <c r="F121" i="18"/>
  <c r="B122" i="18"/>
  <c r="C122" i="18"/>
  <c r="D122" i="18"/>
  <c r="E122" i="18"/>
  <c r="F122" i="18"/>
  <c r="B123" i="18"/>
  <c r="C123" i="18"/>
  <c r="E123" i="18" s="1"/>
  <c r="D123" i="18"/>
  <c r="F123" i="18" s="1"/>
  <c r="B124" i="18"/>
  <c r="C124" i="18"/>
  <c r="D124" i="18"/>
  <c r="E124" i="18"/>
  <c r="F124" i="18"/>
  <c r="B125" i="18"/>
  <c r="C125" i="18"/>
  <c r="D125" i="18"/>
  <c r="E125" i="18"/>
  <c r="F125" i="18"/>
  <c r="B126" i="18"/>
  <c r="C126" i="18"/>
  <c r="E126" i="18" s="1"/>
  <c r="D126" i="18"/>
  <c r="F126" i="18" s="1"/>
  <c r="B127" i="18"/>
  <c r="C127" i="18"/>
  <c r="D127" i="18"/>
  <c r="F127" i="18" s="1"/>
  <c r="E127" i="18"/>
  <c r="B128" i="18"/>
  <c r="C128" i="18"/>
  <c r="E128" i="18" s="1"/>
  <c r="D128" i="18"/>
  <c r="F128" i="18"/>
  <c r="B129" i="18"/>
  <c r="C129" i="18"/>
  <c r="E129" i="18" s="1"/>
  <c r="D129" i="18"/>
  <c r="F129" i="18" s="1"/>
  <c r="B130" i="18"/>
  <c r="C130" i="18"/>
  <c r="D130" i="18"/>
  <c r="E130" i="18"/>
  <c r="F130" i="18"/>
  <c r="B131" i="18"/>
  <c r="C131" i="18"/>
  <c r="E131" i="18" s="1"/>
  <c r="D131" i="18"/>
  <c r="F131" i="18"/>
  <c r="B132" i="18"/>
  <c r="C132" i="18"/>
  <c r="E132" i="18" s="1"/>
  <c r="D132" i="18"/>
  <c r="F132" i="18" s="1"/>
  <c r="D2" i="18"/>
  <c r="F2" i="18" s="1"/>
  <c r="C2" i="18"/>
  <c r="E2" i="18" s="1"/>
  <c r="B2" i="18"/>
  <c r="D29" i="4" a="1"/>
  <c r="I182" i="34" l="1"/>
  <c r="I120" i="34"/>
  <c r="G170" i="34"/>
  <c r="H170" i="34" s="1"/>
  <c r="I170" i="34"/>
  <c r="G98" i="34"/>
  <c r="H98" i="34" s="1"/>
  <c r="I98" i="34"/>
  <c r="I186" i="34"/>
  <c r="I141" i="34"/>
  <c r="I179" i="34"/>
  <c r="I57" i="34"/>
  <c r="G173" i="34"/>
  <c r="H173" i="34" s="1"/>
  <c r="I173" i="34"/>
  <c r="I117" i="34"/>
  <c r="G155" i="34"/>
  <c r="H155" i="34" s="1"/>
  <c r="I155" i="34" s="1"/>
  <c r="G5" i="34"/>
  <c r="H5" i="34" s="1"/>
  <c r="I5" i="34" s="1"/>
  <c r="G189" i="34"/>
  <c r="H189" i="34" s="1"/>
  <c r="I189" i="34" s="1"/>
  <c r="G77" i="34"/>
  <c r="H77" i="34" s="1"/>
  <c r="I77" i="34" s="1"/>
  <c r="G150" i="34"/>
  <c r="H150" i="34" s="1"/>
  <c r="I150" i="34" s="1"/>
  <c r="G180" i="34"/>
  <c r="H180" i="34" s="1"/>
  <c r="G120" i="34"/>
  <c r="H120" i="34" s="1"/>
  <c r="G185" i="34"/>
  <c r="H185" i="34" s="1"/>
  <c r="I185" i="34" s="1"/>
  <c r="G146" i="34"/>
  <c r="H146" i="34" s="1"/>
  <c r="I146" i="34"/>
  <c r="G63" i="34"/>
  <c r="H63" i="34" s="1"/>
  <c r="I63" i="34" s="1"/>
  <c r="G54" i="34"/>
  <c r="H54" i="34" s="1"/>
  <c r="I54" i="34" s="1"/>
  <c r="G184" i="34"/>
  <c r="H184" i="34" s="1"/>
  <c r="I184" i="34" s="1"/>
  <c r="G124" i="34"/>
  <c r="H124" i="34" s="1"/>
  <c r="I124" i="34" s="1"/>
  <c r="G116" i="34"/>
  <c r="H116" i="34" s="1"/>
  <c r="G111" i="34"/>
  <c r="H111" i="34" s="1"/>
  <c r="I111" i="34" s="1"/>
  <c r="G80" i="34"/>
  <c r="H80" i="34" s="1"/>
  <c r="I80" i="34" s="1"/>
  <c r="I72" i="34"/>
  <c r="G58" i="34"/>
  <c r="H58" i="34" s="1"/>
  <c r="I58" i="34" s="1"/>
  <c r="G20" i="34"/>
  <c r="H20" i="34" s="1"/>
  <c r="I20" i="34" s="1"/>
  <c r="G81" i="34"/>
  <c r="H81" i="34" s="1"/>
  <c r="I81" i="34" s="1"/>
  <c r="G8" i="34"/>
  <c r="H8" i="34" s="1"/>
  <c r="I8" i="34" s="1"/>
  <c r="G106" i="34"/>
  <c r="H106" i="34" s="1"/>
  <c r="I106" i="34" s="1"/>
  <c r="G128" i="34"/>
  <c r="H128" i="34" s="1"/>
  <c r="I128" i="34" s="1"/>
  <c r="G71" i="34"/>
  <c r="H71" i="34" s="1"/>
  <c r="G32" i="34"/>
  <c r="H32" i="34" s="1"/>
  <c r="I32" i="34" s="1"/>
  <c r="G59" i="34"/>
  <c r="H59" i="34" s="1"/>
  <c r="I59" i="34" s="1"/>
  <c r="G65" i="34"/>
  <c r="H65" i="34" s="1"/>
  <c r="I65" i="34" s="1"/>
  <c r="G90" i="34"/>
  <c r="H90" i="34" s="1"/>
  <c r="I90" i="34" s="1"/>
  <c r="G115" i="34"/>
  <c r="H115" i="34" s="1"/>
  <c r="I115" i="34" s="1"/>
  <c r="G137" i="34"/>
  <c r="H137" i="34" s="1"/>
  <c r="I137" i="34" s="1"/>
  <c r="G162" i="34"/>
  <c r="H162" i="34" s="1"/>
  <c r="I162" i="34" s="1"/>
  <c r="G187" i="34"/>
  <c r="H187" i="34" s="1"/>
  <c r="I187" i="34" s="1"/>
  <c r="G131" i="34"/>
  <c r="H131" i="34" s="1"/>
  <c r="I131" i="34" s="1"/>
  <c r="G156" i="34"/>
  <c r="H156" i="34" s="1"/>
  <c r="I156" i="34" s="1"/>
  <c r="G44" i="34"/>
  <c r="H44" i="34" s="1"/>
  <c r="I44" i="34" s="1"/>
  <c r="G56" i="34"/>
  <c r="H56" i="34" s="1"/>
  <c r="I56" i="34" s="1"/>
  <c r="G153" i="34"/>
  <c r="H153" i="34" s="1"/>
  <c r="I153" i="34" s="1"/>
  <c r="G62" i="34"/>
  <c r="H62" i="34" s="1"/>
  <c r="I62" i="34" s="1"/>
  <c r="G84" i="34"/>
  <c r="H84" i="34" s="1"/>
  <c r="I84" i="34" s="1"/>
  <c r="G109" i="34"/>
  <c r="H109" i="34" s="1"/>
  <c r="I109" i="34" s="1"/>
  <c r="G181" i="34"/>
  <c r="H181" i="34" s="1"/>
  <c r="I181" i="34" s="1"/>
  <c r="G178" i="34"/>
  <c r="H178" i="34" s="1"/>
  <c r="I178" i="34" s="1"/>
  <c r="G175" i="34"/>
  <c r="H175" i="34" s="1"/>
  <c r="I175" i="34" s="1"/>
  <c r="G85" i="34"/>
  <c r="H85" i="34" s="1"/>
  <c r="I85" i="34" s="1"/>
  <c r="G159" i="34"/>
  <c r="H159" i="34" s="1"/>
  <c r="I159" i="34" s="1"/>
  <c r="G55" i="34"/>
  <c r="H55" i="34" s="1"/>
  <c r="I55" i="34" s="1"/>
  <c r="G76" i="34"/>
  <c r="H76" i="34" s="1"/>
  <c r="I76" i="34" s="1"/>
  <c r="G171" i="34"/>
  <c r="H171" i="34" s="1"/>
  <c r="I171" i="34" s="1"/>
  <c r="G141" i="34"/>
  <c r="H141" i="34" s="1"/>
  <c r="G101" i="34"/>
  <c r="H101" i="34" s="1"/>
  <c r="I101" i="34" s="1"/>
  <c r="G47" i="34"/>
  <c r="H47" i="34" s="1"/>
  <c r="I47" i="34" s="1"/>
  <c r="I192" i="34"/>
  <c r="G140" i="34"/>
  <c r="H140" i="34" s="1"/>
  <c r="G127" i="34"/>
  <c r="H127" i="34" s="1"/>
  <c r="I127" i="34" s="1"/>
  <c r="I119" i="34"/>
  <c r="G105" i="34"/>
  <c r="H105" i="34" s="1"/>
  <c r="G97" i="34"/>
  <c r="H97" i="34" s="1"/>
  <c r="I97" i="34" s="1"/>
  <c r="G88" i="34"/>
  <c r="H88" i="34" s="1"/>
  <c r="I88" i="34" s="1"/>
  <c r="G83" i="34"/>
  <c r="H83" i="34" s="1"/>
  <c r="I71" i="34"/>
  <c r="G99" i="34"/>
  <c r="H99" i="34" s="1"/>
  <c r="I99" i="34"/>
  <c r="G89" i="34"/>
  <c r="H89" i="34" s="1"/>
  <c r="I89" i="34" s="1"/>
  <c r="G188" i="34"/>
  <c r="H188" i="34" s="1"/>
  <c r="I188" i="34" s="1"/>
  <c r="G149" i="34"/>
  <c r="H149" i="34" s="1"/>
  <c r="I149" i="34" s="1"/>
  <c r="I114" i="34"/>
  <c r="G87" i="34"/>
  <c r="H87" i="34" s="1"/>
  <c r="I87" i="34" s="1"/>
  <c r="G61" i="34"/>
  <c r="H61" i="34" s="1"/>
  <c r="I61" i="34" s="1"/>
  <c r="G53" i="34"/>
  <c r="H53" i="34" s="1"/>
  <c r="I53" i="34" s="1"/>
  <c r="G192" i="34"/>
  <c r="H192" i="34" s="1"/>
  <c r="G26" i="34"/>
  <c r="H26" i="34" s="1"/>
  <c r="I26" i="34" s="1"/>
  <c r="G17" i="34"/>
  <c r="H17" i="34" s="1"/>
  <c r="I17" i="34" s="1"/>
  <c r="G183" i="34"/>
  <c r="H183" i="34" s="1"/>
  <c r="I183" i="34" s="1"/>
  <c r="G82" i="34"/>
  <c r="H82" i="34" s="1"/>
  <c r="I82" i="34" s="1"/>
  <c r="G70" i="34"/>
  <c r="H70" i="34" s="1"/>
  <c r="I70" i="34" s="1"/>
  <c r="G125" i="34"/>
  <c r="H125" i="34" s="1"/>
  <c r="I125" i="34" s="1"/>
  <c r="G132" i="34"/>
  <c r="H132" i="34" s="1"/>
  <c r="I132" i="34" s="1"/>
  <c r="G145" i="34"/>
  <c r="H145" i="34" s="1"/>
  <c r="I145" i="34" s="1"/>
  <c r="I140" i="34"/>
  <c r="G144" i="34"/>
  <c r="H144" i="34" s="1"/>
  <c r="G135" i="34"/>
  <c r="H135" i="34" s="1"/>
  <c r="I135" i="34" s="1"/>
  <c r="G126" i="34"/>
  <c r="H126" i="34" s="1"/>
  <c r="I126" i="34" s="1"/>
  <c r="G104" i="34"/>
  <c r="H104" i="34" s="1"/>
  <c r="I104" i="34" s="1"/>
  <c r="I92" i="34"/>
  <c r="G66" i="34"/>
  <c r="H66" i="34" s="1"/>
  <c r="I66" i="34" s="1"/>
  <c r="G142" i="34"/>
  <c r="H142" i="34" s="1"/>
  <c r="I142" i="34" s="1"/>
  <c r="G69" i="34"/>
  <c r="H69" i="34" s="1"/>
  <c r="I69" i="34" s="1"/>
  <c r="G154" i="34"/>
  <c r="H154" i="34" s="1"/>
  <c r="I154" i="34" s="1"/>
  <c r="I180" i="34"/>
  <c r="G38" i="34"/>
  <c r="H38" i="34" s="1"/>
  <c r="I38" i="34" s="1"/>
  <c r="G102" i="34"/>
  <c r="H102" i="34" s="1"/>
  <c r="I102" i="34" s="1"/>
  <c r="G119" i="34"/>
  <c r="H119" i="34" s="1"/>
  <c r="G123" i="34"/>
  <c r="H123" i="34" s="1"/>
  <c r="I123" i="34" s="1"/>
  <c r="G110" i="34"/>
  <c r="H110" i="34" s="1"/>
  <c r="I110" i="34" s="1"/>
  <c r="G134" i="34"/>
  <c r="H134" i="34" s="1"/>
  <c r="I134" i="34" s="1"/>
  <c r="G130" i="34"/>
  <c r="H130" i="34" s="1"/>
  <c r="I130" i="34" s="1"/>
  <c r="G118" i="34"/>
  <c r="H118" i="34" s="1"/>
  <c r="I118" i="34" s="1"/>
  <c r="G114" i="34"/>
  <c r="H114" i="34" s="1"/>
  <c r="G78" i="34"/>
  <c r="H78" i="34" s="1"/>
  <c r="I78" i="34" s="1"/>
  <c r="G60" i="34"/>
  <c r="H60" i="34" s="1"/>
  <c r="I60" i="34" s="1"/>
  <c r="G186" i="34"/>
  <c r="H186" i="34" s="1"/>
  <c r="G176" i="34"/>
  <c r="H176" i="34" s="1"/>
  <c r="I176" i="34" s="1"/>
  <c r="I116" i="34"/>
  <c r="G29" i="34"/>
  <c r="H29" i="34" s="1"/>
  <c r="I29" i="34" s="1"/>
  <c r="G72" i="34"/>
  <c r="H72" i="34" s="1"/>
  <c r="G67" i="34"/>
  <c r="H67" i="34" s="1"/>
  <c r="I67" i="34" s="1"/>
  <c r="I105" i="34"/>
  <c r="G174" i="34"/>
  <c r="H174" i="34" s="1"/>
  <c r="I174" i="34" s="1"/>
  <c r="G166" i="34"/>
  <c r="H166" i="34" s="1"/>
  <c r="I166" i="34" s="1"/>
  <c r="G152" i="34"/>
  <c r="H152" i="34" s="1"/>
  <c r="I152" i="34" s="1"/>
  <c r="I144" i="34"/>
  <c r="I95" i="34"/>
  <c r="G94" i="34"/>
  <c r="H94" i="34" s="1"/>
  <c r="I94" i="34" s="1"/>
  <c r="G93" i="34"/>
  <c r="H93" i="34" s="1"/>
  <c r="G11" i="34"/>
  <c r="H11" i="34" s="1"/>
  <c r="I11" i="34" s="1"/>
  <c r="I191" i="34"/>
  <c r="G161" i="34"/>
  <c r="H161" i="34" s="1"/>
  <c r="I161" i="34" s="1"/>
  <c r="G122" i="34"/>
  <c r="H122" i="34" s="1"/>
  <c r="G100" i="34"/>
  <c r="H100" i="34" s="1"/>
  <c r="I100" i="34" s="1"/>
  <c r="G96" i="34"/>
  <c r="H96" i="34" s="1"/>
  <c r="G74" i="34"/>
  <c r="H74" i="34" s="1"/>
  <c r="I74" i="34"/>
  <c r="G14" i="34"/>
  <c r="H14" i="34" s="1"/>
  <c r="I14" i="34" s="1"/>
  <c r="G121" i="34"/>
  <c r="H121" i="34" s="1"/>
  <c r="I121" i="34" s="1"/>
  <c r="G138" i="34"/>
  <c r="H138" i="34" s="1"/>
  <c r="I138" i="34" s="1"/>
  <c r="G79" i="34"/>
  <c r="H79" i="34" s="1"/>
  <c r="I79" i="34" s="1"/>
  <c r="I167" i="34"/>
  <c r="G136" i="34"/>
  <c r="H136" i="34" s="1"/>
  <c r="I136" i="34" s="1"/>
  <c r="G41" i="34"/>
  <c r="H41" i="34" s="1"/>
  <c r="I41" i="34" s="1"/>
  <c r="G108" i="34"/>
  <c r="H108" i="34" s="1"/>
  <c r="I108" i="34" s="1"/>
  <c r="I96" i="34"/>
  <c r="I168" i="34"/>
  <c r="I93" i="34"/>
  <c r="G139" i="34"/>
  <c r="H139" i="34" s="1"/>
  <c r="I139" i="34" s="1"/>
  <c r="I122" i="34"/>
  <c r="G52" i="34"/>
  <c r="H52" i="34" s="1"/>
  <c r="I52" i="34" s="1"/>
  <c r="I164" i="34"/>
  <c r="I147" i="34"/>
  <c r="G64" i="34"/>
  <c r="H64" i="34" s="1"/>
  <c r="I64" i="34" s="1"/>
  <c r="G68" i="34"/>
  <c r="H68" i="34" s="1"/>
  <c r="I68" i="34" s="1"/>
  <c r="G23" i="34"/>
  <c r="H23" i="34" s="1"/>
  <c r="I23" i="34" s="1"/>
  <c r="G163" i="34"/>
  <c r="H163" i="34" s="1"/>
  <c r="I163" i="34" s="1"/>
  <c r="G157" i="34"/>
  <c r="H157" i="34" s="1"/>
  <c r="I157" i="34" s="1"/>
  <c r="G75" i="34"/>
  <c r="H75" i="34" s="1"/>
  <c r="I75" i="34" s="1"/>
  <c r="G165" i="34"/>
  <c r="H165" i="34" s="1"/>
  <c r="I165" i="34" s="1"/>
  <c r="G177" i="34"/>
  <c r="H177" i="34" s="1"/>
  <c r="I177" i="34" s="1"/>
  <c r="G143" i="34"/>
  <c r="H143" i="34" s="1"/>
  <c r="I143" i="34" s="1"/>
  <c r="G113" i="34"/>
  <c r="H113" i="34" s="1"/>
  <c r="I113" i="34" s="1"/>
  <c r="G86" i="34"/>
  <c r="H86" i="34" s="1"/>
  <c r="I86" i="34" s="1"/>
  <c r="G133" i="34"/>
  <c r="H133" i="34" s="1"/>
  <c r="I133" i="34" s="1"/>
  <c r="G168" i="34"/>
  <c r="H168" i="34" s="1"/>
  <c r="G158" i="34"/>
  <c r="H158" i="34" s="1"/>
  <c r="I158" i="34" s="1"/>
  <c r="I83" i="34"/>
  <c r="G35" i="34"/>
  <c r="H35" i="34" s="1"/>
  <c r="I35" i="34" s="1"/>
  <c r="G190" i="34"/>
  <c r="H190" i="34" s="1"/>
  <c r="I190" i="34" s="1"/>
  <c r="G112" i="34"/>
  <c r="H112" i="34" s="1"/>
  <c r="I112" i="34" s="1"/>
  <c r="G103" i="34"/>
  <c r="H103" i="34" s="1"/>
  <c r="I103" i="34" s="1"/>
  <c r="G91" i="34"/>
  <c r="H91" i="34" s="1"/>
  <c r="I91" i="34" s="1"/>
  <c r="G3" i="34"/>
  <c r="H3" i="34" s="1"/>
  <c r="I3" i="34"/>
  <c r="G40" i="34"/>
  <c r="H40" i="34" s="1"/>
  <c r="I40" i="34" s="1"/>
  <c r="G28" i="34"/>
  <c r="H28" i="34" s="1"/>
  <c r="I28" i="34" s="1"/>
  <c r="G7" i="34"/>
  <c r="H7" i="34" s="1"/>
  <c r="I7" i="34" s="1"/>
  <c r="G49" i="34"/>
  <c r="H49" i="34" s="1"/>
  <c r="I49" i="34" s="1"/>
  <c r="G37" i="34"/>
  <c r="H37" i="34" s="1"/>
  <c r="I37" i="34" s="1"/>
  <c r="G10" i="34"/>
  <c r="H10" i="34" s="1"/>
  <c r="I10" i="34" s="1"/>
  <c r="G48" i="34"/>
  <c r="H48" i="34" s="1"/>
  <c r="I48" i="34" s="1"/>
  <c r="G42" i="34"/>
  <c r="H42" i="34" s="1"/>
  <c r="I42" i="34" s="1"/>
  <c r="G27" i="34"/>
  <c r="H27" i="34" s="1"/>
  <c r="I27" i="34" s="1"/>
  <c r="G6" i="34"/>
  <c r="H6" i="34" s="1"/>
  <c r="I6" i="34" s="1"/>
  <c r="G46" i="34"/>
  <c r="H46" i="34" s="1"/>
  <c r="I46" i="34" s="1"/>
  <c r="G43" i="34"/>
  <c r="H43" i="34" s="1"/>
  <c r="I43" i="34" s="1"/>
  <c r="G34" i="34"/>
  <c r="H34" i="34" s="1"/>
  <c r="I34" i="34" s="1"/>
  <c r="G31" i="34"/>
  <c r="H31" i="34" s="1"/>
  <c r="I31" i="34" s="1"/>
  <c r="G25" i="34"/>
  <c r="H25" i="34" s="1"/>
  <c r="I25" i="34" s="1"/>
  <c r="G22" i="34"/>
  <c r="H22" i="34" s="1"/>
  <c r="I22" i="34" s="1"/>
  <c r="G19" i="34"/>
  <c r="H19" i="34" s="1"/>
  <c r="I19" i="34" s="1"/>
  <c r="G16" i="34"/>
  <c r="H16" i="34" s="1"/>
  <c r="I16" i="34" s="1"/>
  <c r="G13" i="34"/>
  <c r="H13" i="34" s="1"/>
  <c r="I13" i="34" s="1"/>
  <c r="G4" i="34"/>
  <c r="H4" i="34" s="1"/>
  <c r="I4" i="34" s="1"/>
  <c r="G51" i="34"/>
  <c r="H51" i="34" s="1"/>
  <c r="I51" i="34" s="1"/>
  <c r="G45" i="34"/>
  <c r="H45" i="34" s="1"/>
  <c r="I45" i="34" s="1"/>
  <c r="G39" i="34"/>
  <c r="H39" i="34" s="1"/>
  <c r="I39" i="34" s="1"/>
  <c r="G36" i="34"/>
  <c r="H36" i="34" s="1"/>
  <c r="I36" i="34" s="1"/>
  <c r="G33" i="34"/>
  <c r="H33" i="34" s="1"/>
  <c r="I33" i="34" s="1"/>
  <c r="G30" i="34"/>
  <c r="H30" i="34" s="1"/>
  <c r="I30" i="34" s="1"/>
  <c r="G24" i="34"/>
  <c r="H24" i="34" s="1"/>
  <c r="I24" i="34" s="1"/>
  <c r="G21" i="34"/>
  <c r="H21" i="34" s="1"/>
  <c r="I21" i="34" s="1"/>
  <c r="G18" i="34"/>
  <c r="H18" i="34" s="1"/>
  <c r="I18" i="34" s="1"/>
  <c r="G15" i="34"/>
  <c r="H15" i="34" s="1"/>
  <c r="I15" i="34" s="1"/>
  <c r="G12" i="34"/>
  <c r="H12" i="34" s="1"/>
  <c r="I12" i="34" s="1"/>
  <c r="G9" i="34"/>
  <c r="H9" i="34" s="1"/>
  <c r="I9" i="34" s="1"/>
  <c r="B2" i="35"/>
  <c r="D29" i="4"/>
  <c r="G2" i="34"/>
  <c r="H2" i="34" s="1"/>
  <c r="I2" i="34" s="1"/>
  <c r="I332" i="31"/>
  <c r="G340" i="31"/>
  <c r="H340" i="31" s="1"/>
  <c r="I340" i="31" s="1"/>
  <c r="I261" i="31"/>
  <c r="G344" i="31"/>
  <c r="H344" i="31" s="1"/>
  <c r="I336" i="31"/>
  <c r="I305" i="31"/>
  <c r="G356" i="31"/>
  <c r="H356" i="31" s="1"/>
  <c r="I356" i="31" s="1"/>
  <c r="I126" i="31"/>
  <c r="I117" i="31"/>
  <c r="G317" i="31"/>
  <c r="H317" i="31" s="1"/>
  <c r="I317" i="31" s="1"/>
  <c r="I97" i="31"/>
  <c r="I209" i="31"/>
  <c r="I154" i="31"/>
  <c r="I352" i="31"/>
  <c r="G227" i="31"/>
  <c r="H227" i="31" s="1"/>
  <c r="I227" i="31" s="1"/>
  <c r="G235" i="31"/>
  <c r="H235" i="31" s="1"/>
  <c r="G207" i="31"/>
  <c r="H207" i="31" s="1"/>
  <c r="I207" i="31" s="1"/>
  <c r="G244" i="31"/>
  <c r="H244" i="31" s="1"/>
  <c r="I244" i="31" s="1"/>
  <c r="I320" i="31"/>
  <c r="I309" i="31"/>
  <c r="G272" i="31"/>
  <c r="H272" i="31" s="1"/>
  <c r="I272" i="31" s="1"/>
  <c r="I123" i="31"/>
  <c r="G324" i="31"/>
  <c r="H324" i="31" s="1"/>
  <c r="E324" i="31"/>
  <c r="I324" i="31" s="1"/>
  <c r="G300" i="31"/>
  <c r="H300" i="31" s="1"/>
  <c r="I300" i="31" s="1"/>
  <c r="G248" i="31"/>
  <c r="H248" i="31" s="1"/>
  <c r="I248" i="31" s="1"/>
  <c r="G276" i="31"/>
  <c r="H276" i="31" s="1"/>
  <c r="I276" i="31" s="1"/>
  <c r="G178" i="31"/>
  <c r="H178" i="31" s="1"/>
  <c r="I178" i="31" s="1"/>
  <c r="G304" i="31"/>
  <c r="H304" i="31" s="1"/>
  <c r="I304" i="31" s="1"/>
  <c r="G289" i="31"/>
  <c r="H289" i="31" s="1"/>
  <c r="I289" i="31" s="1"/>
  <c r="G353" i="31"/>
  <c r="H353" i="31" s="1"/>
  <c r="I353" i="31" s="1"/>
  <c r="I260" i="31"/>
  <c r="I241" i="31"/>
  <c r="E265" i="31"/>
  <c r="G265" i="31"/>
  <c r="H265" i="31" s="1"/>
  <c r="I298" i="31"/>
  <c r="G313" i="31"/>
  <c r="H313" i="31" s="1"/>
  <c r="I313" i="31" s="1"/>
  <c r="I269" i="31"/>
  <c r="G231" i="31"/>
  <c r="H231" i="31" s="1"/>
  <c r="I231" i="31" s="1"/>
  <c r="I217" i="31"/>
  <c r="I264" i="31"/>
  <c r="G129" i="31"/>
  <c r="H129" i="31" s="1"/>
  <c r="I129" i="31" s="1"/>
  <c r="I199" i="31"/>
  <c r="I235" i="31"/>
  <c r="G203" i="31"/>
  <c r="H203" i="31" s="1"/>
  <c r="I203" i="31" s="1"/>
  <c r="I296" i="31"/>
  <c r="I239" i="31"/>
  <c r="G133" i="31"/>
  <c r="H133" i="31" s="1"/>
  <c r="I133" i="31" s="1"/>
  <c r="G296" i="31"/>
  <c r="H296" i="31" s="1"/>
  <c r="G174" i="31"/>
  <c r="H174" i="31" s="1"/>
  <c r="I174" i="31" s="1"/>
  <c r="G137" i="31"/>
  <c r="H137" i="31" s="1"/>
  <c r="I137" i="31" s="1"/>
  <c r="I220" i="31"/>
  <c r="I192" i="31"/>
  <c r="I187" i="31"/>
  <c r="I86" i="31"/>
  <c r="I344" i="31"/>
  <c r="I186" i="31"/>
  <c r="G158" i="31"/>
  <c r="H158" i="31" s="1"/>
  <c r="I158" i="31" s="1"/>
  <c r="I331" i="31"/>
  <c r="G280" i="31"/>
  <c r="H280" i="31" s="1"/>
  <c r="I280" i="31" s="1"/>
  <c r="G186" i="31"/>
  <c r="H186" i="31" s="1"/>
  <c r="I173" i="31"/>
  <c r="G92" i="31"/>
  <c r="H92" i="31" s="1"/>
  <c r="I92" i="31" s="1"/>
  <c r="I194" i="31"/>
  <c r="G234" i="31"/>
  <c r="H234" i="31" s="1"/>
  <c r="I234" i="31" s="1"/>
  <c r="I222" i="31"/>
  <c r="I124" i="31"/>
  <c r="I275" i="31"/>
  <c r="G120" i="31"/>
  <c r="H120" i="31" s="1"/>
  <c r="I120" i="31" s="1"/>
  <c r="G315" i="31"/>
  <c r="H315" i="31" s="1"/>
  <c r="E315" i="31"/>
  <c r="I315" i="31" s="1"/>
  <c r="I250" i="31"/>
  <c r="I238" i="31"/>
  <c r="I229" i="31"/>
  <c r="G218" i="31"/>
  <c r="H218" i="31" s="1"/>
  <c r="I218" i="31" s="1"/>
  <c r="I168" i="31"/>
  <c r="I148" i="31"/>
  <c r="G140" i="31"/>
  <c r="H140" i="31" s="1"/>
  <c r="I140" i="31" s="1"/>
  <c r="G91" i="31"/>
  <c r="H91" i="31" s="1"/>
  <c r="I91" i="31" s="1"/>
  <c r="G354" i="31"/>
  <c r="H354" i="31" s="1"/>
  <c r="I354" i="31" s="1"/>
  <c r="I322" i="31"/>
  <c r="G310" i="31"/>
  <c r="H310" i="31" s="1"/>
  <c r="E306" i="31"/>
  <c r="I306" i="31" s="1"/>
  <c r="G185" i="31"/>
  <c r="H185" i="31" s="1"/>
  <c r="I185" i="31" s="1"/>
  <c r="G144" i="31"/>
  <c r="H144" i="31" s="1"/>
  <c r="I144" i="31" s="1"/>
  <c r="I139" i="31"/>
  <c r="I115" i="31"/>
  <c r="E95" i="31"/>
  <c r="G95" i="31"/>
  <c r="H95" i="31" s="1"/>
  <c r="G342" i="31"/>
  <c r="H342" i="31" s="1"/>
  <c r="I342" i="31" s="1"/>
  <c r="G330" i="31"/>
  <c r="H330" i="31" s="1"/>
  <c r="I330" i="31" s="1"/>
  <c r="G197" i="31"/>
  <c r="H197" i="31" s="1"/>
  <c r="I197" i="31" s="1"/>
  <c r="I193" i="31"/>
  <c r="G168" i="31"/>
  <c r="H168" i="31" s="1"/>
  <c r="I335" i="31"/>
  <c r="I351" i="31"/>
  <c r="I307" i="31"/>
  <c r="G303" i="31"/>
  <c r="H303" i="31" s="1"/>
  <c r="E303" i="31"/>
  <c r="I303" i="31" s="1"/>
  <c r="G343" i="31"/>
  <c r="H343" i="31" s="1"/>
  <c r="I343" i="31" s="1"/>
  <c r="I274" i="31"/>
  <c r="I310" i="31"/>
  <c r="G298" i="31"/>
  <c r="H298" i="31" s="1"/>
  <c r="I221" i="31"/>
  <c r="I196" i="31"/>
  <c r="I167" i="31"/>
  <c r="G131" i="31"/>
  <c r="H131" i="31" s="1"/>
  <c r="G115" i="31"/>
  <c r="H115" i="31" s="1"/>
  <c r="I245" i="31"/>
  <c r="G237" i="31"/>
  <c r="H237" i="31" s="1"/>
  <c r="I119" i="31"/>
  <c r="G182" i="31"/>
  <c r="H182" i="31" s="1"/>
  <c r="I182" i="31" s="1"/>
  <c r="I210" i="31"/>
  <c r="G190" i="31"/>
  <c r="H190" i="31" s="1"/>
  <c r="G287" i="31"/>
  <c r="H287" i="31" s="1"/>
  <c r="I287" i="31" s="1"/>
  <c r="G242" i="31"/>
  <c r="H242" i="31" s="1"/>
  <c r="I242" i="31" s="1"/>
  <c r="G334" i="31"/>
  <c r="H334" i="31" s="1"/>
  <c r="I334" i="31" s="1"/>
  <c r="I237" i="31"/>
  <c r="I314" i="31"/>
  <c r="I357" i="31"/>
  <c r="I273" i="31"/>
  <c r="I232" i="31"/>
  <c r="I175" i="31"/>
  <c r="I98" i="31"/>
  <c r="I94" i="31"/>
  <c r="G331" i="31"/>
  <c r="H331" i="31" s="1"/>
  <c r="I198" i="31"/>
  <c r="G355" i="31"/>
  <c r="H355" i="31" s="1"/>
  <c r="I355" i="31" s="1"/>
  <c r="G295" i="31"/>
  <c r="H295" i="31" s="1"/>
  <c r="I295" i="31" s="1"/>
  <c r="G279" i="31"/>
  <c r="H279" i="31" s="1"/>
  <c r="I279" i="31" s="1"/>
  <c r="I338" i="31"/>
  <c r="G311" i="31"/>
  <c r="H311" i="31" s="1"/>
  <c r="I311" i="31" s="1"/>
  <c r="I208" i="31"/>
  <c r="G337" i="31"/>
  <c r="H337" i="31" s="1"/>
  <c r="I337" i="31" s="1"/>
  <c r="G325" i="31"/>
  <c r="H325" i="31" s="1"/>
  <c r="I325" i="31" s="1"/>
  <c r="G179" i="31"/>
  <c r="H179" i="31" s="1"/>
  <c r="I155" i="31"/>
  <c r="G130" i="31"/>
  <c r="H130" i="31" s="1"/>
  <c r="I130" i="31" s="1"/>
  <c r="I141" i="31"/>
  <c r="I259" i="31"/>
  <c r="G108" i="31"/>
  <c r="H108" i="31" s="1"/>
  <c r="I108" i="31" s="1"/>
  <c r="G335" i="31"/>
  <c r="H335" i="31" s="1"/>
  <c r="I116" i="31"/>
  <c r="G327" i="31"/>
  <c r="H327" i="31" s="1"/>
  <c r="I327" i="31" s="1"/>
  <c r="I149" i="31"/>
  <c r="G112" i="31"/>
  <c r="H112" i="31" s="1"/>
  <c r="I112" i="31" s="1"/>
  <c r="G258" i="31"/>
  <c r="H258" i="31" s="1"/>
  <c r="I258" i="31" s="1"/>
  <c r="G189" i="31"/>
  <c r="H189" i="31" s="1"/>
  <c r="I189" i="31" s="1"/>
  <c r="I131" i="31"/>
  <c r="G111" i="31"/>
  <c r="H111" i="31" s="1"/>
  <c r="I111" i="31" s="1"/>
  <c r="I102" i="31"/>
  <c r="E345" i="31"/>
  <c r="G345" i="31"/>
  <c r="H345" i="31" s="1"/>
  <c r="G253" i="31"/>
  <c r="H253" i="31" s="1"/>
  <c r="I253" i="31" s="1"/>
  <c r="I179" i="31"/>
  <c r="G171" i="31"/>
  <c r="H171" i="31" s="1"/>
  <c r="I171" i="31" s="1"/>
  <c r="I78" i="31"/>
  <c r="G321" i="31"/>
  <c r="H321" i="31" s="1"/>
  <c r="E321" i="31"/>
  <c r="G349" i="31"/>
  <c r="H349" i="31" s="1"/>
  <c r="I349" i="31" s="1"/>
  <c r="G305" i="31"/>
  <c r="H305" i="31" s="1"/>
  <c r="I281" i="31"/>
  <c r="G269" i="31"/>
  <c r="H269" i="31" s="1"/>
  <c r="G200" i="31"/>
  <c r="H200" i="31" s="1"/>
  <c r="G155" i="31"/>
  <c r="H155" i="31" s="1"/>
  <c r="I142" i="31"/>
  <c r="G85" i="31"/>
  <c r="H85" i="31" s="1"/>
  <c r="I85" i="31"/>
  <c r="G191" i="31"/>
  <c r="H191" i="31" s="1"/>
  <c r="I191" i="31" s="1"/>
  <c r="G141" i="31"/>
  <c r="H141" i="31" s="1"/>
  <c r="G211" i="31"/>
  <c r="H211" i="31" s="1"/>
  <c r="I211" i="31" s="1"/>
  <c r="G255" i="31"/>
  <c r="H255" i="31" s="1"/>
  <c r="I255" i="31" s="1"/>
  <c r="G259" i="31"/>
  <c r="H259" i="31" s="1"/>
  <c r="G263" i="31"/>
  <c r="H263" i="31" s="1"/>
  <c r="I263" i="31" s="1"/>
  <c r="I290" i="31"/>
  <c r="G148" i="31"/>
  <c r="H148" i="31" s="1"/>
  <c r="I200" i="31"/>
  <c r="I151" i="31"/>
  <c r="I146" i="31"/>
  <c r="I93" i="31"/>
  <c r="I188" i="31"/>
  <c r="I143" i="31"/>
  <c r="G346" i="31"/>
  <c r="H346" i="31" s="1"/>
  <c r="I346" i="31" s="1"/>
  <c r="G316" i="31"/>
  <c r="H316" i="31" s="1"/>
  <c r="I316" i="31" s="1"/>
  <c r="G309" i="31"/>
  <c r="H309" i="31" s="1"/>
  <c r="I240" i="31"/>
  <c r="G213" i="31"/>
  <c r="H213" i="31" s="1"/>
  <c r="I213" i="31" s="1"/>
  <c r="G192" i="31"/>
  <c r="H192" i="31" s="1"/>
  <c r="G160" i="31"/>
  <c r="H160" i="31" s="1"/>
  <c r="I160" i="31" s="1"/>
  <c r="I118" i="31"/>
  <c r="I285" i="31"/>
  <c r="G261" i="31"/>
  <c r="H261" i="31" s="1"/>
  <c r="G177" i="31"/>
  <c r="H177" i="31" s="1"/>
  <c r="I177" i="31" s="1"/>
  <c r="I163" i="31"/>
  <c r="I106" i="31"/>
  <c r="G352" i="31"/>
  <c r="H352" i="31" s="1"/>
  <c r="G329" i="31"/>
  <c r="H329" i="31" s="1"/>
  <c r="I329" i="31" s="1"/>
  <c r="G312" i="31"/>
  <c r="H312" i="31" s="1"/>
  <c r="I312" i="31" s="1"/>
  <c r="G216" i="31"/>
  <c r="H216" i="31" s="1"/>
  <c r="I216" i="31" s="1"/>
  <c r="G110" i="31"/>
  <c r="H110" i="31" s="1"/>
  <c r="I110" i="31" s="1"/>
  <c r="G257" i="31"/>
  <c r="H257" i="31" s="1"/>
  <c r="I257" i="31" s="1"/>
  <c r="G243" i="31"/>
  <c r="H243" i="31" s="1"/>
  <c r="I243" i="31" s="1"/>
  <c r="G180" i="31"/>
  <c r="H180" i="31" s="1"/>
  <c r="I180" i="31" s="1"/>
  <c r="G176" i="31"/>
  <c r="H176" i="31" s="1"/>
  <c r="I176" i="31" s="1"/>
  <c r="I121" i="31"/>
  <c r="G288" i="31"/>
  <c r="H288" i="31" s="1"/>
  <c r="I288" i="31" s="1"/>
  <c r="G232" i="31"/>
  <c r="H232" i="31" s="1"/>
  <c r="G117" i="31"/>
  <c r="H117" i="31" s="1"/>
  <c r="G102" i="31"/>
  <c r="H102" i="31" s="1"/>
  <c r="I81" i="31"/>
  <c r="G246" i="31"/>
  <c r="H246" i="31" s="1"/>
  <c r="I246" i="31" s="1"/>
  <c r="G212" i="31"/>
  <c r="H212" i="31" s="1"/>
  <c r="I212" i="31" s="1"/>
  <c r="G358" i="31"/>
  <c r="H358" i="31" s="1"/>
  <c r="I358" i="31" s="1"/>
  <c r="I215" i="31"/>
  <c r="G187" i="31"/>
  <c r="H187" i="31" s="1"/>
  <c r="G318" i="31"/>
  <c r="H318" i="31" s="1"/>
  <c r="I318" i="31" s="1"/>
  <c r="G291" i="31"/>
  <c r="H291" i="31" s="1"/>
  <c r="I291" i="31" s="1"/>
  <c r="G267" i="31"/>
  <c r="H267" i="31" s="1"/>
  <c r="I267" i="31" s="1"/>
  <c r="G249" i="31"/>
  <c r="H249" i="31" s="1"/>
  <c r="I249" i="31" s="1"/>
  <c r="G183" i="31"/>
  <c r="H183" i="31" s="1"/>
  <c r="I183" i="31" s="1"/>
  <c r="G284" i="31"/>
  <c r="H284" i="31" s="1"/>
  <c r="I284" i="31" s="1"/>
  <c r="G204" i="31"/>
  <c r="H204" i="31" s="1"/>
  <c r="I204" i="31" s="1"/>
  <c r="I190" i="31"/>
  <c r="G134" i="31"/>
  <c r="H134" i="31" s="1"/>
  <c r="I134" i="31" s="1"/>
  <c r="G113" i="31"/>
  <c r="H113" i="31" s="1"/>
  <c r="I113" i="31" s="1"/>
  <c r="G109" i="31"/>
  <c r="H109" i="31" s="1"/>
  <c r="I109" i="31" s="1"/>
  <c r="G195" i="31"/>
  <c r="H195" i="31" s="1"/>
  <c r="I195" i="31" s="1"/>
  <c r="G123" i="31"/>
  <c r="H123" i="31" s="1"/>
  <c r="G270" i="31"/>
  <c r="H270" i="31" s="1"/>
  <c r="I270" i="31" s="1"/>
  <c r="G198" i="31"/>
  <c r="H198" i="31" s="1"/>
  <c r="G126" i="31"/>
  <c r="H126" i="31" s="1"/>
  <c r="G282" i="31"/>
  <c r="H282" i="31" s="1"/>
  <c r="I282" i="31" s="1"/>
  <c r="G210" i="31"/>
  <c r="H210" i="31" s="1"/>
  <c r="G138" i="31"/>
  <c r="H138" i="31" s="1"/>
  <c r="I138" i="31" s="1"/>
  <c r="G78" i="31"/>
  <c r="H78" i="31" s="1"/>
  <c r="G294" i="31"/>
  <c r="H294" i="31" s="1"/>
  <c r="I294" i="31" s="1"/>
  <c r="G222" i="31"/>
  <c r="H222" i="31" s="1"/>
  <c r="G150" i="31"/>
  <c r="H150" i="31" s="1"/>
  <c r="I150" i="31" s="1"/>
  <c r="G297" i="31"/>
  <c r="H297" i="31" s="1"/>
  <c r="I297" i="31" s="1"/>
  <c r="G225" i="31"/>
  <c r="H225" i="31" s="1"/>
  <c r="I225" i="31" s="1"/>
  <c r="G153" i="31"/>
  <c r="H153" i="31" s="1"/>
  <c r="I153" i="31" s="1"/>
  <c r="I59" i="31"/>
  <c r="G17" i="31"/>
  <c r="H17" i="31" s="1"/>
  <c r="I17" i="31"/>
  <c r="G35" i="31"/>
  <c r="H35" i="31" s="1"/>
  <c r="I35" i="31" s="1"/>
  <c r="G56" i="31"/>
  <c r="H56" i="31" s="1"/>
  <c r="I56" i="31" s="1"/>
  <c r="I5" i="31"/>
  <c r="G71" i="31"/>
  <c r="H71" i="31" s="1"/>
  <c r="I71" i="31" s="1"/>
  <c r="G64" i="31"/>
  <c r="H64" i="31" s="1"/>
  <c r="I64" i="31" s="1"/>
  <c r="G29" i="31"/>
  <c r="H29" i="31" s="1"/>
  <c r="I29" i="31" s="1"/>
  <c r="G11" i="31"/>
  <c r="H11" i="31" s="1"/>
  <c r="I11" i="31" s="1"/>
  <c r="G77" i="31"/>
  <c r="H77" i="31" s="1"/>
  <c r="I77" i="31" s="1"/>
  <c r="G3" i="31"/>
  <c r="H3" i="31" s="1"/>
  <c r="I3" i="31" s="1"/>
  <c r="G4" i="31"/>
  <c r="H4" i="31" s="1"/>
  <c r="I4" i="31" s="1"/>
  <c r="G10" i="31"/>
  <c r="H10" i="31" s="1"/>
  <c r="I10" i="31" s="1"/>
  <c r="G13" i="31"/>
  <c r="H13" i="31" s="1"/>
  <c r="I13" i="31" s="1"/>
  <c r="G16" i="31"/>
  <c r="H16" i="31" s="1"/>
  <c r="I16" i="31" s="1"/>
  <c r="G19" i="31"/>
  <c r="H19" i="31" s="1"/>
  <c r="I19" i="31" s="1"/>
  <c r="G25" i="31"/>
  <c r="H25" i="31" s="1"/>
  <c r="I25" i="31" s="1"/>
  <c r="G31" i="31"/>
  <c r="H31" i="31" s="1"/>
  <c r="I31" i="31" s="1"/>
  <c r="G34" i="31"/>
  <c r="H34" i="31" s="1"/>
  <c r="I34" i="31" s="1"/>
  <c r="G7" i="31"/>
  <c r="H7" i="31" s="1"/>
  <c r="I7" i="31" s="1"/>
  <c r="G22" i="31"/>
  <c r="H22" i="31" s="1"/>
  <c r="I22" i="31" s="1"/>
  <c r="G28" i="31"/>
  <c r="H28" i="31" s="1"/>
  <c r="I28" i="31" s="1"/>
  <c r="G37" i="31"/>
  <c r="H37" i="31" s="1"/>
  <c r="I37" i="31" s="1"/>
  <c r="G40" i="31"/>
  <c r="H40" i="31" s="1"/>
  <c r="I40" i="31" s="1"/>
  <c r="G47" i="31"/>
  <c r="H47" i="31" s="1"/>
  <c r="I47" i="31" s="1"/>
  <c r="G74" i="31"/>
  <c r="H74" i="31" s="1"/>
  <c r="I74" i="31" s="1"/>
  <c r="G50" i="31"/>
  <c r="H50" i="31" s="1"/>
  <c r="I50" i="31" s="1"/>
  <c r="G67" i="31"/>
  <c r="H67" i="31" s="1"/>
  <c r="I67" i="31" s="1"/>
  <c r="G43" i="31"/>
  <c r="H43" i="31" s="1"/>
  <c r="I43" i="31" s="1"/>
  <c r="G32" i="31"/>
  <c r="H32" i="31" s="1"/>
  <c r="I32" i="31" s="1"/>
  <c r="G14" i="31"/>
  <c r="H14" i="31" s="1"/>
  <c r="I14" i="31" s="1"/>
  <c r="G70" i="31"/>
  <c r="H70" i="31" s="1"/>
  <c r="I70" i="31" s="1"/>
  <c r="G46" i="31"/>
  <c r="H46" i="31" s="1"/>
  <c r="I46" i="31" s="1"/>
  <c r="G73" i="31"/>
  <c r="H73" i="31" s="1"/>
  <c r="I73" i="31" s="1"/>
  <c r="G49" i="31"/>
  <c r="H49" i="31" s="1"/>
  <c r="I49" i="31" s="1"/>
  <c r="G75" i="31"/>
  <c r="H75" i="31" s="1"/>
  <c r="I75" i="31" s="1"/>
  <c r="G72" i="31"/>
  <c r="H72" i="31" s="1"/>
  <c r="I72" i="31" s="1"/>
  <c r="G69" i="31"/>
  <c r="H69" i="31" s="1"/>
  <c r="I69" i="31" s="1"/>
  <c r="G66" i="31"/>
  <c r="H66" i="31" s="1"/>
  <c r="I66" i="31" s="1"/>
  <c r="G63" i="31"/>
  <c r="H63" i="31" s="1"/>
  <c r="I63" i="31" s="1"/>
  <c r="G60" i="31"/>
  <c r="H60" i="31" s="1"/>
  <c r="I60" i="31" s="1"/>
  <c r="G57" i="31"/>
  <c r="H57" i="31" s="1"/>
  <c r="I57" i="31" s="1"/>
  <c r="G54" i="31"/>
  <c r="H54" i="31" s="1"/>
  <c r="I54" i="31" s="1"/>
  <c r="G51" i="31"/>
  <c r="H51" i="31" s="1"/>
  <c r="I51" i="31" s="1"/>
  <c r="G48" i="31"/>
  <c r="H48" i="31" s="1"/>
  <c r="I48" i="31" s="1"/>
  <c r="G45" i="31"/>
  <c r="H45" i="31" s="1"/>
  <c r="I45" i="31" s="1"/>
  <c r="G42" i="31"/>
  <c r="H42" i="31" s="1"/>
  <c r="I42" i="31" s="1"/>
  <c r="G39" i="31"/>
  <c r="H39" i="31" s="1"/>
  <c r="I39" i="31" s="1"/>
  <c r="G36" i="31"/>
  <c r="H36" i="31" s="1"/>
  <c r="I36" i="31" s="1"/>
  <c r="G33" i="31"/>
  <c r="H33" i="31" s="1"/>
  <c r="I33" i="31" s="1"/>
  <c r="G30" i="31"/>
  <c r="H30" i="31" s="1"/>
  <c r="I30" i="31" s="1"/>
  <c r="G27" i="31"/>
  <c r="H27" i="31" s="1"/>
  <c r="I27" i="31" s="1"/>
  <c r="G24" i="31"/>
  <c r="H24" i="31" s="1"/>
  <c r="I24" i="31" s="1"/>
  <c r="G21" i="31"/>
  <c r="H21" i="31" s="1"/>
  <c r="I21" i="31" s="1"/>
  <c r="G18" i="31"/>
  <c r="H18" i="31" s="1"/>
  <c r="I18" i="31" s="1"/>
  <c r="G15" i="31"/>
  <c r="H15" i="31" s="1"/>
  <c r="I15" i="31" s="1"/>
  <c r="G12" i="31"/>
  <c r="H12" i="31" s="1"/>
  <c r="I12" i="31" s="1"/>
  <c r="G9" i="31"/>
  <c r="H9" i="31" s="1"/>
  <c r="I9" i="31" s="1"/>
  <c r="G6" i="31"/>
  <c r="H6" i="31" s="1"/>
  <c r="I6" i="31" s="1"/>
  <c r="G2" i="31"/>
  <c r="H2" i="31" s="1"/>
  <c r="I2" i="31" s="1"/>
  <c r="D22" i="32"/>
  <c r="E2" i="32"/>
  <c r="G46" i="24"/>
  <c r="H46" i="24" s="1"/>
  <c r="I46" i="24" s="1"/>
  <c r="G31" i="24"/>
  <c r="H31" i="24" s="1"/>
  <c r="I31" i="24" s="1"/>
  <c r="G10" i="24"/>
  <c r="H10" i="24" s="1"/>
  <c r="I10" i="24" s="1"/>
  <c r="G40" i="24"/>
  <c r="H40" i="24" s="1"/>
  <c r="I40" i="24" s="1"/>
  <c r="G25" i="24"/>
  <c r="H25" i="24" s="1"/>
  <c r="I25" i="24" s="1"/>
  <c r="G16" i="24"/>
  <c r="H16" i="24" s="1"/>
  <c r="I16" i="24" s="1"/>
  <c r="G13" i="24"/>
  <c r="H13" i="24" s="1"/>
  <c r="I13" i="24" s="1"/>
  <c r="G39" i="24"/>
  <c r="H39" i="24" s="1"/>
  <c r="I39" i="24" s="1"/>
  <c r="G30" i="24"/>
  <c r="H30" i="24" s="1"/>
  <c r="I30" i="24" s="1"/>
  <c r="G24" i="24"/>
  <c r="H24" i="24" s="1"/>
  <c r="I24" i="24" s="1"/>
  <c r="G15" i="24"/>
  <c r="H15" i="24" s="1"/>
  <c r="I15" i="24" s="1"/>
  <c r="G3" i="24"/>
  <c r="H3" i="24" s="1"/>
  <c r="I3" i="24" s="1"/>
  <c r="G43" i="24"/>
  <c r="H43" i="24" s="1"/>
  <c r="I43" i="24" s="1"/>
  <c r="G34" i="24"/>
  <c r="H34" i="24" s="1"/>
  <c r="I34" i="24" s="1"/>
  <c r="G22" i="24"/>
  <c r="H22" i="24" s="1"/>
  <c r="I22" i="24" s="1"/>
  <c r="G4" i="24"/>
  <c r="H4" i="24" s="1"/>
  <c r="I4" i="24" s="1"/>
  <c r="G45" i="24"/>
  <c r="H45" i="24" s="1"/>
  <c r="I45" i="24" s="1"/>
  <c r="G36" i="24"/>
  <c r="H36" i="24" s="1"/>
  <c r="I36" i="24" s="1"/>
  <c r="G27" i="24"/>
  <c r="H27" i="24" s="1"/>
  <c r="I27" i="24" s="1"/>
  <c r="G12" i="24"/>
  <c r="H12" i="24" s="1"/>
  <c r="I12" i="24" s="1"/>
  <c r="G9" i="24"/>
  <c r="H9" i="24" s="1"/>
  <c r="I9" i="24" s="1"/>
  <c r="G49" i="24"/>
  <c r="H49" i="24" s="1"/>
  <c r="I49" i="24" s="1"/>
  <c r="G37" i="24"/>
  <c r="H37" i="24" s="1"/>
  <c r="I37" i="24" s="1"/>
  <c r="G28" i="24"/>
  <c r="H28" i="24" s="1"/>
  <c r="I28" i="24" s="1"/>
  <c r="G19" i="24"/>
  <c r="H19" i="24" s="1"/>
  <c r="I19" i="24" s="1"/>
  <c r="G48" i="24"/>
  <c r="H48" i="24" s="1"/>
  <c r="I48" i="24" s="1"/>
  <c r="G42" i="24"/>
  <c r="H42" i="24" s="1"/>
  <c r="I42" i="24" s="1"/>
  <c r="G33" i="24"/>
  <c r="H33" i="24" s="1"/>
  <c r="I33" i="24" s="1"/>
  <c r="G21" i="24"/>
  <c r="H21" i="24" s="1"/>
  <c r="I21" i="24" s="1"/>
  <c r="G18" i="24"/>
  <c r="H18" i="24" s="1"/>
  <c r="I18" i="24" s="1"/>
  <c r="G131" i="18"/>
  <c r="H131" i="18" s="1"/>
  <c r="I32" i="28"/>
  <c r="G71" i="21"/>
  <c r="H71" i="21" s="1"/>
  <c r="I71" i="21" s="1"/>
  <c r="G62" i="28"/>
  <c r="H62" i="28" s="1"/>
  <c r="I62" i="28" s="1"/>
  <c r="G128" i="18"/>
  <c r="H128" i="18" s="1"/>
  <c r="I128" i="18" s="1"/>
  <c r="G11" i="21"/>
  <c r="H11" i="21" s="1"/>
  <c r="I11" i="21" s="1"/>
  <c r="G107" i="18"/>
  <c r="H107" i="18" s="1"/>
  <c r="I107" i="18" s="1"/>
  <c r="G26" i="18"/>
  <c r="H26" i="18" s="1"/>
  <c r="I26" i="18" s="1"/>
  <c r="G95" i="18"/>
  <c r="H95" i="18" s="1"/>
  <c r="I95" i="18" s="1"/>
  <c r="I77" i="28"/>
  <c r="G80" i="21"/>
  <c r="H80" i="21" s="1"/>
  <c r="I80" i="21" s="1"/>
  <c r="G92" i="21"/>
  <c r="H92" i="21" s="1"/>
  <c r="I92" i="21" s="1"/>
  <c r="G86" i="18"/>
  <c r="H86" i="18" s="1"/>
  <c r="I86" i="18" s="1"/>
  <c r="G121" i="18"/>
  <c r="H121" i="18" s="1"/>
  <c r="I121" i="18" s="1"/>
  <c r="G110" i="21"/>
  <c r="H110" i="21" s="1"/>
  <c r="I110" i="21" s="1"/>
  <c r="I50" i="28"/>
  <c r="I59" i="28"/>
  <c r="G59" i="18"/>
  <c r="H59" i="18" s="1"/>
  <c r="I59" i="18" s="1"/>
  <c r="G110" i="18"/>
  <c r="H110" i="18" s="1"/>
  <c r="I110" i="18" s="1"/>
  <c r="G37" i="18"/>
  <c r="H37" i="18" s="1"/>
  <c r="I37" i="18" s="1"/>
  <c r="G71" i="18"/>
  <c r="H71" i="18" s="1"/>
  <c r="I71" i="18" s="1"/>
  <c r="G52" i="21"/>
  <c r="H52" i="21" s="1"/>
  <c r="I52" i="21" s="1"/>
  <c r="I41" i="28"/>
  <c r="I23" i="28"/>
  <c r="I68" i="28"/>
  <c r="G26" i="28"/>
  <c r="H26" i="28" s="1"/>
  <c r="I26" i="28" s="1"/>
  <c r="G35" i="28"/>
  <c r="H35" i="28" s="1"/>
  <c r="I35" i="28" s="1"/>
  <c r="G22" i="28"/>
  <c r="H22" i="28" s="1"/>
  <c r="I22" i="28" s="1"/>
  <c r="G71" i="28"/>
  <c r="H71" i="28" s="1"/>
  <c r="I71" i="28" s="1"/>
  <c r="G74" i="28"/>
  <c r="H74" i="28" s="1"/>
  <c r="I74" i="28" s="1"/>
  <c r="G65" i="28"/>
  <c r="H65" i="28" s="1"/>
  <c r="I65" i="28" s="1"/>
  <c r="G56" i="28"/>
  <c r="H56" i="28" s="1"/>
  <c r="I56" i="28" s="1"/>
  <c r="G47" i="28"/>
  <c r="H47" i="28" s="1"/>
  <c r="I47" i="28" s="1"/>
  <c r="G38" i="28"/>
  <c r="H38" i="28" s="1"/>
  <c r="I38" i="28" s="1"/>
  <c r="G29" i="28"/>
  <c r="H29" i="28" s="1"/>
  <c r="I29" i="28" s="1"/>
  <c r="G20" i="28"/>
  <c r="H20" i="28" s="1"/>
  <c r="I20" i="28" s="1"/>
  <c r="G53" i="28"/>
  <c r="H53" i="28" s="1"/>
  <c r="I53" i="28" s="1"/>
  <c r="G44" i="28"/>
  <c r="H44" i="28" s="1"/>
  <c r="I44" i="28" s="1"/>
  <c r="G45" i="28"/>
  <c r="H45" i="28" s="1"/>
  <c r="I45" i="28" s="1"/>
  <c r="G48" i="28"/>
  <c r="H48" i="28" s="1"/>
  <c r="I48" i="28" s="1"/>
  <c r="G39" i="28"/>
  <c r="H39" i="28" s="1"/>
  <c r="I39" i="28" s="1"/>
  <c r="G30" i="28"/>
  <c r="H30" i="28" s="1"/>
  <c r="I30" i="28" s="1"/>
  <c r="G21" i="28"/>
  <c r="H21" i="28" s="1"/>
  <c r="I21" i="28" s="1"/>
  <c r="G63" i="28"/>
  <c r="H63" i="28" s="1"/>
  <c r="I63" i="28" s="1"/>
  <c r="G18" i="28"/>
  <c r="H18" i="28" s="1"/>
  <c r="I18" i="28" s="1"/>
  <c r="G12" i="28"/>
  <c r="H12" i="28" s="1"/>
  <c r="I12" i="28" s="1"/>
  <c r="G27" i="28"/>
  <c r="H27" i="28" s="1"/>
  <c r="I27" i="28" s="1"/>
  <c r="G8" i="28"/>
  <c r="H8" i="28" s="1"/>
  <c r="I8" i="28" s="1"/>
  <c r="G5" i="28"/>
  <c r="H5" i="28" s="1"/>
  <c r="I5" i="28" s="1"/>
  <c r="G57" i="28"/>
  <c r="H57" i="28" s="1"/>
  <c r="I57" i="28" s="1"/>
  <c r="G15" i="28"/>
  <c r="H15" i="28" s="1"/>
  <c r="I15" i="28" s="1"/>
  <c r="G17" i="28"/>
  <c r="H17" i="28" s="1"/>
  <c r="I17" i="28" s="1"/>
  <c r="G11" i="28"/>
  <c r="H11" i="28" s="1"/>
  <c r="I11" i="28" s="1"/>
  <c r="G14" i="28"/>
  <c r="H14" i="28" s="1"/>
  <c r="I14" i="28" s="1"/>
  <c r="G36" i="28"/>
  <c r="H36" i="28" s="1"/>
  <c r="I36" i="28" s="1"/>
  <c r="G54" i="28"/>
  <c r="H54" i="28" s="1"/>
  <c r="I54" i="28" s="1"/>
  <c r="G9" i="28"/>
  <c r="H9" i="28" s="1"/>
  <c r="I9" i="28" s="1"/>
  <c r="G60" i="28"/>
  <c r="H60" i="28" s="1"/>
  <c r="I60" i="28" s="1"/>
  <c r="G51" i="28"/>
  <c r="H51" i="28" s="1"/>
  <c r="I51" i="28" s="1"/>
  <c r="G42" i="28"/>
  <c r="H42" i="28" s="1"/>
  <c r="I42" i="28" s="1"/>
  <c r="G33" i="28"/>
  <c r="H33" i="28" s="1"/>
  <c r="I33" i="28" s="1"/>
  <c r="G24" i="28"/>
  <c r="H24" i="28" s="1"/>
  <c r="I24" i="28" s="1"/>
  <c r="G3" i="28"/>
  <c r="H3" i="28" s="1"/>
  <c r="I3" i="28" s="1"/>
  <c r="G73" i="28"/>
  <c r="H73" i="28" s="1"/>
  <c r="I73" i="28" s="1"/>
  <c r="G61" i="28"/>
  <c r="H61" i="28" s="1"/>
  <c r="I61" i="28" s="1"/>
  <c r="G40" i="28"/>
  <c r="H40" i="28" s="1"/>
  <c r="I40" i="28" s="1"/>
  <c r="G4" i="28"/>
  <c r="H4" i="28" s="1"/>
  <c r="I4" i="28" s="1"/>
  <c r="G43" i="28"/>
  <c r="H43" i="28" s="1"/>
  <c r="I43" i="28" s="1"/>
  <c r="G25" i="28"/>
  <c r="H25" i="28" s="1"/>
  <c r="I25" i="28" s="1"/>
  <c r="G55" i="28"/>
  <c r="H55" i="28" s="1"/>
  <c r="I55" i="28" s="1"/>
  <c r="G16" i="28"/>
  <c r="H16" i="28" s="1"/>
  <c r="I16" i="28" s="1"/>
  <c r="G46" i="28"/>
  <c r="H46" i="28" s="1"/>
  <c r="I46" i="28" s="1"/>
  <c r="G31" i="28"/>
  <c r="H31" i="28" s="1"/>
  <c r="I31" i="28" s="1"/>
  <c r="G58" i="28"/>
  <c r="H58" i="28" s="1"/>
  <c r="I58" i="28" s="1"/>
  <c r="G13" i="28"/>
  <c r="H13" i="28" s="1"/>
  <c r="I13" i="28" s="1"/>
  <c r="G75" i="28"/>
  <c r="H75" i="28" s="1"/>
  <c r="I75" i="28" s="1"/>
  <c r="G72" i="28"/>
  <c r="H72" i="28" s="1"/>
  <c r="I72" i="28" s="1"/>
  <c r="G69" i="28"/>
  <c r="H69" i="28" s="1"/>
  <c r="I69" i="28" s="1"/>
  <c r="G66" i="28"/>
  <c r="H66" i="28" s="1"/>
  <c r="I66" i="28" s="1"/>
  <c r="G6" i="28"/>
  <c r="H6" i="28" s="1"/>
  <c r="I6" i="28" s="1"/>
  <c r="G67" i="28"/>
  <c r="H67" i="28" s="1"/>
  <c r="I67" i="28" s="1"/>
  <c r="G37" i="28"/>
  <c r="H37" i="28" s="1"/>
  <c r="I37" i="28" s="1"/>
  <c r="G10" i="28"/>
  <c r="H10" i="28" s="1"/>
  <c r="I10" i="28" s="1"/>
  <c r="G70" i="28"/>
  <c r="H70" i="28" s="1"/>
  <c r="I70" i="28" s="1"/>
  <c r="G34" i="28"/>
  <c r="H34" i="28" s="1"/>
  <c r="I34" i="28" s="1"/>
  <c r="G7" i="28"/>
  <c r="H7" i="28" s="1"/>
  <c r="I7" i="28" s="1"/>
  <c r="G76" i="28"/>
  <c r="H76" i="28" s="1"/>
  <c r="I76" i="28" s="1"/>
  <c r="G52" i="28"/>
  <c r="H52" i="28" s="1"/>
  <c r="I52" i="28" s="1"/>
  <c r="G28" i="28"/>
  <c r="H28" i="28" s="1"/>
  <c r="I28" i="28" s="1"/>
  <c r="G49" i="28"/>
  <c r="H49" i="28" s="1"/>
  <c r="I49" i="28" s="1"/>
  <c r="G19" i="28"/>
  <c r="H19" i="28" s="1"/>
  <c r="I19" i="28" s="1"/>
  <c r="G64" i="28"/>
  <c r="H64" i="28" s="1"/>
  <c r="I64" i="28" s="1"/>
  <c r="G2" i="28"/>
  <c r="H2" i="28" s="1"/>
  <c r="I2" i="28" s="1"/>
  <c r="G2" i="24"/>
  <c r="H2" i="24" s="1"/>
  <c r="I2" i="24" s="1"/>
  <c r="G14" i="21"/>
  <c r="H14" i="21" s="1"/>
  <c r="I14" i="21" s="1"/>
  <c r="G97" i="21"/>
  <c r="H97" i="21" s="1"/>
  <c r="I97" i="21" s="1"/>
  <c r="G95" i="21"/>
  <c r="H95" i="21" s="1"/>
  <c r="I95" i="21" s="1"/>
  <c r="G86" i="21"/>
  <c r="H86" i="21" s="1"/>
  <c r="I86" i="21" s="1"/>
  <c r="G19" i="21"/>
  <c r="H19" i="21" s="1"/>
  <c r="I19" i="21" s="1"/>
  <c r="G50" i="21"/>
  <c r="H50" i="21" s="1"/>
  <c r="I50" i="21" s="1"/>
  <c r="G35" i="21"/>
  <c r="H35" i="21" s="1"/>
  <c r="I35" i="21" s="1"/>
  <c r="G69" i="21"/>
  <c r="H69" i="21" s="1"/>
  <c r="I69" i="21" s="1"/>
  <c r="G112" i="21"/>
  <c r="H112" i="21" s="1"/>
  <c r="G49" i="21"/>
  <c r="H49" i="21" s="1"/>
  <c r="I49" i="21" s="1"/>
  <c r="G64" i="21"/>
  <c r="H64" i="21" s="1"/>
  <c r="I64" i="21" s="1"/>
  <c r="G15" i="21"/>
  <c r="H15" i="21" s="1"/>
  <c r="I15" i="21" s="1"/>
  <c r="G51" i="21"/>
  <c r="H51" i="21" s="1"/>
  <c r="I51" i="21" s="1"/>
  <c r="G67" i="21"/>
  <c r="H67" i="21" s="1"/>
  <c r="I67" i="21" s="1"/>
  <c r="G78" i="21"/>
  <c r="H78" i="21" s="1"/>
  <c r="G82" i="21"/>
  <c r="H82" i="21" s="1"/>
  <c r="G40" i="21"/>
  <c r="H40" i="21" s="1"/>
  <c r="I40" i="21" s="1"/>
  <c r="G68" i="21"/>
  <c r="H68" i="21" s="1"/>
  <c r="I68" i="21" s="1"/>
  <c r="G114" i="21"/>
  <c r="H114" i="21" s="1"/>
  <c r="I114" i="21" s="1"/>
  <c r="G42" i="21"/>
  <c r="H42" i="21" s="1"/>
  <c r="I42" i="21" s="1"/>
  <c r="G105" i="21"/>
  <c r="H105" i="21" s="1"/>
  <c r="I105" i="21" s="1"/>
  <c r="G9" i="21"/>
  <c r="H9" i="21" s="1"/>
  <c r="I9" i="21" s="1"/>
  <c r="G88" i="21"/>
  <c r="H88" i="21" s="1"/>
  <c r="I88" i="21" s="1"/>
  <c r="G17" i="21"/>
  <c r="H17" i="21" s="1"/>
  <c r="I17" i="21" s="1"/>
  <c r="G85" i="21"/>
  <c r="H85" i="21" s="1"/>
  <c r="I85" i="21" s="1"/>
  <c r="G87" i="21"/>
  <c r="H87" i="21" s="1"/>
  <c r="I87" i="21" s="1"/>
  <c r="G75" i="21"/>
  <c r="H75" i="21" s="1"/>
  <c r="I75" i="21" s="1"/>
  <c r="G53" i="21"/>
  <c r="H53" i="21" s="1"/>
  <c r="I53" i="21" s="1"/>
  <c r="G3" i="21"/>
  <c r="H3" i="21" s="1"/>
  <c r="I3" i="21" s="1"/>
  <c r="G58" i="21"/>
  <c r="H58" i="21" s="1"/>
  <c r="I58" i="21" s="1"/>
  <c r="G76" i="21"/>
  <c r="H76" i="21" s="1"/>
  <c r="I76" i="21" s="1"/>
  <c r="G4" i="21"/>
  <c r="H4" i="21" s="1"/>
  <c r="I4" i="21" s="1"/>
  <c r="I70" i="21"/>
  <c r="I112" i="21"/>
  <c r="I106" i="21"/>
  <c r="I16" i="21"/>
  <c r="I37" i="21"/>
  <c r="G21" i="21"/>
  <c r="H21" i="21" s="1"/>
  <c r="I21" i="21" s="1"/>
  <c r="G20" i="21"/>
  <c r="H20" i="21" s="1"/>
  <c r="I20" i="21" s="1"/>
  <c r="G99" i="21"/>
  <c r="H99" i="21" s="1"/>
  <c r="I99" i="21" s="1"/>
  <c r="G59" i="21"/>
  <c r="H59" i="21" s="1"/>
  <c r="I59" i="21" s="1"/>
  <c r="G60" i="21"/>
  <c r="H60" i="21" s="1"/>
  <c r="I60" i="21" s="1"/>
  <c r="G62" i="21"/>
  <c r="H62" i="21" s="1"/>
  <c r="I62" i="21" s="1"/>
  <c r="G45" i="21"/>
  <c r="H45" i="21" s="1"/>
  <c r="I45" i="21" s="1"/>
  <c r="G30" i="21"/>
  <c r="H30" i="21" s="1"/>
  <c r="I30" i="21" s="1"/>
  <c r="G5" i="21"/>
  <c r="H5" i="21" s="1"/>
  <c r="I5" i="21" s="1"/>
  <c r="G8" i="21"/>
  <c r="H8" i="21" s="1"/>
  <c r="I8" i="21" s="1"/>
  <c r="G6" i="21"/>
  <c r="H6" i="21" s="1"/>
  <c r="I6" i="21" s="1"/>
  <c r="G24" i="21"/>
  <c r="H24" i="21" s="1"/>
  <c r="I24" i="21" s="1"/>
  <c r="G25" i="21"/>
  <c r="H25" i="21" s="1"/>
  <c r="I25" i="21" s="1"/>
  <c r="G66" i="21"/>
  <c r="H66" i="21" s="1"/>
  <c r="I66" i="21" s="1"/>
  <c r="G65" i="21"/>
  <c r="H65" i="21" s="1"/>
  <c r="I65" i="21" s="1"/>
  <c r="G22" i="21"/>
  <c r="H22" i="21" s="1"/>
  <c r="I22" i="21" s="1"/>
  <c r="G46" i="21"/>
  <c r="H46" i="21" s="1"/>
  <c r="I46" i="21" s="1"/>
  <c r="G115" i="21"/>
  <c r="H115" i="21" s="1"/>
  <c r="I115" i="21" s="1"/>
  <c r="G108" i="21"/>
  <c r="H108" i="21" s="1"/>
  <c r="I108" i="21" s="1"/>
  <c r="G109" i="21"/>
  <c r="H109" i="21" s="1"/>
  <c r="I109" i="21" s="1"/>
  <c r="G113" i="21"/>
  <c r="H113" i="21" s="1"/>
  <c r="I113" i="21" s="1"/>
  <c r="I78" i="21"/>
  <c r="G103" i="21"/>
  <c r="H103" i="21" s="1"/>
  <c r="I103" i="21" s="1"/>
  <c r="G104" i="21"/>
  <c r="H104" i="21" s="1"/>
  <c r="I104" i="21" s="1"/>
  <c r="G93" i="21"/>
  <c r="H93" i="21" s="1"/>
  <c r="I93" i="21" s="1"/>
  <c r="G94" i="21"/>
  <c r="H94" i="21" s="1"/>
  <c r="I94" i="21" s="1"/>
  <c r="G101" i="21"/>
  <c r="H101" i="21" s="1"/>
  <c r="I101" i="21" s="1"/>
  <c r="G100" i="21"/>
  <c r="H100" i="21" s="1"/>
  <c r="I100" i="21" s="1"/>
  <c r="G98" i="21"/>
  <c r="H98" i="21" s="1"/>
  <c r="I98" i="21" s="1"/>
  <c r="G102" i="21"/>
  <c r="H102" i="21" s="1"/>
  <c r="I102" i="21" s="1"/>
  <c r="G73" i="21"/>
  <c r="H73" i="21" s="1"/>
  <c r="I73" i="21" s="1"/>
  <c r="G74" i="21"/>
  <c r="H74" i="21" s="1"/>
  <c r="I74" i="21" s="1"/>
  <c r="G72" i="21"/>
  <c r="H72" i="21" s="1"/>
  <c r="I72" i="21" s="1"/>
  <c r="G18" i="21"/>
  <c r="H18" i="21" s="1"/>
  <c r="I18" i="21" s="1"/>
  <c r="G23" i="21"/>
  <c r="H23" i="21" s="1"/>
  <c r="I23" i="21" s="1"/>
  <c r="G89" i="21"/>
  <c r="H89" i="21" s="1"/>
  <c r="I89" i="21" s="1"/>
  <c r="G84" i="21"/>
  <c r="H84" i="21" s="1"/>
  <c r="I84" i="21" s="1"/>
  <c r="G63" i="21"/>
  <c r="H63" i="21" s="1"/>
  <c r="I63" i="21" s="1"/>
  <c r="G91" i="21"/>
  <c r="H91" i="21" s="1"/>
  <c r="I91" i="21" s="1"/>
  <c r="G90" i="21"/>
  <c r="H90" i="21" s="1"/>
  <c r="I90" i="21" s="1"/>
  <c r="G54" i="21"/>
  <c r="H54" i="21" s="1"/>
  <c r="I54" i="21" s="1"/>
  <c r="G55" i="21"/>
  <c r="H55" i="21" s="1"/>
  <c r="I55" i="21" s="1"/>
  <c r="G56" i="21"/>
  <c r="H56" i="21" s="1"/>
  <c r="I56" i="21" s="1"/>
  <c r="G111" i="21"/>
  <c r="H111" i="21" s="1"/>
  <c r="I111" i="21" s="1"/>
  <c r="I82" i="21"/>
  <c r="G48" i="21"/>
  <c r="H48" i="21" s="1"/>
  <c r="I48" i="21" s="1"/>
  <c r="G33" i="21"/>
  <c r="H33" i="21" s="1"/>
  <c r="I33" i="21" s="1"/>
  <c r="G32" i="21"/>
  <c r="H32" i="21" s="1"/>
  <c r="I32" i="21" s="1"/>
  <c r="G36" i="21"/>
  <c r="H36" i="21" s="1"/>
  <c r="I36" i="21" s="1"/>
  <c r="G34" i="21"/>
  <c r="H34" i="21" s="1"/>
  <c r="I34" i="21" s="1"/>
  <c r="G96" i="21"/>
  <c r="H96" i="21" s="1"/>
  <c r="I96" i="21" s="1"/>
  <c r="G57" i="21"/>
  <c r="H57" i="21" s="1"/>
  <c r="I57" i="21" s="1"/>
  <c r="G13" i="21"/>
  <c r="H13" i="21" s="1"/>
  <c r="I13" i="21" s="1"/>
  <c r="G12" i="21"/>
  <c r="H12" i="21" s="1"/>
  <c r="I12" i="21" s="1"/>
  <c r="G41" i="21"/>
  <c r="H41" i="21" s="1"/>
  <c r="I41" i="21" s="1"/>
  <c r="G39" i="21"/>
  <c r="H39" i="21" s="1"/>
  <c r="I39" i="21" s="1"/>
  <c r="G44" i="21"/>
  <c r="H44" i="21" s="1"/>
  <c r="I44" i="21" s="1"/>
  <c r="G38" i="21"/>
  <c r="H38" i="21" s="1"/>
  <c r="I38" i="21" s="1"/>
  <c r="G47" i="21"/>
  <c r="H47" i="21" s="1"/>
  <c r="I47" i="21" s="1"/>
  <c r="G28" i="21"/>
  <c r="H28" i="21" s="1"/>
  <c r="I28" i="21" s="1"/>
  <c r="G31" i="21"/>
  <c r="H31" i="21" s="1"/>
  <c r="I31" i="21" s="1"/>
  <c r="G27" i="21"/>
  <c r="H27" i="21" s="1"/>
  <c r="I27" i="21" s="1"/>
  <c r="G29" i="21"/>
  <c r="H29" i="21" s="1"/>
  <c r="I29" i="21" s="1"/>
  <c r="G77" i="21"/>
  <c r="H77" i="21" s="1"/>
  <c r="I77" i="21" s="1"/>
  <c r="G81" i="21"/>
  <c r="H81" i="21" s="1"/>
  <c r="I81" i="21" s="1"/>
  <c r="G83" i="21"/>
  <c r="H83" i="21" s="1"/>
  <c r="I83" i="21" s="1"/>
  <c r="G79" i="21"/>
  <c r="H79" i="21" s="1"/>
  <c r="I79" i="21" s="1"/>
  <c r="G7" i="21"/>
  <c r="H7" i="21" s="1"/>
  <c r="I7" i="21" s="1"/>
  <c r="G61" i="21"/>
  <c r="H61" i="21" s="1"/>
  <c r="I61" i="21" s="1"/>
  <c r="G43" i="21"/>
  <c r="H43" i="21" s="1"/>
  <c r="I43" i="21" s="1"/>
  <c r="G10" i="21"/>
  <c r="H10" i="21" s="1"/>
  <c r="I10" i="21" s="1"/>
  <c r="G2" i="21"/>
  <c r="H2" i="21" s="1"/>
  <c r="I2" i="21" s="1"/>
  <c r="G91" i="18"/>
  <c r="H91" i="18" s="1"/>
  <c r="G4" i="18"/>
  <c r="H4" i="18" s="1"/>
  <c r="I4" i="18" s="1"/>
  <c r="G80" i="18"/>
  <c r="H80" i="18" s="1"/>
  <c r="I80" i="18" s="1"/>
  <c r="G29" i="18"/>
  <c r="H29" i="18" s="1"/>
  <c r="I29" i="18" s="1"/>
  <c r="G23" i="18"/>
  <c r="H23" i="18" s="1"/>
  <c r="I23" i="18" s="1"/>
  <c r="G113" i="18"/>
  <c r="H113" i="18" s="1"/>
  <c r="I113" i="18" s="1"/>
  <c r="G22" i="18"/>
  <c r="H22" i="18" s="1"/>
  <c r="I22" i="18" s="1"/>
  <c r="G85" i="18"/>
  <c r="H85" i="18" s="1"/>
  <c r="I85" i="18" s="1"/>
  <c r="G52" i="18"/>
  <c r="H52" i="18" s="1"/>
  <c r="I52" i="18" s="1"/>
  <c r="G89" i="18"/>
  <c r="H89" i="18" s="1"/>
  <c r="I89" i="18" s="1"/>
  <c r="G47" i="18"/>
  <c r="H47" i="18" s="1"/>
  <c r="I47" i="18" s="1"/>
  <c r="G103" i="18"/>
  <c r="H103" i="18" s="1"/>
  <c r="G62" i="18"/>
  <c r="H62" i="18" s="1"/>
  <c r="I62" i="18" s="1"/>
  <c r="I103" i="18"/>
  <c r="G73" i="18"/>
  <c r="H73" i="18" s="1"/>
  <c r="I73" i="18" s="1"/>
  <c r="G65" i="18"/>
  <c r="H65" i="18" s="1"/>
  <c r="I65" i="18" s="1"/>
  <c r="G44" i="18"/>
  <c r="H44" i="18" s="1"/>
  <c r="I44" i="18" s="1"/>
  <c r="G34" i="18"/>
  <c r="H34" i="18" s="1"/>
  <c r="I34" i="18" s="1"/>
  <c r="G53" i="18"/>
  <c r="H53" i="18" s="1"/>
  <c r="I53" i="18" s="1"/>
  <c r="G74" i="18"/>
  <c r="H74" i="18" s="1"/>
  <c r="I40" i="18"/>
  <c r="G38" i="18"/>
  <c r="H38" i="18" s="1"/>
  <c r="I38" i="18" s="1"/>
  <c r="I115" i="18"/>
  <c r="I94" i="18"/>
  <c r="G32" i="18"/>
  <c r="H32" i="18" s="1"/>
  <c r="I32" i="18" s="1"/>
  <c r="G41" i="18"/>
  <c r="H41" i="18" s="1"/>
  <c r="I41" i="18" s="1"/>
  <c r="G14" i="18"/>
  <c r="H14" i="18" s="1"/>
  <c r="I14" i="18" s="1"/>
  <c r="G88" i="18"/>
  <c r="H88" i="18" s="1"/>
  <c r="I88" i="18" s="1"/>
  <c r="I76" i="18"/>
  <c r="G64" i="18"/>
  <c r="H64" i="18" s="1"/>
  <c r="G43" i="18"/>
  <c r="H43" i="18" s="1"/>
  <c r="I43" i="18" s="1"/>
  <c r="G112" i="18"/>
  <c r="H112" i="18" s="1"/>
  <c r="I112" i="18" s="1"/>
  <c r="I10" i="18"/>
  <c r="I64" i="18"/>
  <c r="G79" i="18"/>
  <c r="H79" i="18" s="1"/>
  <c r="I79" i="18" s="1"/>
  <c r="G127" i="18"/>
  <c r="H127" i="18" s="1"/>
  <c r="I127" i="18" s="1"/>
  <c r="I91" i="18"/>
  <c r="G68" i="18"/>
  <c r="H68" i="18" s="1"/>
  <c r="I68" i="18" s="1"/>
  <c r="G106" i="18"/>
  <c r="H106" i="18" s="1"/>
  <c r="I106" i="18" s="1"/>
  <c r="G8" i="18"/>
  <c r="H8" i="18" s="1"/>
  <c r="I8" i="18" s="1"/>
  <c r="G119" i="18"/>
  <c r="H119" i="18" s="1"/>
  <c r="I119" i="18" s="1"/>
  <c r="G109" i="18"/>
  <c r="H109" i="18" s="1"/>
  <c r="I109" i="18" s="1"/>
  <c r="G122" i="18"/>
  <c r="H122" i="18" s="1"/>
  <c r="I122" i="18" s="1"/>
  <c r="G77" i="18"/>
  <c r="H77" i="18" s="1"/>
  <c r="I77" i="18" s="1"/>
  <c r="G49" i="18"/>
  <c r="H49" i="18" s="1"/>
  <c r="I49" i="18" s="1"/>
  <c r="I104" i="18"/>
  <c r="I74" i="18"/>
  <c r="I50" i="18"/>
  <c r="I131" i="18"/>
  <c r="G97" i="18"/>
  <c r="H97" i="18" s="1"/>
  <c r="I97" i="18" s="1"/>
  <c r="G100" i="18"/>
  <c r="H100" i="18" s="1"/>
  <c r="I100" i="18" s="1"/>
  <c r="G46" i="18"/>
  <c r="H46" i="18" s="1"/>
  <c r="I46" i="18" s="1"/>
  <c r="G13" i="18"/>
  <c r="H13" i="18" s="1"/>
  <c r="I13" i="18" s="1"/>
  <c r="G16" i="18"/>
  <c r="H16" i="18" s="1"/>
  <c r="I16" i="18" s="1"/>
  <c r="G83" i="18"/>
  <c r="H83" i="18" s="1"/>
  <c r="I83" i="18" s="1"/>
  <c r="G5" i="18"/>
  <c r="H5" i="18" s="1"/>
  <c r="I5" i="18" s="1"/>
  <c r="G116" i="18"/>
  <c r="H116" i="18" s="1"/>
  <c r="I116" i="18" s="1"/>
  <c r="I82" i="18"/>
  <c r="G55" i="18"/>
  <c r="H55" i="18" s="1"/>
  <c r="I55" i="18" s="1"/>
  <c r="G61" i="18"/>
  <c r="H61" i="18" s="1"/>
  <c r="I61" i="18" s="1"/>
  <c r="G58" i="18"/>
  <c r="H58" i="18" s="1"/>
  <c r="I58" i="18" s="1"/>
  <c r="G130" i="18"/>
  <c r="H130" i="18" s="1"/>
  <c r="I130" i="18" s="1"/>
  <c r="G25" i="18"/>
  <c r="H25" i="18" s="1"/>
  <c r="I25" i="18" s="1"/>
  <c r="G19" i="18"/>
  <c r="H19" i="18" s="1"/>
  <c r="I19" i="18" s="1"/>
  <c r="G56" i="18"/>
  <c r="H56" i="18" s="1"/>
  <c r="I56" i="18" s="1"/>
  <c r="G118" i="18"/>
  <c r="H118" i="18" s="1"/>
  <c r="I118" i="18" s="1"/>
  <c r="G7" i="18"/>
  <c r="H7" i="18" s="1"/>
  <c r="I7" i="18" s="1"/>
  <c r="G17" i="18"/>
  <c r="H17" i="18" s="1"/>
  <c r="I17" i="18" s="1"/>
  <c r="G98" i="18"/>
  <c r="H98" i="18" s="1"/>
  <c r="I98" i="18" s="1"/>
  <c r="G31" i="18"/>
  <c r="H31" i="18" s="1"/>
  <c r="I31" i="18" s="1"/>
  <c r="G28" i="18"/>
  <c r="H28" i="18" s="1"/>
  <c r="I28" i="18" s="1"/>
  <c r="G20" i="18"/>
  <c r="H20" i="18" s="1"/>
  <c r="I20" i="18" s="1"/>
  <c r="G11" i="18"/>
  <c r="H11" i="18" s="1"/>
  <c r="I11" i="18" s="1"/>
  <c r="G67" i="18"/>
  <c r="H67" i="18" s="1"/>
  <c r="I67" i="18" s="1"/>
  <c r="G124" i="18"/>
  <c r="H124" i="18" s="1"/>
  <c r="I124" i="18" s="1"/>
  <c r="G70" i="18"/>
  <c r="H70" i="18" s="1"/>
  <c r="I70" i="18" s="1"/>
  <c r="G132" i="18"/>
  <c r="H132" i="18" s="1"/>
  <c r="I132" i="18" s="1"/>
  <c r="G129" i="18"/>
  <c r="H129" i="18" s="1"/>
  <c r="I129" i="18" s="1"/>
  <c r="G126" i="18"/>
  <c r="H126" i="18" s="1"/>
  <c r="I126" i="18" s="1"/>
  <c r="G123" i="18"/>
  <c r="H123" i="18" s="1"/>
  <c r="I123" i="18" s="1"/>
  <c r="G120" i="18"/>
  <c r="H120" i="18" s="1"/>
  <c r="I120" i="18" s="1"/>
  <c r="G117" i="18"/>
  <c r="H117" i="18" s="1"/>
  <c r="I117" i="18" s="1"/>
  <c r="G114" i="18"/>
  <c r="H114" i="18" s="1"/>
  <c r="I114" i="18" s="1"/>
  <c r="G111" i="18"/>
  <c r="H111" i="18" s="1"/>
  <c r="I111" i="18" s="1"/>
  <c r="G108" i="18"/>
  <c r="H108" i="18" s="1"/>
  <c r="I108" i="18" s="1"/>
  <c r="G105" i="18"/>
  <c r="H105" i="18" s="1"/>
  <c r="I105" i="18" s="1"/>
  <c r="G102" i="18"/>
  <c r="H102" i="18" s="1"/>
  <c r="I102" i="18" s="1"/>
  <c r="G99" i="18"/>
  <c r="H99" i="18" s="1"/>
  <c r="I99" i="18" s="1"/>
  <c r="G96" i="18"/>
  <c r="H96" i="18" s="1"/>
  <c r="I96" i="18" s="1"/>
  <c r="G93" i="18"/>
  <c r="H93" i="18" s="1"/>
  <c r="I93" i="18" s="1"/>
  <c r="G90" i="18"/>
  <c r="H90" i="18" s="1"/>
  <c r="I90" i="18" s="1"/>
  <c r="G87" i="18"/>
  <c r="H87" i="18" s="1"/>
  <c r="I87" i="18" s="1"/>
  <c r="G84" i="18"/>
  <c r="H84" i="18" s="1"/>
  <c r="I84" i="18" s="1"/>
  <c r="G81" i="18"/>
  <c r="H81" i="18" s="1"/>
  <c r="I81" i="18" s="1"/>
  <c r="G78" i="18"/>
  <c r="H78" i="18" s="1"/>
  <c r="I78" i="18" s="1"/>
  <c r="G75" i="18"/>
  <c r="H75" i="18" s="1"/>
  <c r="I75" i="18" s="1"/>
  <c r="G72" i="18"/>
  <c r="H72" i="18" s="1"/>
  <c r="I72" i="18" s="1"/>
  <c r="G69" i="18"/>
  <c r="H69" i="18" s="1"/>
  <c r="I69" i="18" s="1"/>
  <c r="G66" i="18"/>
  <c r="H66" i="18" s="1"/>
  <c r="I66" i="18" s="1"/>
  <c r="G63" i="18"/>
  <c r="H63" i="18" s="1"/>
  <c r="I63" i="18" s="1"/>
  <c r="G60" i="18"/>
  <c r="H60" i="18" s="1"/>
  <c r="I60" i="18" s="1"/>
  <c r="G57" i="18"/>
  <c r="H57" i="18" s="1"/>
  <c r="I57" i="18" s="1"/>
  <c r="G54" i="18"/>
  <c r="H54" i="18" s="1"/>
  <c r="I54" i="18" s="1"/>
  <c r="G51" i="18"/>
  <c r="H51" i="18" s="1"/>
  <c r="I51" i="18" s="1"/>
  <c r="G48" i="18"/>
  <c r="H48" i="18" s="1"/>
  <c r="I48" i="18" s="1"/>
  <c r="G45" i="18"/>
  <c r="H45" i="18" s="1"/>
  <c r="I45" i="18" s="1"/>
  <c r="G42" i="18"/>
  <c r="H42" i="18" s="1"/>
  <c r="I42" i="18" s="1"/>
  <c r="G39" i="18"/>
  <c r="H39" i="18" s="1"/>
  <c r="I39" i="18" s="1"/>
  <c r="G36" i="18"/>
  <c r="H36" i="18" s="1"/>
  <c r="I36" i="18" s="1"/>
  <c r="G33" i="18"/>
  <c r="H33" i="18" s="1"/>
  <c r="I33" i="18" s="1"/>
  <c r="G30" i="18"/>
  <c r="H30" i="18" s="1"/>
  <c r="I30" i="18" s="1"/>
  <c r="G27" i="18"/>
  <c r="H27" i="18" s="1"/>
  <c r="I27" i="18" s="1"/>
  <c r="G24" i="18"/>
  <c r="H24" i="18" s="1"/>
  <c r="I24" i="18" s="1"/>
  <c r="G21" i="18"/>
  <c r="H21" i="18" s="1"/>
  <c r="I21" i="18" s="1"/>
  <c r="G18" i="18"/>
  <c r="H18" i="18" s="1"/>
  <c r="I18" i="18" s="1"/>
  <c r="G15" i="18"/>
  <c r="H15" i="18" s="1"/>
  <c r="I15" i="18" s="1"/>
  <c r="G12" i="18"/>
  <c r="H12" i="18" s="1"/>
  <c r="I12" i="18" s="1"/>
  <c r="G9" i="18"/>
  <c r="H9" i="18" s="1"/>
  <c r="I9" i="18" s="1"/>
  <c r="G6" i="18"/>
  <c r="H6" i="18" s="1"/>
  <c r="I6" i="18" s="1"/>
  <c r="G3" i="18"/>
  <c r="H3" i="18" s="1"/>
  <c r="I3" i="18" s="1"/>
  <c r="G2" i="18"/>
  <c r="H2" i="18" s="1"/>
  <c r="I2" i="18" s="1"/>
  <c r="B3" i="3"/>
  <c r="C3" i="3"/>
  <c r="E3" i="3" s="1"/>
  <c r="D3" i="3"/>
  <c r="F3" i="3" s="1"/>
  <c r="B4" i="3"/>
  <c r="C4" i="3"/>
  <c r="E4" i="3" s="1"/>
  <c r="D4" i="3"/>
  <c r="F4" i="3" s="1"/>
  <c r="B5" i="3"/>
  <c r="C5" i="3"/>
  <c r="E5" i="3" s="1"/>
  <c r="D5" i="3"/>
  <c r="F5" i="3" s="1"/>
  <c r="B6" i="3"/>
  <c r="C6" i="3"/>
  <c r="E6" i="3" s="1"/>
  <c r="D6" i="3"/>
  <c r="F6" i="3" s="1"/>
  <c r="B7" i="3"/>
  <c r="C7" i="3"/>
  <c r="E7" i="3" s="1"/>
  <c r="D7" i="3"/>
  <c r="F7" i="3" s="1"/>
  <c r="B8" i="3"/>
  <c r="C8" i="3"/>
  <c r="E8" i="3" s="1"/>
  <c r="D8" i="3"/>
  <c r="F8" i="3" s="1"/>
  <c r="B9" i="3"/>
  <c r="C9" i="3"/>
  <c r="D9" i="3"/>
  <c r="E9" i="3"/>
  <c r="F9" i="3"/>
  <c r="B10" i="3"/>
  <c r="C10" i="3"/>
  <c r="E10" i="3" s="1"/>
  <c r="D10" i="3"/>
  <c r="F10" i="3" s="1"/>
  <c r="B11" i="3"/>
  <c r="C11" i="3"/>
  <c r="E11" i="3" s="1"/>
  <c r="D11" i="3"/>
  <c r="F11" i="3" s="1"/>
  <c r="B12" i="3"/>
  <c r="C12" i="3"/>
  <c r="E12" i="3" s="1"/>
  <c r="D12" i="3"/>
  <c r="F12" i="3" s="1"/>
  <c r="B13" i="3"/>
  <c r="C13" i="3"/>
  <c r="E13" i="3" s="1"/>
  <c r="D13" i="3"/>
  <c r="F13" i="3" s="1"/>
  <c r="B14" i="3"/>
  <c r="C14" i="3"/>
  <c r="D14" i="3"/>
  <c r="E14" i="3"/>
  <c r="F14" i="3"/>
  <c r="B15" i="3"/>
  <c r="C15" i="3"/>
  <c r="E15" i="3" s="1"/>
  <c r="D15" i="3"/>
  <c r="F15" i="3" s="1"/>
  <c r="B16" i="3"/>
  <c r="C16" i="3"/>
  <c r="D16" i="3"/>
  <c r="F16" i="3" s="1"/>
  <c r="E16" i="3"/>
  <c r="B17" i="3"/>
  <c r="C17" i="3"/>
  <c r="E17" i="3" s="1"/>
  <c r="D17" i="3"/>
  <c r="F17" i="3" s="1"/>
  <c r="B18" i="3"/>
  <c r="C18" i="3"/>
  <c r="E18" i="3" s="1"/>
  <c r="D18" i="3"/>
  <c r="F18" i="3" s="1"/>
  <c r="B19" i="3"/>
  <c r="C19" i="3"/>
  <c r="E19" i="3" s="1"/>
  <c r="D19" i="3"/>
  <c r="F19" i="3" s="1"/>
  <c r="B20" i="3"/>
  <c r="C20" i="3"/>
  <c r="E20" i="3" s="1"/>
  <c r="D20" i="3"/>
  <c r="F20" i="3" s="1"/>
  <c r="B21" i="3"/>
  <c r="C21" i="3"/>
  <c r="D21" i="3"/>
  <c r="F21" i="3" s="1"/>
  <c r="E21" i="3"/>
  <c r="B22" i="3"/>
  <c r="C22" i="3"/>
  <c r="E22" i="3" s="1"/>
  <c r="D22" i="3"/>
  <c r="F22" i="3" s="1"/>
  <c r="B23" i="3"/>
  <c r="C23" i="3"/>
  <c r="E23" i="3" s="1"/>
  <c r="D23" i="3"/>
  <c r="F23" i="3" s="1"/>
  <c r="B24" i="3"/>
  <c r="C24" i="3"/>
  <c r="E24" i="3" s="1"/>
  <c r="D24" i="3"/>
  <c r="F24" i="3" s="1"/>
  <c r="B25" i="3"/>
  <c r="C25" i="3"/>
  <c r="E25" i="3" s="1"/>
  <c r="D25" i="3"/>
  <c r="F25" i="3" s="1"/>
  <c r="B26" i="3"/>
  <c r="C26" i="3"/>
  <c r="E26" i="3" s="1"/>
  <c r="D26" i="3"/>
  <c r="F26" i="3" s="1"/>
  <c r="B27" i="3"/>
  <c r="C27" i="3"/>
  <c r="D27" i="3"/>
  <c r="F27" i="3" s="1"/>
  <c r="E27" i="3"/>
  <c r="B28" i="3"/>
  <c r="C28" i="3"/>
  <c r="E28" i="3" s="1"/>
  <c r="D28" i="3"/>
  <c r="F28" i="3" s="1"/>
  <c r="B29" i="3"/>
  <c r="C29" i="3"/>
  <c r="E29" i="3" s="1"/>
  <c r="D29" i="3"/>
  <c r="F29" i="3" s="1"/>
  <c r="B30" i="3"/>
  <c r="C30" i="3"/>
  <c r="E30" i="3" s="1"/>
  <c r="D30" i="3"/>
  <c r="F30" i="3" s="1"/>
  <c r="B31" i="3"/>
  <c r="C31" i="3"/>
  <c r="E31" i="3" s="1"/>
  <c r="D31" i="3"/>
  <c r="F31" i="3" s="1"/>
  <c r="B32" i="3"/>
  <c r="C32" i="3"/>
  <c r="E32" i="3" s="1"/>
  <c r="D32" i="3"/>
  <c r="F32" i="3" s="1"/>
  <c r="B33" i="3"/>
  <c r="C33" i="3"/>
  <c r="E33" i="3" s="1"/>
  <c r="D33" i="3"/>
  <c r="F33" i="3" s="1"/>
  <c r="B34" i="3"/>
  <c r="C34" i="3"/>
  <c r="E34" i="3" s="1"/>
  <c r="D34" i="3"/>
  <c r="F34" i="3" s="1"/>
  <c r="B35" i="3"/>
  <c r="C35" i="3"/>
  <c r="E35" i="3" s="1"/>
  <c r="D35" i="3"/>
  <c r="F35" i="3" s="1"/>
  <c r="B36" i="3"/>
  <c r="C36" i="3"/>
  <c r="E36" i="3" s="1"/>
  <c r="D36" i="3"/>
  <c r="F36" i="3"/>
  <c r="B37" i="3"/>
  <c r="C37" i="3"/>
  <c r="E37" i="3" s="1"/>
  <c r="D37" i="3"/>
  <c r="F37" i="3" s="1"/>
  <c r="B38" i="3"/>
  <c r="C38" i="3"/>
  <c r="E38" i="3" s="1"/>
  <c r="D38" i="3"/>
  <c r="F38" i="3" s="1"/>
  <c r="B39" i="3"/>
  <c r="C39" i="3"/>
  <c r="E39" i="3" s="1"/>
  <c r="D39" i="3"/>
  <c r="F39" i="3" s="1"/>
  <c r="B40" i="3"/>
  <c r="C40" i="3"/>
  <c r="E40" i="3" s="1"/>
  <c r="D40" i="3"/>
  <c r="F40" i="3" s="1"/>
  <c r="B41" i="3"/>
  <c r="C41" i="3"/>
  <c r="E41" i="3" s="1"/>
  <c r="D41" i="3"/>
  <c r="F41" i="3" s="1"/>
  <c r="B42" i="3"/>
  <c r="C42" i="3"/>
  <c r="E42" i="3" s="1"/>
  <c r="D42" i="3"/>
  <c r="F42" i="3" s="1"/>
  <c r="B43" i="3"/>
  <c r="C43" i="3"/>
  <c r="E43" i="3" s="1"/>
  <c r="D43" i="3"/>
  <c r="F43" i="3" s="1"/>
  <c r="B44" i="3"/>
  <c r="C44" i="3"/>
  <c r="E44" i="3" s="1"/>
  <c r="D44" i="3"/>
  <c r="F44" i="3" s="1"/>
  <c r="B45" i="3"/>
  <c r="C45" i="3"/>
  <c r="E45" i="3" s="1"/>
  <c r="D45" i="3"/>
  <c r="F45" i="3"/>
  <c r="B46" i="3"/>
  <c r="C46" i="3"/>
  <c r="E46" i="3" s="1"/>
  <c r="D46" i="3"/>
  <c r="F46" i="3" s="1"/>
  <c r="B47" i="3"/>
  <c r="C47" i="3"/>
  <c r="E47" i="3" s="1"/>
  <c r="D47" i="3"/>
  <c r="F47" i="3" s="1"/>
  <c r="B48" i="3"/>
  <c r="C48" i="3"/>
  <c r="E48" i="3" s="1"/>
  <c r="D48" i="3"/>
  <c r="F48" i="3" s="1"/>
  <c r="B49" i="3"/>
  <c r="C49" i="3"/>
  <c r="E49" i="3" s="1"/>
  <c r="D49" i="3"/>
  <c r="F49" i="3"/>
  <c r="B50" i="3"/>
  <c r="C50" i="3"/>
  <c r="E50" i="3" s="1"/>
  <c r="D50" i="3"/>
  <c r="F50" i="3"/>
  <c r="B51" i="3"/>
  <c r="C51" i="3"/>
  <c r="E51" i="3" s="1"/>
  <c r="D51" i="3"/>
  <c r="F51" i="3" s="1"/>
  <c r="B52" i="3"/>
  <c r="C52" i="3"/>
  <c r="E52" i="3" s="1"/>
  <c r="D52" i="3"/>
  <c r="F52" i="3" s="1"/>
  <c r="B53" i="3"/>
  <c r="C53" i="3"/>
  <c r="E53" i="3" s="1"/>
  <c r="D53" i="3"/>
  <c r="F53" i="3" s="1"/>
  <c r="B54" i="3"/>
  <c r="C54" i="3"/>
  <c r="E54" i="3" s="1"/>
  <c r="D54" i="3"/>
  <c r="F54" i="3" s="1"/>
  <c r="B55" i="3"/>
  <c r="C55" i="3"/>
  <c r="E55" i="3" s="1"/>
  <c r="D55" i="3"/>
  <c r="F55" i="3" s="1"/>
  <c r="B56" i="3"/>
  <c r="C56" i="3"/>
  <c r="E56" i="3" s="1"/>
  <c r="D56" i="3"/>
  <c r="F56" i="3" s="1"/>
  <c r="B57" i="3"/>
  <c r="C57" i="3"/>
  <c r="E57" i="3" s="1"/>
  <c r="D57" i="3"/>
  <c r="F57" i="3" s="1"/>
  <c r="B58" i="3"/>
  <c r="C58" i="3"/>
  <c r="E58" i="3" s="1"/>
  <c r="D58" i="3"/>
  <c r="F58" i="3" s="1"/>
  <c r="B59" i="3"/>
  <c r="C59" i="3"/>
  <c r="E59" i="3" s="1"/>
  <c r="D59" i="3"/>
  <c r="F59" i="3" s="1"/>
  <c r="B60" i="3"/>
  <c r="C60" i="3"/>
  <c r="E60" i="3" s="1"/>
  <c r="D60" i="3"/>
  <c r="F60" i="3" s="1"/>
  <c r="B61" i="3"/>
  <c r="C61" i="3"/>
  <c r="E61" i="3" s="1"/>
  <c r="D61" i="3"/>
  <c r="F61" i="3" s="1"/>
  <c r="B62" i="3"/>
  <c r="C62" i="3"/>
  <c r="E62" i="3" s="1"/>
  <c r="D62" i="3"/>
  <c r="F62" i="3" s="1"/>
  <c r="B63" i="3"/>
  <c r="C63" i="3"/>
  <c r="E63" i="3" s="1"/>
  <c r="D63" i="3"/>
  <c r="F63" i="3" s="1"/>
  <c r="B64" i="3"/>
  <c r="C64" i="3"/>
  <c r="E64" i="3" s="1"/>
  <c r="D64" i="3"/>
  <c r="F64" i="3" s="1"/>
  <c r="B65" i="3"/>
  <c r="C65" i="3"/>
  <c r="E65" i="3" s="1"/>
  <c r="D65" i="3"/>
  <c r="F65" i="3" s="1"/>
  <c r="B66" i="3"/>
  <c r="C66" i="3"/>
  <c r="E66" i="3" s="1"/>
  <c r="D66" i="3"/>
  <c r="F66" i="3" s="1"/>
  <c r="B67" i="3"/>
  <c r="C67" i="3"/>
  <c r="E67" i="3" s="1"/>
  <c r="D67" i="3"/>
  <c r="F67" i="3" s="1"/>
  <c r="B68" i="3"/>
  <c r="C68" i="3"/>
  <c r="E68" i="3" s="1"/>
  <c r="D68" i="3"/>
  <c r="F68" i="3" s="1"/>
  <c r="B69" i="3"/>
  <c r="C69" i="3"/>
  <c r="E69" i="3" s="1"/>
  <c r="D69" i="3"/>
  <c r="F69" i="3" s="1"/>
  <c r="B70" i="3"/>
  <c r="C70" i="3"/>
  <c r="E70" i="3" s="1"/>
  <c r="D70" i="3"/>
  <c r="F70" i="3" s="1"/>
  <c r="B71" i="3"/>
  <c r="C71" i="3"/>
  <c r="E71" i="3" s="1"/>
  <c r="D71" i="3"/>
  <c r="F71" i="3" s="1"/>
  <c r="B72" i="3"/>
  <c r="C72" i="3"/>
  <c r="E72" i="3" s="1"/>
  <c r="D72" i="3"/>
  <c r="F72" i="3" s="1"/>
  <c r="B73" i="3"/>
  <c r="C73" i="3"/>
  <c r="E73" i="3" s="1"/>
  <c r="D73" i="3"/>
  <c r="F73" i="3" s="1"/>
  <c r="B74" i="3"/>
  <c r="C74" i="3"/>
  <c r="D74" i="3"/>
  <c r="F74" i="3" s="1"/>
  <c r="E74" i="3"/>
  <c r="B75" i="3"/>
  <c r="C75" i="3"/>
  <c r="E75" i="3" s="1"/>
  <c r="D75" i="3"/>
  <c r="F75" i="3" s="1"/>
  <c r="B76" i="3"/>
  <c r="C76" i="3"/>
  <c r="E76" i="3" s="1"/>
  <c r="D76" i="3"/>
  <c r="F76" i="3" s="1"/>
  <c r="B77" i="3"/>
  <c r="C77" i="3"/>
  <c r="E77" i="3" s="1"/>
  <c r="D77" i="3"/>
  <c r="F77" i="3" s="1"/>
  <c r="B78" i="3"/>
  <c r="C78" i="3"/>
  <c r="E78" i="3" s="1"/>
  <c r="D78" i="3"/>
  <c r="F78" i="3" s="1"/>
  <c r="B79" i="3"/>
  <c r="C79" i="3"/>
  <c r="D79" i="3"/>
  <c r="F79" i="3" s="1"/>
  <c r="E79" i="3"/>
  <c r="B80" i="3"/>
  <c r="C80" i="3"/>
  <c r="E80" i="3" s="1"/>
  <c r="D80" i="3"/>
  <c r="F80" i="3" s="1"/>
  <c r="B81" i="3"/>
  <c r="C81" i="3"/>
  <c r="E81" i="3" s="1"/>
  <c r="D81" i="3"/>
  <c r="F81" i="3" s="1"/>
  <c r="B82" i="3"/>
  <c r="C82" i="3"/>
  <c r="E82" i="3" s="1"/>
  <c r="D82" i="3"/>
  <c r="F82" i="3" s="1"/>
  <c r="B83" i="3"/>
  <c r="C83" i="3"/>
  <c r="E83" i="3" s="1"/>
  <c r="D83" i="3"/>
  <c r="F83" i="3" s="1"/>
  <c r="B84" i="3"/>
  <c r="C84" i="3"/>
  <c r="E84" i="3" s="1"/>
  <c r="D84" i="3"/>
  <c r="F84" i="3" s="1"/>
  <c r="B85" i="3"/>
  <c r="C85" i="3"/>
  <c r="E85" i="3" s="1"/>
  <c r="D85" i="3"/>
  <c r="F85" i="3"/>
  <c r="B86" i="3"/>
  <c r="C86" i="3"/>
  <c r="E86" i="3" s="1"/>
  <c r="D86" i="3"/>
  <c r="F86" i="3" s="1"/>
  <c r="B87" i="3"/>
  <c r="C87" i="3"/>
  <c r="E87" i="3" s="1"/>
  <c r="D87" i="3"/>
  <c r="F87" i="3" s="1"/>
  <c r="B88" i="3"/>
  <c r="C88" i="3"/>
  <c r="E88" i="3" s="1"/>
  <c r="D88" i="3"/>
  <c r="F88" i="3" s="1"/>
  <c r="B89" i="3"/>
  <c r="C89" i="3"/>
  <c r="E89" i="3" s="1"/>
  <c r="D89" i="3"/>
  <c r="F89" i="3" s="1"/>
  <c r="B90" i="3"/>
  <c r="C90" i="3"/>
  <c r="E90" i="3" s="1"/>
  <c r="D90" i="3"/>
  <c r="F90" i="3"/>
  <c r="B91" i="3"/>
  <c r="C91" i="3"/>
  <c r="E91" i="3" s="1"/>
  <c r="D91" i="3"/>
  <c r="F91" i="3" s="1"/>
  <c r="B92" i="3"/>
  <c r="C92" i="3"/>
  <c r="E92" i="3" s="1"/>
  <c r="D92" i="3"/>
  <c r="F92" i="3" s="1"/>
  <c r="B93" i="3"/>
  <c r="C93" i="3"/>
  <c r="E93" i="3" s="1"/>
  <c r="D93" i="3"/>
  <c r="F93" i="3" s="1"/>
  <c r="B94" i="3"/>
  <c r="C94" i="3"/>
  <c r="E94" i="3" s="1"/>
  <c r="D94" i="3"/>
  <c r="F94" i="3" s="1"/>
  <c r="B95" i="3"/>
  <c r="C95" i="3"/>
  <c r="E95" i="3" s="1"/>
  <c r="D95" i="3"/>
  <c r="F95" i="3" s="1"/>
  <c r="B96" i="3"/>
  <c r="C96" i="3"/>
  <c r="E96" i="3" s="1"/>
  <c r="D96" i="3"/>
  <c r="F96" i="3" s="1"/>
  <c r="B97" i="3"/>
  <c r="C97" i="3"/>
  <c r="E97" i="3" s="1"/>
  <c r="D97" i="3"/>
  <c r="F97" i="3" s="1"/>
  <c r="B98" i="3"/>
  <c r="C98" i="3"/>
  <c r="E98" i="3" s="1"/>
  <c r="D98" i="3"/>
  <c r="F98" i="3" s="1"/>
  <c r="B99" i="3"/>
  <c r="C99" i="3"/>
  <c r="E99" i="3" s="1"/>
  <c r="D99" i="3"/>
  <c r="F99" i="3" s="1"/>
  <c r="B100" i="3"/>
  <c r="C100" i="3"/>
  <c r="E100" i="3" s="1"/>
  <c r="D100" i="3"/>
  <c r="F100" i="3" s="1"/>
  <c r="B101" i="3"/>
  <c r="C101" i="3"/>
  <c r="E101" i="3" s="1"/>
  <c r="D101" i="3"/>
  <c r="F101" i="3" s="1"/>
  <c r="B102" i="3"/>
  <c r="C102" i="3"/>
  <c r="E102" i="3" s="1"/>
  <c r="D102" i="3"/>
  <c r="F102" i="3" s="1"/>
  <c r="B103" i="3"/>
  <c r="C103" i="3"/>
  <c r="E103" i="3" s="1"/>
  <c r="D103" i="3"/>
  <c r="F103" i="3" s="1"/>
  <c r="B104" i="3"/>
  <c r="C104" i="3"/>
  <c r="E104" i="3" s="1"/>
  <c r="D104" i="3"/>
  <c r="F104" i="3" s="1"/>
  <c r="B105" i="3"/>
  <c r="C105" i="3"/>
  <c r="E105" i="3" s="1"/>
  <c r="D105" i="3"/>
  <c r="F105" i="3" s="1"/>
  <c r="B106" i="3"/>
  <c r="C106" i="3"/>
  <c r="E106" i="3" s="1"/>
  <c r="D106" i="3"/>
  <c r="F106" i="3" s="1"/>
  <c r="B107" i="3"/>
  <c r="C107" i="3"/>
  <c r="E107" i="3" s="1"/>
  <c r="D107" i="3"/>
  <c r="F107" i="3" s="1"/>
  <c r="B108" i="3"/>
  <c r="C108" i="3"/>
  <c r="E108" i="3" s="1"/>
  <c r="D108" i="3"/>
  <c r="F108" i="3" s="1"/>
  <c r="B109" i="3"/>
  <c r="C109" i="3"/>
  <c r="E109" i="3" s="1"/>
  <c r="D109" i="3"/>
  <c r="F109" i="3" s="1"/>
  <c r="B110" i="3"/>
  <c r="C110" i="3"/>
  <c r="E110" i="3" s="1"/>
  <c r="D110" i="3"/>
  <c r="F110" i="3" s="1"/>
  <c r="B111" i="3"/>
  <c r="C111" i="3"/>
  <c r="E111" i="3" s="1"/>
  <c r="D111" i="3"/>
  <c r="F111" i="3" s="1"/>
  <c r="B112" i="3"/>
  <c r="C112" i="3"/>
  <c r="E112" i="3" s="1"/>
  <c r="D112" i="3"/>
  <c r="F112" i="3" s="1"/>
  <c r="B113" i="3"/>
  <c r="C113" i="3"/>
  <c r="E113" i="3" s="1"/>
  <c r="D113" i="3"/>
  <c r="F113" i="3" s="1"/>
  <c r="B114" i="3"/>
  <c r="C114" i="3"/>
  <c r="E114" i="3" s="1"/>
  <c r="D114" i="3"/>
  <c r="F114" i="3" s="1"/>
  <c r="B115" i="3"/>
  <c r="C115" i="3"/>
  <c r="E115" i="3" s="1"/>
  <c r="D115" i="3"/>
  <c r="F115" i="3" s="1"/>
  <c r="B116" i="3"/>
  <c r="C116" i="3"/>
  <c r="E116" i="3" s="1"/>
  <c r="D116" i="3"/>
  <c r="F116" i="3" s="1"/>
  <c r="B117" i="3"/>
  <c r="C117" i="3"/>
  <c r="E117" i="3" s="1"/>
  <c r="D117" i="3"/>
  <c r="F117" i="3" s="1"/>
  <c r="B118" i="3"/>
  <c r="C118" i="3"/>
  <c r="E118" i="3" s="1"/>
  <c r="D118" i="3"/>
  <c r="F118" i="3" s="1"/>
  <c r="B119" i="3"/>
  <c r="C119" i="3"/>
  <c r="E119" i="3" s="1"/>
  <c r="D119" i="3"/>
  <c r="F119" i="3"/>
  <c r="B120" i="3"/>
  <c r="C120" i="3"/>
  <c r="E120" i="3" s="1"/>
  <c r="D120" i="3"/>
  <c r="F120" i="3" s="1"/>
  <c r="B121" i="3"/>
  <c r="C121" i="3"/>
  <c r="D121" i="3"/>
  <c r="E121" i="3"/>
  <c r="F121" i="3"/>
  <c r="B122" i="3"/>
  <c r="C122" i="3"/>
  <c r="E122" i="3" s="1"/>
  <c r="D122" i="3"/>
  <c r="F122" i="3" s="1"/>
  <c r="B123" i="3"/>
  <c r="C123" i="3"/>
  <c r="E123" i="3" s="1"/>
  <c r="D123" i="3"/>
  <c r="F123" i="3" s="1"/>
  <c r="B124" i="3"/>
  <c r="C124" i="3"/>
  <c r="E124" i="3" s="1"/>
  <c r="D124" i="3"/>
  <c r="F124" i="3" s="1"/>
  <c r="B125" i="3"/>
  <c r="C125" i="3"/>
  <c r="E125" i="3" s="1"/>
  <c r="D125" i="3"/>
  <c r="F125" i="3" s="1"/>
  <c r="B126" i="3"/>
  <c r="C126" i="3"/>
  <c r="E126" i="3" s="1"/>
  <c r="D126" i="3"/>
  <c r="F126" i="3"/>
  <c r="B127" i="3"/>
  <c r="C127" i="3"/>
  <c r="E127" i="3" s="1"/>
  <c r="D127" i="3"/>
  <c r="F127" i="3" s="1"/>
  <c r="B128" i="3"/>
  <c r="C128" i="3"/>
  <c r="E128" i="3" s="1"/>
  <c r="D128" i="3"/>
  <c r="F128" i="3"/>
  <c r="B129" i="3"/>
  <c r="C129" i="3"/>
  <c r="E129" i="3" s="1"/>
  <c r="D129" i="3"/>
  <c r="F129" i="3" s="1"/>
  <c r="B130" i="3"/>
  <c r="C130" i="3"/>
  <c r="E130" i="3" s="1"/>
  <c r="D130" i="3"/>
  <c r="F130" i="3" s="1"/>
  <c r="B131" i="3"/>
  <c r="C131" i="3"/>
  <c r="E131" i="3" s="1"/>
  <c r="D131" i="3"/>
  <c r="F131" i="3" s="1"/>
  <c r="B132" i="3"/>
  <c r="C132" i="3"/>
  <c r="E132" i="3" s="1"/>
  <c r="D132" i="3"/>
  <c r="F132" i="3" s="1"/>
  <c r="B133" i="3"/>
  <c r="C133" i="3"/>
  <c r="E133" i="3" s="1"/>
  <c r="D133" i="3"/>
  <c r="F133" i="3" s="1"/>
  <c r="B134" i="3"/>
  <c r="C134" i="3"/>
  <c r="E134" i="3" s="1"/>
  <c r="D134" i="3"/>
  <c r="F134" i="3" s="1"/>
  <c r="B135" i="3"/>
  <c r="C135" i="3"/>
  <c r="E135" i="3" s="1"/>
  <c r="D135" i="3"/>
  <c r="F135" i="3" s="1"/>
  <c r="B136" i="3"/>
  <c r="C136" i="3"/>
  <c r="E136" i="3" s="1"/>
  <c r="D136" i="3"/>
  <c r="F136" i="3" s="1"/>
  <c r="B137" i="3"/>
  <c r="C137" i="3"/>
  <c r="E137" i="3" s="1"/>
  <c r="D137" i="3"/>
  <c r="F137" i="3" s="1"/>
  <c r="B138" i="3"/>
  <c r="C138" i="3"/>
  <c r="E138" i="3" s="1"/>
  <c r="D138" i="3"/>
  <c r="F138" i="3" s="1"/>
  <c r="B139" i="3"/>
  <c r="C139" i="3"/>
  <c r="E139" i="3" s="1"/>
  <c r="D139" i="3"/>
  <c r="F139" i="3" s="1"/>
  <c r="B140" i="3"/>
  <c r="C140" i="3"/>
  <c r="D140" i="3"/>
  <c r="F140" i="3" s="1"/>
  <c r="E140" i="3"/>
  <c r="B141" i="3"/>
  <c r="C141" i="3"/>
  <c r="E141" i="3" s="1"/>
  <c r="D141" i="3"/>
  <c r="F141" i="3" s="1"/>
  <c r="B142" i="3"/>
  <c r="C142" i="3"/>
  <c r="E142" i="3" s="1"/>
  <c r="D142" i="3"/>
  <c r="F142" i="3" s="1"/>
  <c r="B143" i="3"/>
  <c r="C143" i="3"/>
  <c r="E143" i="3" s="1"/>
  <c r="D143" i="3"/>
  <c r="F143" i="3" s="1"/>
  <c r="B144" i="3"/>
  <c r="C144" i="3"/>
  <c r="D144" i="3"/>
  <c r="F144" i="3" s="1"/>
  <c r="E144" i="3"/>
  <c r="B145" i="3"/>
  <c r="C145" i="3"/>
  <c r="E145" i="3" s="1"/>
  <c r="D145" i="3"/>
  <c r="F145" i="3" s="1"/>
  <c r="B146" i="3"/>
  <c r="C146" i="3"/>
  <c r="E146" i="3" s="1"/>
  <c r="D146" i="3"/>
  <c r="F146" i="3" s="1"/>
  <c r="B147" i="3"/>
  <c r="C147" i="3"/>
  <c r="E147" i="3" s="1"/>
  <c r="D147" i="3"/>
  <c r="F147" i="3" s="1"/>
  <c r="B148" i="3"/>
  <c r="C148" i="3"/>
  <c r="E148" i="3" s="1"/>
  <c r="D148" i="3"/>
  <c r="F148" i="3" s="1"/>
  <c r="B149" i="3"/>
  <c r="C149" i="3"/>
  <c r="E149" i="3" s="1"/>
  <c r="D149" i="3"/>
  <c r="F149" i="3" s="1"/>
  <c r="B150" i="3"/>
  <c r="C150" i="3"/>
  <c r="E150" i="3" s="1"/>
  <c r="D150" i="3"/>
  <c r="F150" i="3"/>
  <c r="B151" i="3"/>
  <c r="C151" i="3"/>
  <c r="E151" i="3" s="1"/>
  <c r="D151" i="3"/>
  <c r="F151" i="3" s="1"/>
  <c r="B152" i="3"/>
  <c r="C152" i="3"/>
  <c r="E152" i="3" s="1"/>
  <c r="D152" i="3"/>
  <c r="F152" i="3" s="1"/>
  <c r="B153" i="3"/>
  <c r="C153" i="3"/>
  <c r="E153" i="3" s="1"/>
  <c r="D153" i="3"/>
  <c r="F153" i="3" s="1"/>
  <c r="B154" i="3"/>
  <c r="C154" i="3"/>
  <c r="D154" i="3"/>
  <c r="F154" i="3" s="1"/>
  <c r="E154" i="3"/>
  <c r="B155" i="3"/>
  <c r="C155" i="3"/>
  <c r="E155" i="3" s="1"/>
  <c r="D155" i="3"/>
  <c r="F155" i="3" s="1"/>
  <c r="B156" i="3"/>
  <c r="C156" i="3"/>
  <c r="E156" i="3" s="1"/>
  <c r="D156" i="3"/>
  <c r="F156" i="3" s="1"/>
  <c r="B157" i="3"/>
  <c r="C157" i="3"/>
  <c r="E157" i="3" s="1"/>
  <c r="D157" i="3"/>
  <c r="F157" i="3" s="1"/>
  <c r="B158" i="3"/>
  <c r="C158" i="3"/>
  <c r="E158" i="3" s="1"/>
  <c r="D158" i="3"/>
  <c r="F158" i="3" s="1"/>
  <c r="B159" i="3"/>
  <c r="C159" i="3"/>
  <c r="E159" i="3" s="1"/>
  <c r="D159" i="3"/>
  <c r="F159" i="3" s="1"/>
  <c r="B160" i="3"/>
  <c r="C160" i="3"/>
  <c r="E160" i="3" s="1"/>
  <c r="D160" i="3"/>
  <c r="F160" i="3"/>
  <c r="B161" i="3"/>
  <c r="C161" i="3"/>
  <c r="E161" i="3" s="1"/>
  <c r="D161" i="3"/>
  <c r="F161" i="3" s="1"/>
  <c r="B162" i="3"/>
  <c r="C162" i="3"/>
  <c r="E162" i="3" s="1"/>
  <c r="D162" i="3"/>
  <c r="F162" i="3" s="1"/>
  <c r="B163" i="3"/>
  <c r="C163" i="3"/>
  <c r="E163" i="3" s="1"/>
  <c r="D163" i="3"/>
  <c r="F163" i="3" s="1"/>
  <c r="B164" i="3"/>
  <c r="C164" i="3"/>
  <c r="E164" i="3" s="1"/>
  <c r="D164" i="3"/>
  <c r="F164" i="3" s="1"/>
  <c r="B165" i="3"/>
  <c r="C165" i="3"/>
  <c r="E165" i="3" s="1"/>
  <c r="D165" i="3"/>
  <c r="F165" i="3" s="1"/>
  <c r="B166" i="3"/>
  <c r="C166" i="3"/>
  <c r="E166" i="3" s="1"/>
  <c r="D166" i="3"/>
  <c r="F166" i="3" s="1"/>
  <c r="B167" i="3"/>
  <c r="C167" i="3"/>
  <c r="E167" i="3" s="1"/>
  <c r="D167" i="3"/>
  <c r="F167" i="3" s="1"/>
  <c r="B168" i="3"/>
  <c r="C168" i="3"/>
  <c r="E168" i="3" s="1"/>
  <c r="D168" i="3"/>
  <c r="F168" i="3" s="1"/>
  <c r="B169" i="3"/>
  <c r="C169" i="3"/>
  <c r="E169" i="3" s="1"/>
  <c r="D169" i="3"/>
  <c r="F169" i="3" s="1"/>
  <c r="B170" i="3"/>
  <c r="C170" i="3"/>
  <c r="E170" i="3" s="1"/>
  <c r="D170" i="3"/>
  <c r="F170" i="3" s="1"/>
  <c r="B171" i="3"/>
  <c r="C171" i="3"/>
  <c r="E171" i="3" s="1"/>
  <c r="D171" i="3"/>
  <c r="F171" i="3" s="1"/>
  <c r="B172" i="3"/>
  <c r="C172" i="3"/>
  <c r="E172" i="3" s="1"/>
  <c r="D172" i="3"/>
  <c r="F172" i="3" s="1"/>
  <c r="B173" i="3"/>
  <c r="C173" i="3"/>
  <c r="E173" i="3" s="1"/>
  <c r="D173" i="3"/>
  <c r="F173" i="3" s="1"/>
  <c r="B174" i="3"/>
  <c r="C174" i="3"/>
  <c r="E174" i="3" s="1"/>
  <c r="D174" i="3"/>
  <c r="F174" i="3" s="1"/>
  <c r="B175" i="3"/>
  <c r="C175" i="3"/>
  <c r="E175" i="3" s="1"/>
  <c r="D175" i="3"/>
  <c r="F175" i="3" s="1"/>
  <c r="B176" i="3"/>
  <c r="C176" i="3"/>
  <c r="E176" i="3" s="1"/>
  <c r="D176" i="3"/>
  <c r="F176" i="3" s="1"/>
  <c r="B177" i="3"/>
  <c r="C177" i="3"/>
  <c r="E177" i="3" s="1"/>
  <c r="D177" i="3"/>
  <c r="F177" i="3" s="1"/>
  <c r="B178" i="3"/>
  <c r="C178" i="3"/>
  <c r="E178" i="3" s="1"/>
  <c r="D178" i="3"/>
  <c r="F178" i="3" s="1"/>
  <c r="B179" i="3"/>
  <c r="C179" i="3"/>
  <c r="E179" i="3" s="1"/>
  <c r="D179" i="3"/>
  <c r="F179" i="3" s="1"/>
  <c r="B180" i="3"/>
  <c r="C180" i="3"/>
  <c r="E180" i="3" s="1"/>
  <c r="D180" i="3"/>
  <c r="F180" i="3" s="1"/>
  <c r="B181" i="3"/>
  <c r="C181" i="3"/>
  <c r="E181" i="3" s="1"/>
  <c r="D181" i="3"/>
  <c r="F181" i="3"/>
  <c r="B182" i="3"/>
  <c r="C182" i="3"/>
  <c r="E182" i="3" s="1"/>
  <c r="D182" i="3"/>
  <c r="F182" i="3" s="1"/>
  <c r="B183" i="3"/>
  <c r="C183" i="3"/>
  <c r="E183" i="3" s="1"/>
  <c r="D183" i="3"/>
  <c r="F183" i="3" s="1"/>
  <c r="B184" i="3"/>
  <c r="C184" i="3"/>
  <c r="E184" i="3" s="1"/>
  <c r="D184" i="3"/>
  <c r="F184" i="3" s="1"/>
  <c r="B185" i="3"/>
  <c r="C185" i="3"/>
  <c r="E185" i="3" s="1"/>
  <c r="D185" i="3"/>
  <c r="F185" i="3" s="1"/>
  <c r="B186" i="3"/>
  <c r="C186" i="3"/>
  <c r="E186" i="3" s="1"/>
  <c r="D186" i="3"/>
  <c r="F186" i="3" s="1"/>
  <c r="B187" i="3"/>
  <c r="C187" i="3"/>
  <c r="E187" i="3" s="1"/>
  <c r="D187" i="3"/>
  <c r="F187" i="3" s="1"/>
  <c r="B188" i="3"/>
  <c r="C188" i="3"/>
  <c r="E188" i="3" s="1"/>
  <c r="D188" i="3"/>
  <c r="F188" i="3" s="1"/>
  <c r="B189" i="3"/>
  <c r="C189" i="3"/>
  <c r="D189" i="3"/>
  <c r="F189" i="3" s="1"/>
  <c r="E189" i="3"/>
  <c r="B190" i="3"/>
  <c r="C190" i="3"/>
  <c r="E190" i="3" s="1"/>
  <c r="D190" i="3"/>
  <c r="F190" i="3" s="1"/>
  <c r="B191" i="3"/>
  <c r="C191" i="3"/>
  <c r="E191" i="3" s="1"/>
  <c r="D191" i="3"/>
  <c r="F191" i="3" s="1"/>
  <c r="B192" i="3"/>
  <c r="C192" i="3"/>
  <c r="E192" i="3" s="1"/>
  <c r="D192" i="3"/>
  <c r="F192" i="3" s="1"/>
  <c r="B193" i="3"/>
  <c r="C193" i="3"/>
  <c r="E193" i="3" s="1"/>
  <c r="D193" i="3"/>
  <c r="F193" i="3" s="1"/>
  <c r="B194" i="3"/>
  <c r="C194" i="3"/>
  <c r="E194" i="3" s="1"/>
  <c r="D194" i="3"/>
  <c r="F194" i="3" s="1"/>
  <c r="B195" i="3"/>
  <c r="C195" i="3"/>
  <c r="E195" i="3" s="1"/>
  <c r="D195" i="3"/>
  <c r="F195" i="3" s="1"/>
  <c r="B196" i="3"/>
  <c r="C196" i="3"/>
  <c r="E196" i="3" s="1"/>
  <c r="D196" i="3"/>
  <c r="F196" i="3" s="1"/>
  <c r="B197" i="3"/>
  <c r="C197" i="3"/>
  <c r="E197" i="3" s="1"/>
  <c r="D197" i="3"/>
  <c r="F197" i="3" s="1"/>
  <c r="B198" i="3"/>
  <c r="C198" i="3"/>
  <c r="E198" i="3" s="1"/>
  <c r="D198" i="3"/>
  <c r="F198" i="3" s="1"/>
  <c r="B199" i="3"/>
  <c r="C199" i="3"/>
  <c r="E199" i="3" s="1"/>
  <c r="D199" i="3"/>
  <c r="F199" i="3" s="1"/>
  <c r="B200" i="3"/>
  <c r="C200" i="3"/>
  <c r="E200" i="3" s="1"/>
  <c r="D200" i="3"/>
  <c r="F200" i="3" s="1"/>
  <c r="B201" i="3"/>
  <c r="C201" i="3"/>
  <c r="E201" i="3" s="1"/>
  <c r="D201" i="3"/>
  <c r="F201" i="3" s="1"/>
  <c r="B202" i="3"/>
  <c r="C202" i="3"/>
  <c r="E202" i="3" s="1"/>
  <c r="D202" i="3"/>
  <c r="F202" i="3" s="1"/>
  <c r="B203" i="3"/>
  <c r="C203" i="3"/>
  <c r="E203" i="3" s="1"/>
  <c r="D203" i="3"/>
  <c r="F203" i="3"/>
  <c r="B204" i="3"/>
  <c r="C204" i="3"/>
  <c r="D204" i="3"/>
  <c r="F204" i="3" s="1"/>
  <c r="E204" i="3"/>
  <c r="B205" i="3"/>
  <c r="C205" i="3"/>
  <c r="E205" i="3" s="1"/>
  <c r="D205" i="3"/>
  <c r="F205" i="3" s="1"/>
  <c r="B206" i="3"/>
  <c r="C206" i="3"/>
  <c r="E206" i="3" s="1"/>
  <c r="D206" i="3"/>
  <c r="F206" i="3" s="1"/>
  <c r="B207" i="3"/>
  <c r="C207" i="3"/>
  <c r="E207" i="3" s="1"/>
  <c r="D207" i="3"/>
  <c r="F207" i="3" s="1"/>
  <c r="B208" i="3"/>
  <c r="C208" i="3"/>
  <c r="E208" i="3" s="1"/>
  <c r="D208" i="3"/>
  <c r="F208" i="3" s="1"/>
  <c r="B209" i="3"/>
  <c r="C209" i="3"/>
  <c r="D209" i="3"/>
  <c r="F209" i="3" s="1"/>
  <c r="E209" i="3"/>
  <c r="B210" i="3"/>
  <c r="C210" i="3"/>
  <c r="D210" i="3"/>
  <c r="F210" i="3" s="1"/>
  <c r="E210" i="3"/>
  <c r="B211" i="3"/>
  <c r="C211" i="3"/>
  <c r="E211" i="3" s="1"/>
  <c r="D211" i="3"/>
  <c r="F211" i="3" s="1"/>
  <c r="B212" i="3"/>
  <c r="C212" i="3"/>
  <c r="E212" i="3" s="1"/>
  <c r="D212" i="3"/>
  <c r="F212" i="3" s="1"/>
  <c r="B213" i="3"/>
  <c r="C213" i="3"/>
  <c r="E213" i="3" s="1"/>
  <c r="D213" i="3"/>
  <c r="F213" i="3" s="1"/>
  <c r="B214" i="3"/>
  <c r="C214" i="3"/>
  <c r="E214" i="3" s="1"/>
  <c r="D214" i="3"/>
  <c r="F214" i="3" s="1"/>
  <c r="B215" i="3"/>
  <c r="C215" i="3"/>
  <c r="E215" i="3" s="1"/>
  <c r="D215" i="3"/>
  <c r="F215" i="3" s="1"/>
  <c r="B216" i="3"/>
  <c r="C216" i="3"/>
  <c r="E216" i="3" s="1"/>
  <c r="D216" i="3"/>
  <c r="F216" i="3"/>
  <c r="B217" i="3"/>
  <c r="C217" i="3"/>
  <c r="E217" i="3" s="1"/>
  <c r="D217" i="3"/>
  <c r="F217" i="3" s="1"/>
  <c r="B218" i="3"/>
  <c r="C218" i="3"/>
  <c r="E218" i="3" s="1"/>
  <c r="D218" i="3"/>
  <c r="F218" i="3" s="1"/>
  <c r="B219" i="3"/>
  <c r="C219" i="3"/>
  <c r="E219" i="3" s="1"/>
  <c r="D219" i="3"/>
  <c r="F219" i="3" s="1"/>
  <c r="B220" i="3"/>
  <c r="C220" i="3"/>
  <c r="E220" i="3" s="1"/>
  <c r="D220" i="3"/>
  <c r="F220" i="3" s="1"/>
  <c r="B221" i="3"/>
  <c r="C221" i="3"/>
  <c r="E221" i="3" s="1"/>
  <c r="D221" i="3"/>
  <c r="F221" i="3"/>
  <c r="B222" i="3"/>
  <c r="C222" i="3"/>
  <c r="E222" i="3" s="1"/>
  <c r="D222" i="3"/>
  <c r="F222" i="3" s="1"/>
  <c r="B223" i="3"/>
  <c r="C223" i="3"/>
  <c r="E223" i="3" s="1"/>
  <c r="D223" i="3"/>
  <c r="F223" i="3" s="1"/>
  <c r="B224" i="3"/>
  <c r="C224" i="3"/>
  <c r="E224" i="3" s="1"/>
  <c r="D224" i="3"/>
  <c r="F224" i="3" s="1"/>
  <c r="D2" i="3"/>
  <c r="F2" i="3" s="1"/>
  <c r="G202" i="5"/>
  <c r="G204" i="5"/>
  <c r="C2" i="3"/>
  <c r="E2" i="3" s="1"/>
  <c r="B2" i="3"/>
  <c r="B29" i="4" a="1"/>
  <c r="C2" i="35" l="1"/>
  <c r="B29" i="4"/>
  <c r="D2" i="35"/>
  <c r="E22" i="32"/>
  <c r="E2" i="35"/>
  <c r="I345" i="31"/>
  <c r="I95" i="31"/>
  <c r="I265" i="31"/>
  <c r="I321" i="31"/>
  <c r="D2" i="25"/>
  <c r="E2" i="25" s="1"/>
  <c r="D2" i="19"/>
  <c r="E2" i="19" s="1"/>
  <c r="D2" i="29"/>
  <c r="E2" i="29" s="1"/>
  <c r="G131" i="3"/>
  <c r="H131" i="3" s="1"/>
  <c r="I131" i="3" s="1"/>
  <c r="G175" i="3"/>
  <c r="H175" i="3" s="1"/>
  <c r="I175" i="3" s="1"/>
  <c r="G145" i="3"/>
  <c r="H145" i="3" s="1"/>
  <c r="I145" i="3" s="1"/>
  <c r="G142" i="3"/>
  <c r="H142" i="3" s="1"/>
  <c r="I142" i="3" s="1"/>
  <c r="G85" i="3"/>
  <c r="H85" i="3" s="1"/>
  <c r="I85" i="3" s="1"/>
  <c r="G149" i="3"/>
  <c r="H149" i="3" s="1"/>
  <c r="I149" i="3" s="1"/>
  <c r="G119" i="3"/>
  <c r="H119" i="3" s="1"/>
  <c r="I119" i="3" s="1"/>
  <c r="G29" i="3"/>
  <c r="H29" i="3" s="1"/>
  <c r="I29" i="3" s="1"/>
  <c r="G59" i="3"/>
  <c r="H59" i="3" s="1"/>
  <c r="I59" i="3" s="1"/>
  <c r="G115" i="3"/>
  <c r="H115" i="3" s="1"/>
  <c r="I115" i="3" s="1"/>
  <c r="G89" i="3"/>
  <c r="H89" i="3" s="1"/>
  <c r="I89" i="3" s="1"/>
  <c r="G37" i="3"/>
  <c r="H37" i="3" s="1"/>
  <c r="I37" i="3" s="1"/>
  <c r="G208" i="3"/>
  <c r="H208" i="3" s="1"/>
  <c r="I208" i="3" s="1"/>
  <c r="G122" i="3"/>
  <c r="H122" i="3" s="1"/>
  <c r="I122" i="3" s="1"/>
  <c r="G97" i="3"/>
  <c r="H97" i="3" s="1"/>
  <c r="I97" i="3" s="1"/>
  <c r="G221" i="3"/>
  <c r="H221" i="3" s="1"/>
  <c r="I221" i="3" s="1"/>
  <c r="G191" i="3"/>
  <c r="H191" i="3" s="1"/>
  <c r="I191" i="3" s="1"/>
  <c r="G14" i="3"/>
  <c r="H14" i="3" s="1"/>
  <c r="I14" i="3" s="1"/>
  <c r="G220" i="3"/>
  <c r="H220" i="3" s="1"/>
  <c r="I220" i="3" s="1"/>
  <c r="G139" i="3"/>
  <c r="H139" i="3" s="1"/>
  <c r="I139" i="3" s="1"/>
  <c r="G70" i="3"/>
  <c r="H70" i="3" s="1"/>
  <c r="I70" i="3" s="1"/>
  <c r="G134" i="3"/>
  <c r="H134" i="3" s="1"/>
  <c r="I134" i="3" s="1"/>
  <c r="G44" i="3"/>
  <c r="H44" i="3" s="1"/>
  <c r="I44" i="3" s="1"/>
  <c r="G185" i="3"/>
  <c r="H185" i="3" s="1"/>
  <c r="I185" i="3" s="1"/>
  <c r="G172" i="3"/>
  <c r="H172" i="3" s="1"/>
  <c r="I172" i="3" s="1"/>
  <c r="G116" i="3"/>
  <c r="H116" i="3" s="1"/>
  <c r="I116" i="3" s="1"/>
  <c r="G82" i="3"/>
  <c r="H82" i="3" s="1"/>
  <c r="I82" i="3" s="1"/>
  <c r="G193" i="3"/>
  <c r="H193" i="3" s="1"/>
  <c r="I193" i="3" s="1"/>
  <c r="G26" i="3"/>
  <c r="H26" i="3" s="1"/>
  <c r="I26" i="3" s="1"/>
  <c r="G146" i="3"/>
  <c r="H146" i="3" s="1"/>
  <c r="I146" i="3" s="1"/>
  <c r="G187" i="3"/>
  <c r="H187" i="3" s="1"/>
  <c r="I187" i="3" s="1"/>
  <c r="G32" i="3"/>
  <c r="H32" i="3" s="1"/>
  <c r="I32" i="3" s="1"/>
  <c r="G152" i="3"/>
  <c r="H152" i="3" s="1"/>
  <c r="I152" i="3" s="1"/>
  <c r="G28" i="3"/>
  <c r="H28" i="3" s="1"/>
  <c r="I28" i="3" s="1"/>
  <c r="G92" i="3"/>
  <c r="H92" i="3" s="1"/>
  <c r="I92" i="3" s="1"/>
  <c r="G76" i="3"/>
  <c r="H76" i="3" s="1"/>
  <c r="I76" i="3" s="1"/>
  <c r="G161" i="3"/>
  <c r="H161" i="3" s="1"/>
  <c r="I161" i="3" s="1"/>
  <c r="G224" i="3"/>
  <c r="H224" i="3" s="1"/>
  <c r="I224" i="3" s="1"/>
  <c r="G49" i="3"/>
  <c r="H49" i="3" s="1"/>
  <c r="I49" i="3" s="1"/>
  <c r="G113" i="3"/>
  <c r="H113" i="3" s="1"/>
  <c r="I113" i="3" s="1"/>
  <c r="G83" i="3"/>
  <c r="H83" i="3" s="1"/>
  <c r="I83" i="3" s="1"/>
  <c r="G206" i="3"/>
  <c r="H206" i="3" s="1"/>
  <c r="I206" i="3" s="1"/>
  <c r="G86" i="3"/>
  <c r="H86" i="3" s="1"/>
  <c r="I86" i="3" s="1"/>
  <c r="G52" i="3"/>
  <c r="H52" i="3" s="1"/>
  <c r="I52" i="3" s="1"/>
  <c r="G13" i="3"/>
  <c r="H13" i="3" s="1"/>
  <c r="I13" i="3" s="1"/>
  <c r="G112" i="3"/>
  <c r="H112" i="3" s="1"/>
  <c r="I112" i="3" s="1"/>
  <c r="G74" i="3"/>
  <c r="H74" i="3" s="1"/>
  <c r="I74" i="3" s="1"/>
  <c r="G77" i="3"/>
  <c r="H77" i="3" s="1"/>
  <c r="I77" i="3" s="1"/>
  <c r="G167" i="3"/>
  <c r="H167" i="3" s="1"/>
  <c r="I167" i="3" s="1"/>
  <c r="G98" i="3"/>
  <c r="H98" i="3" s="1"/>
  <c r="I98" i="3" s="1"/>
  <c r="G94" i="3"/>
  <c r="H94" i="3" s="1"/>
  <c r="I94" i="3" s="1"/>
  <c r="G25" i="3"/>
  <c r="H25" i="3" s="1"/>
  <c r="I25" i="3" s="1"/>
  <c r="G55" i="3"/>
  <c r="H55" i="3" s="1"/>
  <c r="I55" i="3" s="1"/>
  <c r="G200" i="3"/>
  <c r="H200" i="3" s="1"/>
  <c r="I200" i="3" s="1"/>
  <c r="G178" i="3"/>
  <c r="H178" i="3" s="1"/>
  <c r="I178" i="3" s="1"/>
  <c r="G67" i="3"/>
  <c r="H67" i="3" s="1"/>
  <c r="I67" i="3" s="1"/>
  <c r="G148" i="3"/>
  <c r="H148" i="3" s="1"/>
  <c r="I148" i="3" s="1"/>
  <c r="G217" i="3"/>
  <c r="H217" i="3" s="1"/>
  <c r="I217" i="3" s="1"/>
  <c r="G71" i="3"/>
  <c r="H71" i="3" s="1"/>
  <c r="I71" i="3" s="1"/>
  <c r="G40" i="3"/>
  <c r="H40" i="3" s="1"/>
  <c r="I40" i="3" s="1"/>
  <c r="G79" i="3"/>
  <c r="H79" i="3" s="1"/>
  <c r="I79" i="3" s="1"/>
  <c r="G5" i="3"/>
  <c r="H5" i="3" s="1"/>
  <c r="I5" i="3" s="1"/>
  <c r="G194" i="3"/>
  <c r="H194" i="3" s="1"/>
  <c r="I194" i="3" s="1"/>
  <c r="G100" i="3"/>
  <c r="H100" i="3" s="1"/>
  <c r="I100" i="3" s="1"/>
  <c r="G35" i="3"/>
  <c r="H35" i="3" s="1"/>
  <c r="I35" i="3" s="1"/>
  <c r="G190" i="3"/>
  <c r="H190" i="3" s="1"/>
  <c r="I190" i="3" s="1"/>
  <c r="G182" i="3"/>
  <c r="H182" i="3" s="1"/>
  <c r="I182" i="3" s="1"/>
  <c r="G130" i="3"/>
  <c r="H130" i="3" s="1"/>
  <c r="I130" i="3" s="1"/>
  <c r="G164" i="3"/>
  <c r="H164" i="3" s="1"/>
  <c r="I164" i="3" s="1"/>
  <c r="G109" i="3"/>
  <c r="H109" i="3" s="1"/>
  <c r="I109" i="3" s="1"/>
  <c r="G53" i="3"/>
  <c r="H53" i="3" s="1"/>
  <c r="I53" i="3" s="1"/>
  <c r="G17" i="3"/>
  <c r="H17" i="3" s="1"/>
  <c r="I17" i="3" s="1"/>
  <c r="G137" i="3"/>
  <c r="H137" i="3" s="1"/>
  <c r="I137" i="3" s="1"/>
  <c r="G209" i="3"/>
  <c r="H209" i="3" s="1"/>
  <c r="I209" i="3" s="1"/>
  <c r="G41" i="3"/>
  <c r="H41" i="3" s="1"/>
  <c r="I41" i="3" s="1"/>
  <c r="G88" i="3"/>
  <c r="H88" i="3" s="1"/>
  <c r="I88" i="3" s="1"/>
  <c r="G101" i="3"/>
  <c r="H101" i="3" s="1"/>
  <c r="I101" i="3" s="1"/>
  <c r="G124" i="3"/>
  <c r="H124" i="3" s="1"/>
  <c r="I124" i="3" s="1"/>
  <c r="G160" i="3"/>
  <c r="H160" i="3" s="1"/>
  <c r="I160" i="3" s="1"/>
  <c r="G173" i="3"/>
  <c r="H173" i="3" s="1"/>
  <c r="I173" i="3" s="1"/>
  <c r="G196" i="3"/>
  <c r="H196" i="3" s="1"/>
  <c r="I196" i="3" s="1"/>
  <c r="G7" i="3"/>
  <c r="H7" i="3" s="1"/>
  <c r="I7" i="3" s="1"/>
  <c r="G154" i="3"/>
  <c r="H154" i="3" s="1"/>
  <c r="I154" i="3" s="1"/>
  <c r="G19" i="3"/>
  <c r="H19" i="3" s="1"/>
  <c r="I19" i="3" s="1"/>
  <c r="G136" i="3"/>
  <c r="H136" i="3" s="1"/>
  <c r="I136" i="3" s="1"/>
  <c r="G4" i="3"/>
  <c r="H4" i="3" s="1"/>
  <c r="I4" i="3" s="1"/>
  <c r="G46" i="3"/>
  <c r="H46" i="3" s="1"/>
  <c r="I46" i="3" s="1"/>
  <c r="G106" i="3"/>
  <c r="H106" i="3" s="1"/>
  <c r="I106" i="3" s="1"/>
  <c r="G80" i="3"/>
  <c r="H80" i="3" s="1"/>
  <c r="I80" i="3" s="1"/>
  <c r="G95" i="3"/>
  <c r="H95" i="3" s="1"/>
  <c r="I95" i="3" s="1"/>
  <c r="G121" i="3"/>
  <c r="H121" i="3" s="1"/>
  <c r="I121" i="3" s="1"/>
  <c r="G158" i="3"/>
  <c r="H158" i="3" s="1"/>
  <c r="I158" i="3" s="1"/>
  <c r="G50" i="3"/>
  <c r="H50" i="3" s="1"/>
  <c r="I50" i="3" s="1"/>
  <c r="G31" i="3"/>
  <c r="H31" i="3" s="1"/>
  <c r="I31" i="3" s="1"/>
  <c r="G62" i="3"/>
  <c r="H62" i="3" s="1"/>
  <c r="I62" i="3" s="1"/>
  <c r="G103" i="3"/>
  <c r="H103" i="3" s="1"/>
  <c r="I103" i="3" s="1"/>
  <c r="G125" i="3"/>
  <c r="H125" i="3" s="1"/>
  <c r="I125" i="3" s="1"/>
  <c r="G211" i="3"/>
  <c r="H211" i="3" s="1"/>
  <c r="I211" i="3" s="1"/>
  <c r="G43" i="3"/>
  <c r="H43" i="3" s="1"/>
  <c r="I43" i="3" s="1"/>
  <c r="G118" i="3"/>
  <c r="H118" i="3" s="1"/>
  <c r="I118" i="3" s="1"/>
  <c r="G155" i="3"/>
  <c r="H155" i="3" s="1"/>
  <c r="I155" i="3" s="1"/>
  <c r="G38" i="3"/>
  <c r="H38" i="3" s="1"/>
  <c r="I38" i="3" s="1"/>
  <c r="G65" i="3"/>
  <c r="H65" i="3" s="1"/>
  <c r="I65" i="3" s="1"/>
  <c r="G128" i="3"/>
  <c r="H128" i="3" s="1"/>
  <c r="I128" i="3" s="1"/>
  <c r="G214" i="3"/>
  <c r="H214" i="3" s="1"/>
  <c r="I214" i="3" s="1"/>
  <c r="G11" i="3"/>
  <c r="H11" i="3" s="1"/>
  <c r="I11" i="3" s="1"/>
  <c r="G151" i="3"/>
  <c r="H151" i="3" s="1"/>
  <c r="I151" i="3" s="1"/>
  <c r="G188" i="3"/>
  <c r="H188" i="3" s="1"/>
  <c r="I188" i="3" s="1"/>
  <c r="G203" i="3"/>
  <c r="H203" i="3" s="1"/>
  <c r="I203" i="3" s="1"/>
  <c r="G73" i="3"/>
  <c r="H73" i="3" s="1"/>
  <c r="I73" i="3" s="1"/>
  <c r="G170" i="3"/>
  <c r="H170" i="3" s="1"/>
  <c r="I170" i="3" s="1"/>
  <c r="G181" i="3"/>
  <c r="H181" i="3" s="1"/>
  <c r="I181" i="3" s="1"/>
  <c r="G202" i="3"/>
  <c r="H202" i="3" s="1"/>
  <c r="I202" i="3" s="1"/>
  <c r="G223" i="3"/>
  <c r="H223" i="3" s="1"/>
  <c r="I223" i="3" s="1"/>
  <c r="G8" i="3"/>
  <c r="H8" i="3" s="1"/>
  <c r="I8" i="3" s="1"/>
  <c r="G197" i="3"/>
  <c r="H197" i="3" s="1"/>
  <c r="I197" i="3" s="1"/>
  <c r="G22" i="3"/>
  <c r="H22" i="3" s="1"/>
  <c r="I22" i="3" s="1"/>
  <c r="G56" i="3"/>
  <c r="H56" i="3" s="1"/>
  <c r="I56" i="3" s="1"/>
  <c r="G16" i="3"/>
  <c r="H16" i="3" s="1"/>
  <c r="I16" i="3" s="1"/>
  <c r="G205" i="3"/>
  <c r="H205" i="3" s="1"/>
  <c r="I205" i="3" s="1"/>
  <c r="G184" i="3"/>
  <c r="H184" i="3" s="1"/>
  <c r="I184" i="3" s="1"/>
  <c r="G179" i="3"/>
  <c r="H179" i="3" s="1"/>
  <c r="I179" i="3" s="1"/>
  <c r="G157" i="3"/>
  <c r="H157" i="3" s="1"/>
  <c r="I157" i="3" s="1"/>
  <c r="G64" i="3"/>
  <c r="H64" i="3" s="1"/>
  <c r="I64" i="3" s="1"/>
  <c r="G215" i="3"/>
  <c r="H215" i="3" s="1"/>
  <c r="I215" i="3" s="1"/>
  <c r="G47" i="3"/>
  <c r="H47" i="3" s="1"/>
  <c r="I47" i="3" s="1"/>
  <c r="G166" i="3"/>
  <c r="H166" i="3" s="1"/>
  <c r="I166" i="3" s="1"/>
  <c r="G218" i="3"/>
  <c r="H218" i="3" s="1"/>
  <c r="I218" i="3" s="1"/>
  <c r="G133" i="3"/>
  <c r="H133" i="3" s="1"/>
  <c r="I133" i="3" s="1"/>
  <c r="G23" i="3"/>
  <c r="H23" i="3" s="1"/>
  <c r="I23" i="3" s="1"/>
  <c r="G143" i="3"/>
  <c r="H143" i="3" s="1"/>
  <c r="I143" i="3" s="1"/>
  <c r="G107" i="3"/>
  <c r="H107" i="3" s="1"/>
  <c r="I107" i="3" s="1"/>
  <c r="G20" i="3"/>
  <c r="H20" i="3" s="1"/>
  <c r="I20" i="3" s="1"/>
  <c r="G10" i="3"/>
  <c r="H10" i="3" s="1"/>
  <c r="I10" i="3" s="1"/>
  <c r="G110" i="3"/>
  <c r="H110" i="3" s="1"/>
  <c r="I110" i="3" s="1"/>
  <c r="G61" i="3"/>
  <c r="H61" i="3" s="1"/>
  <c r="I61" i="3" s="1"/>
  <c r="G169" i="3"/>
  <c r="H169" i="3" s="1"/>
  <c r="I169" i="3" s="1"/>
  <c r="G212" i="3"/>
  <c r="H212" i="3" s="1"/>
  <c r="I212" i="3" s="1"/>
  <c r="G140" i="3"/>
  <c r="H140" i="3" s="1"/>
  <c r="I140" i="3" s="1"/>
  <c r="G104" i="3"/>
  <c r="H104" i="3" s="1"/>
  <c r="I104" i="3" s="1"/>
  <c r="G58" i="3"/>
  <c r="H58" i="3" s="1"/>
  <c r="I58" i="3" s="1"/>
  <c r="G34" i="3"/>
  <c r="H34" i="3" s="1"/>
  <c r="I34" i="3" s="1"/>
  <c r="G199" i="3"/>
  <c r="H199" i="3" s="1"/>
  <c r="I199" i="3" s="1"/>
  <c r="G176" i="3"/>
  <c r="H176" i="3" s="1"/>
  <c r="I176" i="3" s="1"/>
  <c r="G91" i="3"/>
  <c r="H91" i="3" s="1"/>
  <c r="I91" i="3" s="1"/>
  <c r="G3" i="3"/>
  <c r="H3" i="3" s="1"/>
  <c r="I3" i="3" s="1"/>
  <c r="G6" i="3"/>
  <c r="H6" i="3" s="1"/>
  <c r="I6" i="3" s="1"/>
  <c r="G12" i="3"/>
  <c r="H12" i="3" s="1"/>
  <c r="I12" i="3" s="1"/>
  <c r="G15" i="3"/>
  <c r="H15" i="3" s="1"/>
  <c r="I15" i="3" s="1"/>
  <c r="G18" i="3"/>
  <c r="H18" i="3" s="1"/>
  <c r="I18" i="3" s="1"/>
  <c r="G21" i="3"/>
  <c r="H21" i="3" s="1"/>
  <c r="I21" i="3" s="1"/>
  <c r="G24" i="3"/>
  <c r="H24" i="3" s="1"/>
  <c r="I24" i="3" s="1"/>
  <c r="G27" i="3"/>
  <c r="H27" i="3" s="1"/>
  <c r="I27" i="3" s="1"/>
  <c r="G30" i="3"/>
  <c r="H30" i="3" s="1"/>
  <c r="I30" i="3" s="1"/>
  <c r="G33" i="3"/>
  <c r="H33" i="3" s="1"/>
  <c r="I33" i="3" s="1"/>
  <c r="G39" i="3"/>
  <c r="H39" i="3" s="1"/>
  <c r="I39" i="3" s="1"/>
  <c r="G45" i="3"/>
  <c r="H45" i="3" s="1"/>
  <c r="I45" i="3" s="1"/>
  <c r="G51" i="3"/>
  <c r="H51" i="3" s="1"/>
  <c r="I51" i="3" s="1"/>
  <c r="G57" i="3"/>
  <c r="H57" i="3" s="1"/>
  <c r="I57" i="3" s="1"/>
  <c r="G63" i="3"/>
  <c r="H63" i="3" s="1"/>
  <c r="I63" i="3" s="1"/>
  <c r="G69" i="3"/>
  <c r="H69" i="3" s="1"/>
  <c r="I69" i="3" s="1"/>
  <c r="G72" i="3"/>
  <c r="H72" i="3" s="1"/>
  <c r="I72" i="3" s="1"/>
  <c r="G78" i="3"/>
  <c r="H78" i="3" s="1"/>
  <c r="I78" i="3" s="1"/>
  <c r="G84" i="3"/>
  <c r="H84" i="3" s="1"/>
  <c r="I84" i="3" s="1"/>
  <c r="G90" i="3"/>
  <c r="H90" i="3" s="1"/>
  <c r="I90" i="3" s="1"/>
  <c r="G96" i="3"/>
  <c r="H96" i="3" s="1"/>
  <c r="I96" i="3" s="1"/>
  <c r="G105" i="3"/>
  <c r="H105" i="3" s="1"/>
  <c r="I105" i="3" s="1"/>
  <c r="G108" i="3"/>
  <c r="H108" i="3" s="1"/>
  <c r="I108" i="3" s="1"/>
  <c r="G114" i="3"/>
  <c r="H114" i="3" s="1"/>
  <c r="I114" i="3" s="1"/>
  <c r="G120" i="3"/>
  <c r="H120" i="3" s="1"/>
  <c r="I120" i="3" s="1"/>
  <c r="G126" i="3"/>
  <c r="H126" i="3" s="1"/>
  <c r="I126" i="3" s="1"/>
  <c r="G135" i="3"/>
  <c r="H135" i="3" s="1"/>
  <c r="I135" i="3" s="1"/>
  <c r="G141" i="3"/>
  <c r="H141" i="3" s="1"/>
  <c r="I141" i="3" s="1"/>
  <c r="G144" i="3"/>
  <c r="H144" i="3" s="1"/>
  <c r="I144" i="3" s="1"/>
  <c r="G150" i="3"/>
  <c r="H150" i="3" s="1"/>
  <c r="I150" i="3" s="1"/>
  <c r="G159" i="3"/>
  <c r="H159" i="3" s="1"/>
  <c r="I159" i="3" s="1"/>
  <c r="G165" i="3"/>
  <c r="H165" i="3" s="1"/>
  <c r="I165" i="3" s="1"/>
  <c r="G171" i="3"/>
  <c r="H171" i="3" s="1"/>
  <c r="I171" i="3" s="1"/>
  <c r="G180" i="3"/>
  <c r="H180" i="3" s="1"/>
  <c r="I180" i="3" s="1"/>
  <c r="G186" i="3"/>
  <c r="H186" i="3" s="1"/>
  <c r="I186" i="3" s="1"/>
  <c r="G192" i="3"/>
  <c r="H192" i="3" s="1"/>
  <c r="I192" i="3" s="1"/>
  <c r="G198" i="3"/>
  <c r="H198" i="3" s="1"/>
  <c r="I198" i="3" s="1"/>
  <c r="G204" i="3"/>
  <c r="H204" i="3" s="1"/>
  <c r="I204" i="3" s="1"/>
  <c r="G210" i="3"/>
  <c r="H210" i="3" s="1"/>
  <c r="I210" i="3" s="1"/>
  <c r="G222" i="3"/>
  <c r="H222" i="3" s="1"/>
  <c r="I222" i="3" s="1"/>
  <c r="G9" i="3"/>
  <c r="H9" i="3" s="1"/>
  <c r="I9" i="3" s="1"/>
  <c r="G36" i="3"/>
  <c r="H36" i="3" s="1"/>
  <c r="I36" i="3" s="1"/>
  <c r="G42" i="3"/>
  <c r="H42" i="3" s="1"/>
  <c r="I42" i="3" s="1"/>
  <c r="G48" i="3"/>
  <c r="H48" i="3" s="1"/>
  <c r="I48" i="3" s="1"/>
  <c r="G54" i="3"/>
  <c r="H54" i="3" s="1"/>
  <c r="I54" i="3" s="1"/>
  <c r="G60" i="3"/>
  <c r="H60" i="3" s="1"/>
  <c r="I60" i="3" s="1"/>
  <c r="G66" i="3"/>
  <c r="H66" i="3" s="1"/>
  <c r="I66" i="3" s="1"/>
  <c r="G75" i="3"/>
  <c r="H75" i="3" s="1"/>
  <c r="I75" i="3" s="1"/>
  <c r="G81" i="3"/>
  <c r="H81" i="3" s="1"/>
  <c r="I81" i="3" s="1"/>
  <c r="G87" i="3"/>
  <c r="H87" i="3" s="1"/>
  <c r="I87" i="3" s="1"/>
  <c r="G93" i="3"/>
  <c r="H93" i="3" s="1"/>
  <c r="I93" i="3" s="1"/>
  <c r="G99" i="3"/>
  <c r="H99" i="3" s="1"/>
  <c r="I99" i="3" s="1"/>
  <c r="G102" i="3"/>
  <c r="H102" i="3" s="1"/>
  <c r="I102" i="3" s="1"/>
  <c r="G111" i="3"/>
  <c r="H111" i="3" s="1"/>
  <c r="I111" i="3" s="1"/>
  <c r="G117" i="3"/>
  <c r="H117" i="3" s="1"/>
  <c r="I117" i="3" s="1"/>
  <c r="G123" i="3"/>
  <c r="H123" i="3" s="1"/>
  <c r="I123" i="3" s="1"/>
  <c r="G129" i="3"/>
  <c r="H129" i="3" s="1"/>
  <c r="I129" i="3" s="1"/>
  <c r="G132" i="3"/>
  <c r="H132" i="3" s="1"/>
  <c r="I132" i="3" s="1"/>
  <c r="G138" i="3"/>
  <c r="H138" i="3" s="1"/>
  <c r="I138" i="3" s="1"/>
  <c r="G147" i="3"/>
  <c r="H147" i="3" s="1"/>
  <c r="I147" i="3" s="1"/>
  <c r="G153" i="3"/>
  <c r="H153" i="3" s="1"/>
  <c r="I153" i="3" s="1"/>
  <c r="G156" i="3"/>
  <c r="H156" i="3" s="1"/>
  <c r="I156" i="3" s="1"/>
  <c r="G162" i="3"/>
  <c r="H162" i="3" s="1"/>
  <c r="I162" i="3" s="1"/>
  <c r="G168" i="3"/>
  <c r="H168" i="3" s="1"/>
  <c r="I168" i="3" s="1"/>
  <c r="G177" i="3"/>
  <c r="H177" i="3" s="1"/>
  <c r="I177" i="3" s="1"/>
  <c r="G183" i="3"/>
  <c r="H183" i="3" s="1"/>
  <c r="I183" i="3" s="1"/>
  <c r="G189" i="3"/>
  <c r="H189" i="3" s="1"/>
  <c r="I189" i="3" s="1"/>
  <c r="G195" i="3"/>
  <c r="H195" i="3" s="1"/>
  <c r="I195" i="3" s="1"/>
  <c r="G201" i="3"/>
  <c r="H201" i="3" s="1"/>
  <c r="I201" i="3" s="1"/>
  <c r="G213" i="3"/>
  <c r="H213" i="3" s="1"/>
  <c r="I213" i="3" s="1"/>
  <c r="G219" i="3"/>
  <c r="H219" i="3" s="1"/>
  <c r="I219" i="3" s="1"/>
  <c r="G174" i="3"/>
  <c r="H174" i="3" s="1"/>
  <c r="I174" i="3" s="1"/>
  <c r="G207" i="3"/>
  <c r="H207" i="3" s="1"/>
  <c r="I207" i="3" s="1"/>
  <c r="G216" i="3"/>
  <c r="H216" i="3" s="1"/>
  <c r="I216" i="3" s="1"/>
  <c r="G163" i="3"/>
  <c r="H163" i="3" s="1"/>
  <c r="I163" i="3" s="1"/>
  <c r="G127" i="3"/>
  <c r="H127" i="3" s="1"/>
  <c r="I127" i="3" s="1"/>
  <c r="G68" i="3"/>
  <c r="H68" i="3" s="1"/>
  <c r="I68" i="3" s="1"/>
  <c r="G2" i="3"/>
  <c r="H2" i="3" s="1"/>
  <c r="I2" i="3" s="1"/>
  <c r="C22" i="35" l="1"/>
  <c r="C22" i="19"/>
  <c r="C22" i="29"/>
  <c r="D22" i="29"/>
  <c r="E22" i="29" s="1"/>
  <c r="D22" i="25"/>
  <c r="E22" i="25" s="1"/>
  <c r="C22" i="25"/>
  <c r="C22" i="22"/>
  <c r="D2" i="22"/>
  <c r="E2" i="22" s="1"/>
  <c r="D26" i="4" a="1"/>
  <c r="D28" i="4" a="1"/>
  <c r="D25" i="4" a="1"/>
  <c r="D23" i="4" a="1"/>
  <c r="B24" i="4" a="1"/>
  <c r="D24" i="4" a="1"/>
  <c r="B23" i="4" a="1"/>
  <c r="D28" i="4" l="1"/>
  <c r="D22" i="35"/>
  <c r="D25" i="4"/>
  <c r="D23" i="4"/>
  <c r="B23" i="4"/>
  <c r="B24" i="4"/>
  <c r="D24" i="4"/>
  <c r="D26" i="4"/>
  <c r="D22" i="19"/>
  <c r="E22" i="19" s="1"/>
  <c r="D22" i="22"/>
  <c r="E22" i="22" s="1"/>
  <c r="D2" i="2"/>
  <c r="E2" i="2" s="1"/>
  <c r="B26" i="4" a="1"/>
  <c r="B28" i="4" a="1"/>
  <c r="B25" i="4" a="1"/>
  <c r="B28" i="4" l="1"/>
  <c r="E22" i="35"/>
  <c r="B25" i="4"/>
  <c r="B26" i="4"/>
  <c r="D22" i="2"/>
  <c r="C22" i="2"/>
  <c r="D27" i="4" a="1"/>
  <c r="B27" i="4" a="1"/>
  <c r="D27" i="4" l="1"/>
  <c r="B27" i="4"/>
  <c r="E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<sst xmlns="http://schemas.openxmlformats.org/spreadsheetml/2006/main" count="7776" uniqueCount="2501">
  <si>
    <t>Critic</t>
  </si>
  <si>
    <t>Puzzle ID</t>
  </si>
  <si>
    <t>Hallucinations
(count)</t>
  </si>
  <si>
    <t>P_total
(sum of penalties)</t>
  </si>
  <si>
    <t>Score_p
= MAX(0, 100−P_total)</t>
  </si>
  <si>
    <t>Interpretation</t>
  </si>
  <si>
    <t>Row
Idx</t>
  </si>
  <si>
    <t>Puzzle
ID</t>
  </si>
  <si>
    <t>Hallucination Type</t>
  </si>
  <si>
    <t>Impact
(cleaned)</t>
  </si>
  <si>
    <t>W_c
(weight)</t>
  </si>
  <si>
    <t>M_s
(×severity)</t>
  </si>
  <si>
    <t>k
(rank in group)</t>
  </si>
  <si>
    <t>δ^(k-1)
(decay)</t>
  </si>
  <si>
    <t>P
(penalty)</t>
  </si>
  <si>
    <t>Category</t>
  </si>
  <si>
    <t>W_c</t>
  </si>
  <si>
    <t>Justification</t>
  </si>
  <si>
    <t>move_legality</t>
  </si>
  <si>
    <t>piece_placement</t>
  </si>
  <si>
    <t>material</t>
  </si>
  <si>
    <t>piece_relations</t>
  </si>
  <si>
    <t>Wrong tactical relation: attack, pin, fork, discovered...</t>
  </si>
  <si>
    <t>geometry</t>
  </si>
  <si>
    <t>Wrong spatial description: diagonal, file, rank, direction</t>
  </si>
  <si>
    <t>reasoning</t>
  </si>
  <si>
    <t>Logical error in the strategic reasoning chain</t>
  </si>
  <si>
    <t>other</t>
  </si>
  <si>
    <t>Miscellaneous minor error (default fallback)</t>
  </si>
  <si>
    <t>2. Severity Multipliers (M_s)</t>
  </si>
  <si>
    <t>Severity</t>
  </si>
  <si>
    <t>M_s</t>
  </si>
  <si>
    <t>Description</t>
  </si>
  <si>
    <t>major</t>
  </si>
  <si>
    <t>medium</t>
  </si>
  <si>
    <t>Partially wrong or misleading</t>
  </si>
  <si>
    <t>minor / small</t>
  </si>
  <si>
    <t>Minor inaccuracy, negligible impact on conclusion</t>
  </si>
  <si>
    <t>Parameter</t>
  </si>
  <si>
    <t>Value</t>
  </si>
  <si>
    <t>Rationale</t>
  </si>
  <si>
    <t>δ (delta)</t>
  </si>
  <si>
    <t>Geometric decay: each additional error in the same (puzzle, category) group contributes 70% of the previous one. Convergence cap = W_c × M_s / (1−δ).</t>
  </si>
  <si>
    <t>model</t>
  </si>
  <si>
    <t>puzzle_id</t>
  </si>
  <si>
    <t>fen</t>
  </si>
  <si>
    <t>move</t>
  </si>
  <si>
    <t>original_claim</t>
  </si>
  <si>
    <t>hallucination_type</t>
  </si>
  <si>
    <t>fixed_claim</t>
  </si>
  <si>
    <t>potential_impact</t>
  </si>
  <si>
    <t>Opus 4.6</t>
  </si>
  <si>
    <t>3rk2r/pp3p1p/1q2p1pb/3p4/3Q4/P1N1PB1P/1PP3P1/1R1R2K1 b k - 0 1</t>
  </si>
  <si>
    <t>Notice that Black's dark-squared bishop on g6... wait, actually the bishop is on h6 (from the position)</t>
  </si>
  <si>
    <t>Notice that Black's dark-squared bishop on h6</t>
  </si>
  <si>
    <t>Bxe3</t>
  </si>
  <si>
    <t xml:space="preserve"> The bishop takes the e3 pawn, and because the White king is on g1, this is a discovered... no, it's actually a direct check from the bishop on e3 to the king on g1 along the diagonal.</t>
  </si>
  <si>
    <t>The bishop takes the e3 pawn and checks the White king on g1</t>
  </si>
  <si>
    <t>This is a classic example of an "undermining sacrifice" or "removal of the guard" combined with a check.</t>
  </si>
  <si>
    <t>This is a classic example of an X-rayAttack</t>
  </si>
  <si>
    <t>minor</t>
  </si>
  <si>
    <t>r2k3r/pp1b1p2/4p1pn/q2pP3/1b5p/1PNB1Q1P/PBP2P2/2KR2R1 w - - 4 20</t>
  </si>
  <si>
    <t>Look at the d5 pawn — it's defended by the bishop on d7</t>
  </si>
  <si>
    <t>a pawn break combination that dismantles Black's central pawn chain and exploits the overloaded d7 bishop.</t>
  </si>
  <si>
    <t>Bishop on d7 is not overloaded</t>
  </si>
  <si>
    <t>Nxd5</t>
  </si>
  <si>
    <t>This is not just winning a pawn — it's a clearance sacrifice that opens the e-file and prepares the devastating e6 advance.</t>
  </si>
  <si>
    <t>The sacrifice dooes not open the e-file (even if black recaptures, the e-file will be semi-open). It actually opens up the bishop on b2.</t>
  </si>
  <si>
    <t>exd5</t>
  </si>
  <si>
    <t xml:space="preserve">Black recaptures, which is forced — ignoring the knight would simply leave White a pawn up with a dominant position. </t>
  </si>
  <si>
    <t>Recapturing with the pawn is not forced - a queen recapture is also possible</t>
  </si>
  <si>
    <t>e6</t>
  </si>
  <si>
    <t>This is a classic pawn fork/deflection idea</t>
  </si>
  <si>
    <t>It is a discovered attack and a double attack - completely misses the fact that the bishop on b2 attacks the h8 rook</t>
  </si>
  <si>
    <t>Now Black faces a serious problem: the bishop must move or be captured, and wherever it goes, White's e6 pawn becomes a monster</t>
  </si>
  <si>
    <t>If the bishop moves, the rook on h8 will be captured by the bishop - completely misses that the bishop can capture the e6 pawn, so it will no longer "a monster"</t>
  </si>
  <si>
    <t>Notice also that the d-file is now open for White's rook on d1</t>
  </si>
  <si>
    <t>There is a black pawn on d5, so the d-file is not open</t>
  </si>
  <si>
    <t>Re8</t>
  </si>
  <si>
    <t>Black tries to challenge the e-pawn by placing the rook on the e-file, but the advanced pawn is too strong.</t>
  </si>
  <si>
    <t>Black moves the rook because it is attacked and he wants to lose less points</t>
  </si>
  <si>
    <t>exd7</t>
  </si>
  <si>
    <t>and the pawn promotes... no, not yet — but the pawn on d7 is extraordinarily powerful.</t>
  </si>
  <si>
    <t>The pawn captures the bishop on d7, it does not promote</t>
  </si>
  <si>
    <t xml:space="preserve"> It's one square from promotion and forces Black's king to deal with it personally.</t>
  </si>
  <si>
    <t>King is not forced to capture the pawn, the rook could move to prevent promotion on e8</t>
  </si>
  <si>
    <t>Kxd7</t>
  </si>
  <si>
    <t>The king stands on an open file (the d-file, where White has a rook!)</t>
  </si>
  <si>
    <t>Advance the freed pawn to attack the defender (e6)</t>
  </si>
  <si>
    <t>The bishop on d7 attacked by the move e6 is not defending anything</t>
  </si>
  <si>
    <t>This is a classic example of a "chain destruction" tactic combined with a deflection/exposure theme.</t>
  </si>
  <si>
    <t>Completely misses the discovered attack performed by the bishop on b2</t>
  </si>
  <si>
    <t>5k2/2nr1pp1/pb5p/1p2PP2/4N1R1/P3P2P/1B2K1P1/8 w - - 0 1</t>
  </si>
  <si>
    <t>the knight on d7</t>
  </si>
  <si>
    <t>knigh is on c7</t>
  </si>
  <si>
    <t xml:space="preserve">rook on e7 </t>
  </si>
  <si>
    <t>rook is on d7</t>
  </si>
  <si>
    <t>the knight on d7 and rook on e7 are lined up on the same diagonal/file</t>
  </si>
  <si>
    <t>The knight and rook are on the same rank (7th)</t>
  </si>
  <si>
    <t>can White exploit the g7 pawn, which is the main shield of Black's king?</t>
  </si>
  <si>
    <t>The pawns on f7 and g7 are protecting the king</t>
  </si>
  <si>
    <t>Notice that g7 is defended only by the king (f7 is pinned to nothing, but the pawn is there)</t>
  </si>
  <si>
    <t>The g7 pawn is only defended by the King, but unclear why it even mentiones f7?</t>
  </si>
  <si>
    <t>Rxg7</t>
  </si>
  <si>
    <t>A rook sacrifice! White gives up the exchange (and more — a whole rook)</t>
  </si>
  <si>
    <t>White sacrifices a rook for a pawn</t>
  </si>
  <si>
    <t>The idea is NOT just to win the g7 pawn, but to clear the way for the e-pawn to advance with devastating effect</t>
  </si>
  <si>
    <t>Capturing the pawn on g7 does not clear the way for the pawn to advance, its trying to attract the king to g7 to prepare a discovered attack</t>
  </si>
  <si>
    <t>Ask yourself: "After the pawn advances, what happens to the pieces on the e-file and d-file?"</t>
  </si>
  <si>
    <t>There is no black piece on the e-file</t>
  </si>
  <si>
    <t>Kxg7</t>
  </si>
  <si>
    <t>Black has no real choice — declining the capture leaves White with an overwhelming attack on g7 and f7.</t>
  </si>
  <si>
    <t>Declining the capture leaves white with material advantage - there is no relevant attack on the g7 &amp; f7 squares</t>
  </si>
  <si>
    <t>2. Rxf7 ??</t>
  </si>
  <si>
    <t>move suggested by it, blunder</t>
  </si>
  <si>
    <t>2...Kg8  ??</t>
  </si>
  <si>
    <t>3. Re7 ??</t>
  </si>
  <si>
    <t>and White is winning with an extra exchange and dominant position.</t>
  </si>
  <si>
    <t>white is losing - is 3 pawns up but will lose a rook</t>
  </si>
  <si>
    <t>e6+</t>
  </si>
  <si>
    <t>The e-pawn storms forward with check (discovered check is not applicable here, but the pawn advance itself gives check by opening no line — actually, it's a direct pawn advance attacking f7 while the pawn on e6 attacks d7). Wait — let's be precise: e6+ is not actually check. Let me re-examine.</t>
  </si>
  <si>
    <t>e6 gives a discovered check.</t>
  </si>
  <si>
    <t>meanwhile the pawn on e6 attacks the knight on d7 and threatens to capture it.</t>
  </si>
  <si>
    <t>the pawn on e6 attacks the ROOK on d7</t>
  </si>
  <si>
    <t>Kf8</t>
  </si>
  <si>
    <t>The king retreats to the only safe square</t>
  </si>
  <si>
    <t>there are other legal moves possible, like Kh7 or f6</t>
  </si>
  <si>
    <t>On Kf6?? Nf2 or Kh7, the king wanders into danger.</t>
  </si>
  <si>
    <t xml:space="preserve">no sure what its claim is here? </t>
  </si>
  <si>
    <t>the pawn is on e6, forking the knight</t>
  </si>
  <si>
    <t xml:space="preserve">pawn is attacking the rook </t>
  </si>
  <si>
    <t>White captures the knight</t>
  </si>
  <si>
    <t>white captures the rook</t>
  </si>
  <si>
    <t>Black's rook on e7 is now tied down to stopping d8=Q</t>
  </si>
  <si>
    <t>no black rook on e7 present</t>
  </si>
  <si>
    <t>White has won a piece (knight) in the transaction</t>
  </si>
  <si>
    <t>white won 2 pawns</t>
  </si>
  <si>
    <t>White sacrificed a rook (5 points) but won a pawn and a knight (1+3 = 4 points)</t>
  </si>
  <si>
    <t>won a pawn and a rook</t>
  </si>
  <si>
    <t>8/1p6/4N1pk/5n2/P7/1P3R2/2r4P/7K b - - 0 1</t>
  </si>
  <si>
    <t>Kg2</t>
  </si>
  <si>
    <t>Forced. The king must move to g2 as it is the only legal square.</t>
  </si>
  <si>
    <t>It is the only legal square for the king, but the rook could also block the check (Rf1)</t>
  </si>
  <si>
    <t>Nh4</t>
  </si>
  <si>
    <t>The knight leaps to h4 with check (a fork is brewing!)</t>
  </si>
  <si>
    <t>The knight on h4 forks the king and the rook - the fork is not "brewing", it's already happening</t>
  </si>
  <si>
    <t>Kg3</t>
  </si>
  <si>
    <t>The king steps to g3, the only reasonable square (Kf1 or Kh1/Kh3 are not available or walk into further issues).</t>
  </si>
  <si>
    <t xml:space="preserve">Kf2 and Kh3 are also legal moves. </t>
  </si>
  <si>
    <t>But now the rook on f3 is left undefended</t>
  </si>
  <si>
    <t>The king on g3 still protects the rook on f3</t>
  </si>
  <si>
    <t>Nxf3</t>
  </si>
  <si>
    <t>Black captures the rook with the knight, winning the exchange (rook for nothing).</t>
  </si>
  <si>
    <t>Black wins the exchange - rook for the knight</t>
  </si>
  <si>
    <t>a deflection check with the rook to lure the king to g2</t>
  </si>
  <si>
    <t>This tactic involves coercion (Coercion tag is to be used when the piece is forced to the square without an active sacrifice), not deflection.</t>
  </si>
  <si>
    <t>After this, Black has a rook and knight versus White's knight — a decisive material advantage in the endgame.</t>
  </si>
  <si>
    <t>White immediately recaptures the knight</t>
  </si>
  <si>
    <t>Kxf3</t>
  </si>
  <si>
    <t>White recaptures the knight, but Black has won a whole rook in the transaction.</t>
  </si>
  <si>
    <t>Black has a rook for a knight and a pawn</t>
  </si>
  <si>
    <t>r2r2k1/pb1nbppp/1p2p3/4P3/7q/PBN1B3/1P2QPPP/2RR2K1 w - - 0 1</t>
  </si>
  <si>
    <t>the bishop on e3 would love to reach d4, where it simultaneously controls key diagonals (a1-h8 and h8-a1) and pressures b6</t>
  </si>
  <si>
    <t>Not the point at all, the bishop controlls d4, which helps protect the rook when it goes on d4</t>
  </si>
  <si>
    <t>what's stopping Bd4? The answer: Black's queen on h4 controls d4</t>
  </si>
  <si>
    <t>Nothing is stopping Bd4, the black queen indeed attacks d4, but the rook on d1 would be protecting the bishop</t>
  </si>
  <si>
    <t>how do we remove the queen from its control of d4?</t>
  </si>
  <si>
    <t>puzzle's idea is to trap the queen, has nothing to do with removing its control of d4</t>
  </si>
  <si>
    <t>Rd4</t>
  </si>
  <si>
    <t xml:space="preserve">A beautiful rook sacrifice! </t>
  </si>
  <si>
    <t>rook is protected, it's not a sacrifice</t>
  </si>
  <si>
    <t>This is a classic deflection/decoy tactic.</t>
  </si>
  <si>
    <t>tactic idea is trapping the queen</t>
  </si>
  <si>
    <t>White offers the rook on d4</t>
  </si>
  <si>
    <t>rook is protected</t>
  </si>
  <si>
    <t>Because after the queen captures, the bishop on e3 recaptures, reaching the powerful d4 square with devastating effect.</t>
  </si>
  <si>
    <t>It work because after the bishop on e3 recaptures, white has material advantage</t>
  </si>
  <si>
    <t>Notice that Black essentially must capture — declining the rook leaves White with a powerfully centralized rook on d4 that supports multiple threats</t>
  </si>
  <si>
    <t>Even if black does not capture, he still loses the queen</t>
  </si>
  <si>
    <t>The rook on d4 would also threaten to swing to h4 or g4 in some lines</t>
  </si>
  <si>
    <t>Black takes the rook, which is the most natural and essentially forced response</t>
  </si>
  <si>
    <t>Even if black does not capture, he still loses the queen. Not "essentially forced"</t>
  </si>
  <si>
    <t>Qxd4</t>
  </si>
  <si>
    <t>But by doing so, the queen has been deflected away from its active post on h4 and lured to d4 where it can be exchanged.</t>
  </si>
  <si>
    <t>The queen on d4 can be captured, not "exchanged". Also, there is no deflection here, the queen was trapped</t>
  </si>
  <si>
    <t>Bxd4</t>
  </si>
  <si>
    <t xml:space="preserve"> White has exchanged a rook for Black's queen — but wait, it's actually a rook AND bishop for a queen? No! Look again:</t>
  </si>
  <si>
    <t>Thinking out loud should not happen</t>
  </si>
  <si>
    <t>The bishop on d4 is magnificently placed, dominating the long diagonal, pressuring b6 and aiming at g7.</t>
  </si>
  <si>
    <t>Bihsop is not aiming at g7, there is a white pawn on e5. Not to mention, the b6 pawn is extremely well defended</t>
  </si>
  <si>
    <t xml:space="preserve">a dominant army against Black's two rooks, two bishops/knight, and no queen. </t>
  </si>
  <si>
    <t>black has 2 rooks, 2 bishops and 1 knight</t>
  </si>
  <si>
    <t>The lesson here: always look for ways to deflect or decoy a key defending piece. When an enemy piece is controlling an important square, ask yourself — can I sacrifice something on that square to lure the piece away and achieve a greater strategic or tactical goal?</t>
  </si>
  <si>
    <t>Completely misses the point of the tactic, which was trapping the queen on h4</t>
  </si>
  <si>
    <t>the queen on h4 looked menacing but was actually holding Black's position together by preventing Bd4</t>
  </si>
  <si>
    <t xml:space="preserve">Bd4 was not a threat. </t>
  </si>
  <si>
    <t>One rook sacrifice shattered that defense</t>
  </si>
  <si>
    <t>There was no rook sacrifice</t>
  </si>
  <si>
    <t>5rk1/3r1p1p/pq4p1/2R1Q3/1p2P2P/3P4/PP1K2P1/5R2 b - - 0 1</t>
  </si>
  <si>
    <t>Notice that White's Queen on e5 is doing double duty — it attacks along the e-file and eyes the kingside</t>
  </si>
  <si>
    <t>Queen attacks nothing on the e-file. It's job is only to protect the c5 rook</t>
  </si>
  <si>
    <t>1...Qxc5?</t>
  </si>
  <si>
    <t>Because after 1...Qxc5?? 2.Qe8! would be devastating, doubling onto the back rank with threats against the Rook on f8 and delivering checkmate ideas</t>
  </si>
  <si>
    <t xml:space="preserve"> Qe8 = Big blunder. 1...Qxc5 would not work simply because the white queen could recapture</t>
  </si>
  <si>
    <t>Qf4</t>
  </si>
  <si>
    <t>Other Queen moves are worse: 2.Qe6+ Rf7 and Black is fine since the Queen has lost its grip on the position; 2.Qe7 Qxc5+ wins the Rook with check; 2.Qb8 Qxc5+ again wins material.</t>
  </si>
  <si>
    <t>All suggested moves are wrong. It was worth mentioning that wherever the queen would go to keep the protection on c5, it would get captured</t>
  </si>
  <si>
    <t>Qxc5</t>
  </si>
  <si>
    <t>Black simply captures the Rook on c5 with the Queen, winning a full exchange (Rook for nothing)</t>
  </si>
  <si>
    <t>Black wins a full rook, not an exchange</t>
  </si>
  <si>
    <t>5r2/1rp2pkp/3qbp2/8/1b6/1Q2N1P1/PP2PP1P/2RR2K1 w - - 0 1</t>
  </si>
  <si>
    <t>queen is currently protected and White cannot simply capture it</t>
  </si>
  <si>
    <t>white should not capture the queen directly, but not because it is protected, but because the black bishop is also attacking the white queen</t>
  </si>
  <si>
    <t xml:space="preserve">The bishop on e6 is a critical defender -- it shields the d6-queen from the d1-rook </t>
  </si>
  <si>
    <t>Bishop on e6 is not protecting the black queen, its job is attacking the WHITE queen</t>
  </si>
  <si>
    <t>This is our premise: we need to deflect or eliminate the e6-bishop.</t>
  </si>
  <si>
    <t>You need the e6-bishop to not attack the white queen anymore. It would be called "deflection" is the bishop would be lured/forced away from protecting the f5 square</t>
  </si>
  <si>
    <t>Nf5+</t>
  </si>
  <si>
    <t>The knight leaps to f5, attacking the king (since it delivers a discovered... no, it directly gives check to the king on g7 via the knight on f5)</t>
  </si>
  <si>
    <t>Nf5 directly checks the king</t>
  </si>
  <si>
    <t>Actually, let's be precise: Nf5+ forks the king on g7 indirectly</t>
  </si>
  <si>
    <t>Nf5 DIRECTLY forks the king and the queen</t>
  </si>
  <si>
    <t>Notice the double function of the e6-bishop: it defends the queen on d6 AND it is the only piece that can reasonably respond to the check</t>
  </si>
  <si>
    <t>blocking with ...Bf6 doesn't work as the bishop is on e6,</t>
  </si>
  <si>
    <t>There is no such move as Bf6.. there is already a black pawn on f6, not to mention you cannot block a check given by a knight</t>
  </si>
  <si>
    <t>and the king has no good squares</t>
  </si>
  <si>
    <t>The king can move, but that would allow 2.Nd6-Bb3 2.Nb7-Bd1 3.Rd1 with material advantage for white</t>
  </si>
  <si>
    <t xml:space="preserve"> This is a classic deflection sacrifice -- we force a defender away from its critical defensive duty</t>
  </si>
  <si>
    <t>The bishop on e6 was attacking the queen on b3, this is why we want it to move; also, it is just a piece sacrifice, not a deflection sacrifice</t>
  </si>
  <si>
    <t>Bxf5+</t>
  </si>
  <si>
    <t>Black captures the knight, which is essentially forced. The king cannot move to a safe square easily (Kh6 runs into dangerous attacks),</t>
  </si>
  <si>
    <t>The king could move away, but it would not work because the knight could then capture the queen. But the suugested move Kh6 is illegal.</t>
  </si>
  <si>
    <t>Black captures the knight, which is essentially forced. The king cannot move to a safe square easily (Kh8 or Kg8 still leaves the knight checking pattern),</t>
  </si>
  <si>
    <t>Kh8/Kg8 leaves the knight checking pattern - does not make sense. Those moves allow the knight to capture the queen</t>
  </si>
  <si>
    <t>But now the e6 square is vacated, and crucially, the bishop no longer defends the queen on d6</t>
  </si>
  <si>
    <t>Bishop on e6 is not protecting the black queen</t>
  </si>
  <si>
    <t>The d-file is now fully open for White's rook.</t>
  </si>
  <si>
    <t>There has been no change on the d-file</t>
  </si>
  <si>
    <t>Rxd6</t>
  </si>
  <si>
    <t>White sacrificed a knight (3 points) but won Black's queen (9 points). Even accounting for Black having captured the knight (gaining a piece worth 3), White comes out massively ahead -- a net gain of roughly a queen for a knight, which is about +6 in material</t>
  </si>
  <si>
    <t>Black will also capture the rook, so will get a rook and knight for the queen</t>
  </si>
  <si>
    <t>The tactical pattern here is a classic DEFLECTION</t>
  </si>
  <si>
    <t>The tactical pattern is a sacrifce and also Zwischenzug/Intermediate Move (the player postpones an anticipated move in order to make a forcing intermediate move)</t>
  </si>
  <si>
    <t>the knight sacrifice on f5 forced the e6-bishop (which was the key defender of the d6-queen) to abandon its post</t>
  </si>
  <si>
    <t>Bishop on e6 was not protecting the black queen</t>
  </si>
  <si>
    <t>Always look for pieces that serve multiple defensive duties -- they are often targets for tactical combinations</t>
  </si>
  <si>
    <t>there was no such theme in this puzzle</t>
  </si>
  <si>
    <t>Rooks on open files aimed at enemy pieces create latent threats that can be activated by removing defenders.</t>
  </si>
  <si>
    <t>again, there was no such theme in this puzzle. the rook was directly attacking the queen</t>
  </si>
  <si>
    <t>r3rb1k/2qn2pp/2p2p2/ppn1p2b/4P3/1PB1NPPB/P1P3QP/3RNR1K w - - 0 1</t>
  </si>
  <si>
    <t>White's light-squared bishop on h3 is staring down the b3-h3 diagonal</t>
  </si>
  <si>
    <t>h3-c8 diagonal</t>
  </si>
  <si>
    <t xml:space="preserve"> what is preventing White from exploiting the h3-h5 diagonal? </t>
  </si>
  <si>
    <t>should be either h3-c8 diagonal or the h-file</t>
  </si>
  <si>
    <t>The answer is Black's knight on d7, which could potentially reroute, and more importantly, the d7 knight is a key defensive coordinator.</t>
  </si>
  <si>
    <t>the explanation does not make sense. it could mention instead that the knight on d7 is attacked by the bishop on h3 &amp; the rook on d1</t>
  </si>
  <si>
    <t>When you see a piece that serves a dual purpose — defending and coordinating — think about how to eliminate or deflect it!</t>
  </si>
  <si>
    <t>again misses the point - the idea is the knight is attacked by the bishop &amp; can be captured, which would lead to the clearance of the h3 square</t>
  </si>
  <si>
    <t>Bxd7</t>
  </si>
  <si>
    <t>By eliminating the d7 knight, White accomplishes two things: (1) it removes a defender that helps coordinate Black's position,</t>
  </si>
  <si>
    <t>this is false, it only clears the square h3 for the queen</t>
  </si>
  <si>
    <t>Nxd7</t>
  </si>
  <si>
    <t xml:space="preserve">Black recaptures, which is essentially forced. Taking with the queen would leave d7 unprotected </t>
  </si>
  <si>
    <t>False, taking with the queen would allow the rook on d1 to capture it</t>
  </si>
  <si>
    <t>and the bishop on h5 has no knight on d7 to help cover key squares</t>
  </si>
  <si>
    <t>the knight on d7 had nothing to do with the bishop on h5</t>
  </si>
  <si>
    <t>The h5 bishop is only defended by the g-pawn (if it were to move) — but wait, it's actually completely undefended!</t>
  </si>
  <si>
    <t>The bishop on h5 is unprotected</t>
  </si>
  <si>
    <t>Qh3</t>
  </si>
  <si>
    <t>This is a classic "remove the defender, then attack the target" pattern.</t>
  </si>
  <si>
    <t xml:space="preserve">False, this was square clearance followed by double attack </t>
  </si>
  <si>
    <t xml:space="preserve"> there is no easy way to defend it</t>
  </si>
  <si>
    <t>Flase, the bishop can be protected or move away, but then the knight in d7 would get captured</t>
  </si>
  <si>
    <t>the queen on h3 creates a battery-like pressure along the third rank</t>
  </si>
  <si>
    <t>There are only white pawns on the 3rd rank on g3 and h3, no battery</t>
  </si>
  <si>
    <t>Rad8</t>
  </si>
  <si>
    <t>Black develops the rook to d8, perhaps hoping to create pressure on the d-file</t>
  </si>
  <si>
    <t>Moving the rook on d8 defends the knight on d7 which is also under attack</t>
  </si>
  <si>
    <t>This is a common defensive error in puzzles — playing a "useful-looking" move instead of addressing the direct threat</t>
  </si>
  <si>
    <t>Completely misses that the queen was doing a double attack and the Rad8 is trying to protect one of the pieces</t>
  </si>
  <si>
    <t>Qxh5</t>
  </si>
  <si>
    <t>Exchange the obstructing piece in a way that also removes a defender</t>
  </si>
  <si>
    <t>There was no removing the defender here</t>
  </si>
  <si>
    <t>r2r2k1/5pp1/pp6/2b1R3/3N4/2P2P1P/1PR3P1/6K1 b - - 0 1</t>
  </si>
  <si>
    <t>Rxd4</t>
  </si>
  <si>
    <t>The pawn on c3 is forced to recapture (it's the only piece defending d4 after the knight is gone</t>
  </si>
  <si>
    <t>the pawn on c3 is the only piece defending d4 period, the knight being gone has nothing to do with it, as the knight was not protecting d4</t>
  </si>
  <si>
    <t>When the c3 pawn moves to d4, it opens the diagonal for the bishop to deliver a deadly check.</t>
  </si>
  <si>
    <t>it does not open the diagonal, it simply does not defend the d4 sqaure anymore</t>
  </si>
  <si>
    <t>This is a classic "clearance + deflection" combination</t>
  </si>
  <si>
    <t>Theme is: exchange sacrifice, aimed to remove the defender of the d4 square and followed by a double attack</t>
  </si>
  <si>
    <t xml:space="preserve"> opening the a1-g1 diagonal</t>
  </si>
  <si>
    <t>cxd4</t>
  </si>
  <si>
    <t>But now the c3 pawn has moved to d4, and the a7-g1 diagonal is wide open.</t>
  </si>
  <si>
    <t>The diagonal is not open, but the d4 square is no logner defender by white</t>
  </si>
  <si>
    <t>Bxd4+</t>
  </si>
  <si>
    <t>forking the White king on g1 and the rook on b2</t>
  </si>
  <si>
    <t>there is no rook on b2; it is double attacking the king  and rook on e5</t>
  </si>
  <si>
    <t>Black will capture the rook on b2 with Bxb2</t>
  </si>
  <si>
    <t>there is no rook on b2; he will capture rook on e5</t>
  </si>
  <si>
    <t>The pattern to remember: Always look for X-ray relationships between your bishops and the opponent's king</t>
  </si>
  <si>
    <t>no x-ray here</t>
  </si>
  <si>
    <t>When a piece blocks a dangerous diagonal, ask yourself: "What if that piece weren't there?"</t>
  </si>
  <si>
    <t>misses the point of the tactic</t>
  </si>
  <si>
    <t>r1bqk1nr/ppp2ppp/8/n1bPp3/2B5/2P2N2/PP1P1PPP/RNBQK2R w KQkq - 0 1</t>
  </si>
  <si>
    <t>Black's king is still on e8 and hasn't castled — this means checks along the e-file</t>
  </si>
  <si>
    <t>e-file checks are not possible here due to a pawn on e5</t>
  </si>
  <si>
    <t>Qa4+</t>
  </si>
  <si>
    <t>Black has no time to move the knight to safety.</t>
  </si>
  <si>
    <t>black could block with the knight, the problem is the pawn on d5 will then capture the knight</t>
  </si>
  <si>
    <t>Bd7</t>
  </si>
  <si>
    <t xml:space="preserve"> other blocking options don't exist</t>
  </si>
  <si>
    <t>there are other blocking options</t>
  </si>
  <si>
    <t>r2r4/1pQ1q1k1/1n3pp1/pN6/b2pP3/3P1RPp/1P2B2P/5RK1 b - - 0 1</t>
  </si>
  <si>
    <t>White's queen on c7 is deep in Black's territory, attacking the b7 pawn and the e7 queen simultaneously. White also has a strong knight on b5</t>
  </si>
  <si>
    <t>Misses to mention that the black knight on b6 is under attack, same as the white knight on b5</t>
  </si>
  <si>
    <t>Rd7</t>
  </si>
  <si>
    <t>The rook on d7 forces White's queen to make a decision, and importantly, it connects Black's rooks along the back rank</t>
  </si>
  <si>
    <t>Does not connect black's rooks</t>
  </si>
  <si>
    <t>Ra6</t>
  </si>
  <si>
    <t>Notice how the queen on b6 has very limited escape squares: a7 is unavailable (the rook on d7 covers it)</t>
  </si>
  <si>
    <t>a7 is covered by the a6 rook, not the d7 rook</t>
  </si>
  <si>
    <t xml:space="preserve"> c7 and c5 are covered by the rook and other pieces</t>
  </si>
  <si>
    <t>c5 is not covered by the rook, but by the queen</t>
  </si>
  <si>
    <t>bxa6</t>
  </si>
  <si>
    <t xml:space="preserve"> while White's knight on b5 will soon need to retreat (a7 is one square, but it's passive)</t>
  </si>
  <si>
    <t>a7 is not an option as it is attacked, a3 is the only good option</t>
  </si>
  <si>
    <t>The lesson: sometimes the best tactical sequences begin with quiet, multipurpose defensive moves</t>
  </si>
  <si>
    <t>Rd7 is not a quiet move, it directly attacks the white queen</t>
  </si>
  <si>
    <t>1r3k2/3r1p2/3N2pb/3PQ3/P3P2p/1PR4P/3q2PK/8 w - - 0 1</t>
  </si>
  <si>
    <t>Black has a queen on d2 and rooks on b8 and d7, so Black has counterplay too — that queen on d2 is menacing. This means White must act with FORCE and PRECISION.</t>
  </si>
  <si>
    <t>Black has material advantage and is threatening Bf4 to win the queen, which is actually the reason why white has to act fast</t>
  </si>
  <si>
    <t>The f8 king has limited escape squares — e7 is available,</t>
  </si>
  <si>
    <t>e7 is not a legal escape square</t>
  </si>
  <si>
    <t>but g8 and g7 are not great due to the bishop on h6 blocking g7</t>
  </si>
  <si>
    <t>g8 has nothing to do with the bishop on h6 + g7 is not a legal escape square, but again the bishop on h6 is not the reason for g7 not being accesible</t>
  </si>
  <si>
    <t>Ask yourself: "What if I could get my heavy pieces to the 8th rank?" The rook on b8 is the only defender of the c8 square. This is the trigger for the combination.</t>
  </si>
  <si>
    <t>The reasoning if off here. The issue is indeed that the rook on b8 is protecting c8, so it is preveting the checkmate afte Qh8 &amp; Nc8</t>
  </si>
  <si>
    <t>Rc8</t>
  </si>
  <si>
    <t>This is a classic clearance/deflection sacrifice. White gives up the rook to DEFLECT the b8-rook away from guarding the back rank</t>
  </si>
  <si>
    <t>The theme here is Attraction or Seizing a Mate square:"To seize that square, the player attracts an opposition piece onto it (usually by the means of a sacrifice) "</t>
  </si>
  <si>
    <t>Rxc8</t>
  </si>
  <si>
    <t xml:space="preserve">Black is forced to capture — it's the only legal way to deal with the check </t>
  </si>
  <si>
    <t>Rd8 is also possible</t>
  </si>
  <si>
    <t>the king cannot move to e7 because Qe7 would also be crushing</t>
  </si>
  <si>
    <t>The king cannot move to e7 because the square is attacked by the queen</t>
  </si>
  <si>
    <t>Now the rook has been lured to c8, and critically, the b8 square is cleared.</t>
  </si>
  <si>
    <t>the b8 square is not relevant</t>
  </si>
  <si>
    <t>Qh8</t>
  </si>
  <si>
    <t>the g7 square is blocked by Black's own pawn on g6</t>
  </si>
  <si>
    <t>the g7 square is not blocked</t>
  </si>
  <si>
    <t>the g7 square is blocked by Black's own bishop on h6</t>
  </si>
  <si>
    <t>Nc8</t>
  </si>
  <si>
    <t xml:space="preserve"> The knight captures the rook on c8 and delivers a stunning discovered... no — a direct checkmate! </t>
  </si>
  <si>
    <t>Let's verify: the knight on c8 attacks e7? No — the QUEEN on h8 covers e8, f8, and the 8th rank, while the knight on c8 controls e7 (yes!)</t>
  </si>
  <si>
    <t>the knight on c8 controls e7 (yes!), d6, and b6</t>
  </si>
  <si>
    <t>b6 square is not relevant for the checkmate</t>
  </si>
  <si>
    <t xml:space="preserve"> every escape is covered: d6 by the pawn on d5</t>
  </si>
  <si>
    <t>d6 is controlled by the knight on c8</t>
  </si>
  <si>
    <t>every escape is covered: f6 is blocked/controlled</t>
  </si>
  <si>
    <t>f6 is not blocked, it is controlled by the white queen</t>
  </si>
  <si>
    <t>every escape is covered: d7 was vacated but is controlled by the knight</t>
  </si>
  <si>
    <t>d7 is blocked by the black rook</t>
  </si>
  <si>
    <t>Use a ROOK SACRIFICE to deflect the defender (Rc8+</t>
  </si>
  <si>
    <t>not deflection, but attraction</t>
  </si>
  <si>
    <t>Finish with a KNIGHT FORK</t>
  </si>
  <si>
    <t>It's a simple knight check, no fork</t>
  </si>
  <si>
    <t>r4k1r/1ppq1ppp/1p2P3/n3PbQ1/1bP5/2N2N1P/PP4P1/2KR1B1R b - - 0 1</t>
  </si>
  <si>
    <t xml:space="preserve"> White's King on c1 looks somewhat exposed, sitting on the back rank with limited escape squares.</t>
  </si>
  <si>
    <t>King has no escape squares</t>
  </si>
  <si>
    <t>What if we could REMOVE the Knight from c3 while opening the a-file simultaneously?</t>
  </si>
  <si>
    <t>you cannot do both in one move</t>
  </si>
  <si>
    <t>Nb3</t>
  </si>
  <si>
    <t>BRILLIANT! This is a clearance sacrifice combined with a deflection.</t>
  </si>
  <si>
    <t>theme: clearance &amp; decoy</t>
  </si>
  <si>
    <t xml:space="preserve">It removes the defender - once White captures with axb3, the Knight on c3 no longer has pawn support on a2 </t>
  </si>
  <si>
    <t>it just forces the opening of the a-file</t>
  </si>
  <si>
    <t>axb3</t>
  </si>
  <si>
    <t>and Kb1 allows Nc3+ or other issues</t>
  </si>
  <si>
    <t>Kb1 is not legal</t>
  </si>
  <si>
    <t xml:space="preserve"> what defends the a1 square? Only the Rook on d1</t>
  </si>
  <si>
    <t>nothing protects a1</t>
  </si>
  <si>
    <t xml:space="preserve"> what defends the a1 square?  potentially the Knight on c3.</t>
  </si>
  <si>
    <t>Ra1+</t>
  </si>
  <si>
    <t>White's Knight on c3 is FORCED to block by going to b1 (the Rook on d1 cannot capture because the Bishop on b4 pins the d1 Rook to... wait, actually the Knight on c3 must interpose)</t>
  </si>
  <si>
    <t>Rxb1#</t>
  </si>
  <si>
    <t>The King on c1 cannot escape: a2 is unavailable (pawn gone!)</t>
  </si>
  <si>
    <t>3qrrk1/pp1b1pbp/2n1p1p1/3p2NP/3P4/2PB2P1/PP1N1PK1/R2Q3R w - - 0 1</t>
  </si>
  <si>
    <t>Nxh7</t>
  </si>
  <si>
    <t>by eliminating the h7 pawn, White opens the h-file for the rook</t>
  </si>
  <si>
    <t>h-file is semi open</t>
  </si>
  <si>
    <t>Kxh7</t>
  </si>
  <si>
    <t>Black is forced to accept. Declining with a move like Kf8</t>
  </si>
  <si>
    <t>Kf8 is not legal</t>
  </si>
  <si>
    <t>Kg8</t>
  </si>
  <si>
    <t xml:space="preserve">The king retreats to the corner. Moving to g7 would be even worse, </t>
  </si>
  <si>
    <t>Kg7 is not legal</t>
  </si>
  <si>
    <t>Qh5</t>
  </si>
  <si>
    <t>the only way to survive the immediate Qh7# threat is to deal with the g6 pawn</t>
  </si>
  <si>
    <t>not the only legal move</t>
  </si>
  <si>
    <t>fxg6</t>
  </si>
  <si>
    <t xml:space="preserve"> but this opens the f-file</t>
  </si>
  <si>
    <t>f-file is semi-open</t>
  </si>
  <si>
    <t>Qxg6</t>
  </si>
  <si>
    <t>White recaptures on g6, now threatening Qh7# once again</t>
  </si>
  <si>
    <t>Qh7 would not be checkmate - threat is Rh8 followed by Qh7</t>
  </si>
  <si>
    <t>Rf6</t>
  </si>
  <si>
    <t xml:space="preserve">Black desperately interposes the rook on f6 to block the queen's access to h7 </t>
  </si>
  <si>
    <t>Rf6 attacks the queen, does not block access to h7</t>
  </si>
  <si>
    <t>Rh8</t>
  </si>
  <si>
    <t>The bishop on g7 cannot capture because it is blocked by its own rook on f6. The king must take.</t>
  </si>
  <si>
    <t>Bishop is pinned</t>
  </si>
  <si>
    <t>Qh7</t>
  </si>
  <si>
    <t>The Black king on h8 has no escape — f8 is blocked by the rook on e8</t>
  </si>
  <si>
    <t>you cannot reach f8 with the king</t>
  </si>
  <si>
    <t>f8 is blocked by the rook on e8</t>
  </si>
  <si>
    <t>f8 is not blocked at all</t>
  </si>
  <si>
    <t>4r1k1/p4Rbp/1p1q2r1/2pN4/2P3n1/3nP1P1/PB4Q1/3N1RK1 w - - 0 1</t>
  </si>
  <si>
    <t>the only defender of e8 is the rook on e8 itself</t>
  </si>
  <si>
    <t>the rook does not protect itself</t>
  </si>
  <si>
    <t>Notice that if the rook on e8 were removed or deflected, Qa8# or Qe8#</t>
  </si>
  <si>
    <t>even if the rook is not on the 8th rank, Qe8 is not possible &amp; neither Qa8 nor Qe8 would be checkmate right away</t>
  </si>
  <si>
    <t>Ne7</t>
  </si>
  <si>
    <t xml:space="preserve">the knight specifically attacks both the king AND the rook on e8 (a fork in spirit, though the check is what matters most). </t>
  </si>
  <si>
    <t>the knight attacks the rook on g6, not e8</t>
  </si>
  <si>
    <t>The rook on g6 cannot capture on e7 because the White rook on f7 controls that square.</t>
  </si>
  <si>
    <t>So Black is essentially forced to capture with the only piece that can — the rook on e8</t>
  </si>
  <si>
    <t>Black could move the king &amp; also capture with another piece too</t>
  </si>
  <si>
    <t>Re7</t>
  </si>
  <si>
    <t xml:space="preserve"> the back rank (e8 in particular) is completely undefended!</t>
  </si>
  <si>
    <t>e8 is actually protected by the rook on e7</t>
  </si>
  <si>
    <t>Qa8</t>
  </si>
  <si>
    <t>The queen swings to a8 with check, targeting the e8 square diagonally.</t>
  </si>
  <si>
    <t xml:space="preserve"> The only defense is to interpose the rook back to e8, blocking the check.</t>
  </si>
  <si>
    <t>you can block with queen &amp; bishop too</t>
  </si>
  <si>
    <t xml:space="preserve">Forced. The rook returns to e8 to block the check — there is no other legal option. </t>
  </si>
  <si>
    <t>Qxe8</t>
  </si>
  <si>
    <t>White captures the rook with check, and this is checkmate</t>
  </si>
  <si>
    <t>it is not checkmate now, but will be in 2 moves</t>
  </si>
  <si>
    <t>. This is in fact CHECKMATE — the queen on e8 delivers check, the king cannot move to f7 (queen controls it), h8 is blocked by the bishop on h7's presence and the queen's control, and all other squares are covered.</t>
  </si>
  <si>
    <t>h8 is blocked by the bishop on h7's presence</t>
  </si>
  <si>
    <t>no bishop on h7</t>
  </si>
  <si>
    <t>3r4/8/p1n4p/1p2p1p1/5k2/P2rpP2/1P2R1PP/4BRK1 w - - 0 1</t>
  </si>
  <si>
    <t xml:space="preserve"> Notice that the bishop on e1 could deliver check on g3 if only the g2-pawn weren't blocking the diagonal!</t>
  </si>
  <si>
    <t>This is our critical observation — we need to clear the g1-g3 diagonal for the bishop</t>
  </si>
  <si>
    <t>he king on f4 would have no escape: e4 is not available (pawn on f3 controls it), g4 would need to be controlled, and f5/f3 are blocked.</t>
  </si>
  <si>
    <t>f5 is not blocked &amp; g4 is contolled</t>
  </si>
  <si>
    <t>This "clearance" idea is the heart of the puzzle.</t>
  </si>
  <si>
    <t>there is no clearance</t>
  </si>
  <si>
    <t>g4</t>
  </si>
  <si>
    <t>It CLEARS the g2 square, opening the diagonal from e1 to g3 for the bishop</t>
  </si>
  <si>
    <t>moving from g2 to g4 has nothing to do with e1-h4 diagonal</t>
  </si>
  <si>
    <t xml:space="preserve"> It TAKES AWAY the g4 escape square from the Black king, which would have been a flight square after Bg3+</t>
  </si>
  <si>
    <t>g4 is protected by f3 pawn, not by the g4 pawn</t>
  </si>
  <si>
    <t>It also eyes g5, further restricting the king.</t>
  </si>
  <si>
    <t>g4 actually restricts the king by controlling f5</t>
  </si>
  <si>
    <t>This is a classic "clearance" tactic — moving a piece (here a pawn) off a critical line so that another piece (the bishop) can use it decisively</t>
  </si>
  <si>
    <t>theme is actually Controlling Escape Square</t>
  </si>
  <si>
    <t>Rd1</t>
  </si>
  <si>
    <t>placing the rook on the back rank with check... but wait, it's not actually check</t>
  </si>
  <si>
    <t>no check</t>
  </si>
  <si>
    <t xml:space="preserve"> king move (but where? — Kg4 is gone, Ke4 is covered by f3, Kxf3 is covered by Re2)</t>
  </si>
  <si>
    <t xml:space="preserve"> Kxf3 is covered by Re2</t>
  </si>
  <si>
    <t>Kxf3 is stopped by Rf1</t>
  </si>
  <si>
    <t>Bg3</t>
  </si>
  <si>
    <t xml:space="preserve"> g4 (controlled by the pawn we just pushed!)</t>
  </si>
  <si>
    <t>f5 (the bishop on g3 and rook on f1 cover this — actually the f1 rook controls the f-file</t>
  </si>
  <si>
    <t>rook on f1 only protects the f3 pawn</t>
  </si>
  <si>
    <t>e3 (controlled by the rook on e2)</t>
  </si>
  <si>
    <t>e3 is blocked by a black pawn</t>
  </si>
  <si>
    <t>Kf3 is impossible due to the rook on e2 guarding e3... actually Kxf3 is stopped by Re2 covering f3's adjacent squares and the pawn structure.</t>
  </si>
  <si>
    <t>Clearance sacrifices or pawn pushes that open lines are a recurring tactical theme</t>
  </si>
  <si>
    <t>8/8/5p2/5k1p/2rBR2p/P4KbP/6P1/8 b - - 0 1</t>
  </si>
  <si>
    <t xml:space="preserve"> This is the core tactical premise — look for ways to overload or divert the defender!</t>
  </si>
  <si>
    <t>theme is Zugzwang</t>
  </si>
  <si>
    <t>Ra4</t>
  </si>
  <si>
    <t>Black slides the rook along the fourth rank to a4, attacking the White bishop on d4 from the other side</t>
  </si>
  <si>
    <t>attacks bishop from the same side</t>
  </si>
  <si>
    <t xml:space="preserve">1...Rxd4?? 2. Re5+ </t>
  </si>
  <si>
    <t xml:space="preserve"> forks the Black king on f5, </t>
  </si>
  <si>
    <t>incorrect variation</t>
  </si>
  <si>
    <t>Now White must respond to the threat on the bishop.</t>
  </si>
  <si>
    <t xml:space="preserve">bishop is protected by the rook, issue is zugzwang </t>
  </si>
  <si>
    <t>Re3</t>
  </si>
  <si>
    <t>tries to maintain the defense by moving the rook to e3, where it protects the d4-bishop along the third rank</t>
  </si>
  <si>
    <t>not protecting the bishop</t>
  </si>
  <si>
    <t xml:space="preserve">simultaneously attacks the Black bishop on g3. </t>
  </si>
  <si>
    <t>There is a king on f3</t>
  </si>
  <si>
    <t>White is trying to create a counter-threat against the g3-bishop to complicate matters.</t>
  </si>
  <si>
    <t>there is no Re5+ fork available anymore</t>
  </si>
  <si>
    <t>Re5 is possible, but makes no sense</t>
  </si>
  <si>
    <t>Black first lured the White rook away from e4 to e3</t>
  </si>
  <si>
    <t>theme is Zugzwang, white had no choice</t>
  </si>
  <si>
    <t>when the dangerous Re5+ check was no longer possible</t>
  </si>
  <si>
    <t>This is a classic example of removing the defender's tactical resource before executing your main idea.</t>
  </si>
  <si>
    <t>sometimes you need a preparatory move (called a "Zwischenzug" or intermezzo concept) to eliminate the sting from the opponent's reply.</t>
  </si>
  <si>
    <t>8/4np2/1r2p1k1/p2pK2p/P4P1P/1P4P1/2PB4/4R3 b - - 0 1</t>
  </si>
  <si>
    <t>f Black could deliver check on f6 with the f-pawn, the king would have nowhere to run — d4 is covered</t>
  </si>
  <si>
    <t>d4 is not covered</t>
  </si>
  <si>
    <t xml:space="preserve"> f5 and f6 would be blocked.</t>
  </si>
  <si>
    <t>not blocked, but controlled</t>
  </si>
  <si>
    <t>the bishop on d2 could potentially intervene.</t>
  </si>
  <si>
    <t>bishop on d2 has nothing to do with the mating net</t>
  </si>
  <si>
    <t>Nf5</t>
  </si>
  <si>
    <t>The knight jumps to f5, accomplishing several things simultaneously: 1) It BLOCKS the f5 escape square for the White king, meaning Ke5-f5 is no longer possible</t>
  </si>
  <si>
    <t xml:space="preserve">Knight on f5 does not protect itself </t>
  </si>
  <si>
    <t xml:space="preserve"> the pawn on d5 covers d4,</t>
  </si>
  <si>
    <t>Ba5</t>
  </si>
  <si>
    <t>The bishop move to a5 also removes the bishop from any possible defensive duty near the king.</t>
  </si>
  <si>
    <t>this move doesnt make any difference</t>
  </si>
  <si>
    <t>f6</t>
  </si>
  <si>
    <t>d4 — controlled by Nf5 and pawn on d5</t>
  </si>
  <si>
    <t>d5 — blocked by Black's own pawn</t>
  </si>
  <si>
    <t>it is blocked, but that's not why it cannot be captured</t>
  </si>
  <si>
    <t xml:space="preserve"> e4 — controlled by Nf5</t>
  </si>
  <si>
    <t xml:space="preserve"> e6 — blocked by Black's pawn</t>
  </si>
  <si>
    <t xml:space="preserve"> f5 — blocked by Nf5</t>
  </si>
  <si>
    <t>f6 — the checking pawn itself.</t>
  </si>
  <si>
    <t>the pawn does not protect itself, the king on g6 does</t>
  </si>
  <si>
    <t>2k5/2p2q1p/p6P/1p1bQ3/1P1P1BPK/P7/8/8 w - - 0 1</t>
  </si>
  <si>
    <t xml:space="preserve"> White has a passed g-pawn on g4</t>
  </si>
  <si>
    <t>pawn is not passed</t>
  </si>
  <si>
    <t>This is a classic "pawn race with piece exchanges" motif.</t>
  </si>
  <si>
    <t>pawn breakthrough + simplifying sacrifice motif</t>
  </si>
  <si>
    <t>Bf3</t>
  </si>
  <si>
    <t xml:space="preserve">Black repositions the bishop to f3, trying to blockade or delay the g-pawn's advance. </t>
  </si>
  <si>
    <t>bishop on f3 has nothing to do with g5 pawn</t>
  </si>
  <si>
    <t>moves like Qf5 would allow Qe8+</t>
  </si>
  <si>
    <t>Qf5 blunders the queen</t>
  </si>
  <si>
    <t>Kc7</t>
  </si>
  <si>
    <t>but now the position is a pure pawn ending (with White's bishop already exchanged).</t>
  </si>
  <si>
    <t>black still has a bishop on f3</t>
  </si>
  <si>
    <t>gxh7</t>
  </si>
  <si>
    <t xml:space="preserve"> now White has TWO connected passed pawns on the h-file — the h6 and h7 pawns.</t>
  </si>
  <si>
    <t>those are doubled pawns</t>
  </si>
  <si>
    <t>r2nkb1r/3b1ppp/4pn2/1B2p3/8/4BN2/PPP2PPP/2KR3R w kq - 0 1</t>
  </si>
  <si>
    <t xml:space="preserve"> White has both rooks active on the d-file and h-file</t>
  </si>
  <si>
    <t>h1 rook is not active</t>
  </si>
  <si>
    <t xml:space="preserve">Can White exploit the overloaded d-file </t>
  </si>
  <si>
    <t>overloaded file???</t>
  </si>
  <si>
    <t>Here, removing the Bd7 strips away protection and opens lines toward the Black king.</t>
  </si>
  <si>
    <t>removing the bishop is attracting the knight on d7, where it is pinned and can be attacked further</t>
  </si>
  <si>
    <t>the knight on d8 must recapture</t>
  </si>
  <si>
    <t>the knight on f6 recaptures</t>
  </si>
  <si>
    <t>the f6 knight would leave the d8 knight hanging and the d-file fully open</t>
  </si>
  <si>
    <t>makes no sense</t>
  </si>
  <si>
    <t>How does White maintain the pressure and exploit the exposed king?</t>
  </si>
  <si>
    <t>you are actually exploiting the king</t>
  </si>
  <si>
    <t>The knight on d7 is now pinned against the king by the rook on d1</t>
  </si>
  <si>
    <t>it is pinned, but by the bishop not by the rook</t>
  </si>
  <si>
    <t>Ra5</t>
  </si>
  <si>
    <t>hitting the bishop on b5 to relieve the pressure on d7</t>
  </si>
  <si>
    <t>how do you relieve the pressure??</t>
  </si>
  <si>
    <t>The "pin" on d7 was actually setting up a discovered attack / removal of the defender pattern</t>
  </si>
  <si>
    <t>there was no discovered attack</t>
  </si>
  <si>
    <t xml:space="preserve">White has won a full piece (bishop for nothing after the initial rook-for-bishop sacrifice, White nets a knight) </t>
  </si>
  <si>
    <t>white won a bishop and a knight for a rook</t>
  </si>
  <si>
    <t>Always look for ways to overload the d-file when the opponent's king is stuck in the center!</t>
  </si>
  <si>
    <t>you cannot overload a file</t>
  </si>
  <si>
    <t>1. Category Weights (W_c) - ordered from most to least severe</t>
  </si>
  <si>
    <t>Proposes / validates an illegal move - solution becomes null</t>
  </si>
  <si>
    <t>Wrong square stated - invalidates the entire analysis</t>
  </si>
  <si>
    <t>Wrong material balance - distorts strategic evaluation</t>
  </si>
  <si>
    <t>Scoring Parameters - Chess Hallucination Evaluation</t>
  </si>
  <si>
    <t>Completely wrong - changes the entire evaluation</t>
  </si>
  <si>
    <t>3. Decay Factor (δ) - applied per additional hallucination in same (puzzle, category) group</t>
  </si>
  <si>
    <t>90 - 100</t>
  </si>
  <si>
    <t>75 - 89</t>
  </si>
  <si>
    <t>55 - 74</t>
  </si>
  <si>
    <t>35 - 54</t>
  </si>
  <si>
    <t>0 - 34</t>
  </si>
  <si>
    <t>1...Nf5</t>
  </si>
  <si>
    <t>Gemini 3.1 Pro</t>
  </si>
  <si>
    <t>Qf8 not possible</t>
  </si>
  <si>
    <t>3. Qh5</t>
  </si>
  <si>
    <t>In fact, the correct claim was that retreating leads to the loss of the knight</t>
  </si>
  <si>
    <t>1...Bxf5</t>
  </si>
  <si>
    <t>MODEL SCORE</t>
  </si>
  <si>
    <t>Llama 4 Maverick</t>
  </si>
  <si>
    <t>Be3</t>
  </si>
  <si>
    <t>putting White's King in a potentially vulnerable position.</t>
  </si>
  <si>
    <t>white's issue is not so much the king, but rather the queen</t>
  </si>
  <si>
    <t>Qxe3</t>
  </si>
  <si>
    <t>White is forced to recapture to address the check.</t>
  </si>
  <si>
    <t>white is not forced</t>
  </si>
  <si>
    <t>2...Qxe3</t>
  </si>
  <si>
    <t>Now, Black can play Qxe3+, again putting the White King in check and potentially exploiting the exposed position of the White King.</t>
  </si>
  <si>
    <t>white's problem &amp; the entire point of the tactic was the queen capture</t>
  </si>
  <si>
    <t xml:space="preserve">notice that Black's position is somewhat compromised due to the somewhat undeveloped state </t>
  </si>
  <si>
    <t xml:space="preserve">does not state any particular facts </t>
  </si>
  <si>
    <t>White starts with a sacrifice to expose Black's King and gain a strategic advantage.</t>
  </si>
  <si>
    <t>the point of the sacrifice was not to get strategic advantage, but to use the pin &amp; open d-file to win material</t>
  </si>
  <si>
    <t xml:space="preserve">White develops the Rook to a potentially powerful open file and puts pressure on Black's position, especially on the d-file. </t>
  </si>
  <si>
    <t>white puts the rook on the d-file to put pressure on the pinned knight placced on the d-file</t>
  </si>
  <si>
    <t>This move also helps in controlling the d-file, which can be crucial in exerting influence over Black's position.</t>
  </si>
  <si>
    <t>repeats itself &amp; still fails to mention the pinned knight</t>
  </si>
  <si>
    <t xml:space="preserve">Black attempts to develop the Rook and put it on a relatively safe square, </t>
  </si>
  <si>
    <t xml:space="preserve">a5 is a safe sqaure for the rook </t>
  </si>
  <si>
    <t>The Bishop on d7 is a strong piece that pins the Knight against the King</t>
  </si>
  <si>
    <t>it no longer pins the knight, it just captured it</t>
  </si>
  <si>
    <t xml:space="preserve">gaining a material advantage or a strong initiative. </t>
  </si>
  <si>
    <t>it does gain a material advantage, period. it's trying to not make any clear claims in order to avoid making mistakes</t>
  </si>
  <si>
    <t>Rc1</t>
  </si>
  <si>
    <t xml:space="preserve">The first move in the sequence starts with a check, forcing White's king to move. </t>
  </si>
  <si>
    <t>moving the king is not the only legal move</t>
  </si>
  <si>
    <t>White's king moves to g2, likely to escape the check</t>
  </si>
  <si>
    <t>it is clear it moves to escape te check</t>
  </si>
  <si>
    <t>Nh4+</t>
  </si>
  <si>
    <t>This is a classic example of using a knight fork or simply checking to gain a tempo or create a weakness.</t>
  </si>
  <si>
    <t>it is a simple knight fork and is used to gain material, not a "tempo"</t>
  </si>
  <si>
    <t>The king moves again, trying to avoid the check and possibly prepare for other defensive or counter-attacking measures.</t>
  </si>
  <si>
    <t>king moves because it is forced to</t>
  </si>
  <si>
    <t>not only captures material but also illustrates the concept of removing the defender</t>
  </si>
  <si>
    <t>it only wins material, nothing else</t>
  </si>
  <si>
    <t>a crucial piece that was potentially holding Black's position together</t>
  </si>
  <si>
    <t>the rook was white's, it cannot logicaly hold black's position together</t>
  </si>
  <si>
    <t xml:space="preserve"> likely due to being the most straightforward recapture</t>
  </si>
  <si>
    <t>it is the ONLY possible recapture</t>
  </si>
  <si>
    <t>the alternative captures or moves might not have been more appealing.</t>
  </si>
  <si>
    <t>White recaptures with the king, likely due to being the most straightforward recapture</t>
  </si>
  <si>
    <t>it recaptures to try to reduce black's material advantage</t>
  </si>
  <si>
    <t>notices that Black's Queen is somewhat exposed and can potentially be deflected</t>
  </si>
  <si>
    <t xml:space="preserve">deflection is not present </t>
  </si>
  <si>
    <t>Black is forced to capture the Rook</t>
  </si>
  <si>
    <t>not forced, black has other legal moves</t>
  </si>
  <si>
    <t>as it is a relatively safe capture</t>
  </si>
  <si>
    <t>not a safe capture at all - loses the queen</t>
  </si>
  <si>
    <t>not doing so might allow White to further intensify the pressure</t>
  </si>
  <si>
    <t>not doing so will still lose the queen, he has no option of not losing the queen</t>
  </si>
  <si>
    <t>The Bishop on d4 is well-placed, potentially exerting influence over the diagonal</t>
  </si>
  <si>
    <t>bishop position is not relevant whatsoever</t>
  </si>
  <si>
    <t>This sequence demonstrates a basic tactical procedure where a piece is sacrificed (in this case, the Rook)</t>
  </si>
  <si>
    <t>rook was not sacrificed, it was protected by the bishop</t>
  </si>
  <si>
    <t>The key pattern recognition here involves identifying the potential for a deflection sacrifice</t>
  </si>
  <si>
    <t>completely misses the puzzle theme: trapping the queen</t>
  </si>
  <si>
    <t>The first move is a quiet one</t>
  </si>
  <si>
    <t>it is not quiet, it attacks the queen</t>
  </si>
  <si>
    <t xml:space="preserve">The move f6 prepares to potentially exploit this </t>
  </si>
  <si>
    <t xml:space="preserve">it does not "prepare" to exploit it, it litteraly does exploit it </t>
  </si>
  <si>
    <t xml:space="preserve">The move f6 prepares to potentially exploit this by removing a potential weakness </t>
  </si>
  <si>
    <t>what weakness is it removing??</t>
  </si>
  <si>
    <t>The move f6 prepares to potentially exploit this by slightly improving Black's position.</t>
  </si>
  <si>
    <t>it wins material, so it improves the position decisively</t>
  </si>
  <si>
    <t>White responds by moving their Queen to a more active square</t>
  </si>
  <si>
    <t>f4 is not a more active square</t>
  </si>
  <si>
    <t>potentially preparing to exert more influence over the board</t>
  </si>
  <si>
    <t>the queen move was forced by the attack, it does not prepare for anything</t>
  </si>
  <si>
    <t>However, this move also maintains the Queen's role in defending the c5-Rook.</t>
  </si>
  <si>
    <t>queen on f4 does not defend the rook</t>
  </si>
  <si>
    <t xml:space="preserve">White's Queen, now on f4, is not in a position to immediately recapture due to the pin that would be created against their King. </t>
  </si>
  <si>
    <t>there is no pin.; the queen cannot recapture because it is not a legal move</t>
  </si>
  <si>
    <t>This move demonstrates a basic tactical theme: removing a defender or taking advantage of a piece's limited mobility.</t>
  </si>
  <si>
    <t>removing the defender is correct, put limited mobility not</t>
  </si>
  <si>
    <t>Rd6</t>
  </si>
  <si>
    <t>This move exploits the fact that Black's Queen is not well-supported and is on the same diagonal as the White Rook on d1.</t>
  </si>
  <si>
    <t>same file</t>
  </si>
  <si>
    <t>we are winning the Black Queen, as it's pinned against the King</t>
  </si>
  <si>
    <t>there is no pin</t>
  </si>
  <si>
    <t>after Nf5+, Black's Bishop on f5 will be blocking the f-file</t>
  </si>
  <si>
    <t>it is not blocking the f-file, and it is completely irrelevant too</t>
  </si>
  <si>
    <t>the e6-Bishop is somewhat restricting the d6-square</t>
  </si>
  <si>
    <t>he just said the bishop is on f5 after recapturing, so it cannot be on e6 too</t>
  </si>
  <si>
    <t>bishop has nothing to do with the d6 sqaure</t>
  </si>
  <si>
    <t>ultimately, it's the alignment of the Black Queen with our Rook that we capitalized on.</t>
  </si>
  <si>
    <t>that is true, but it completely misses to explain why the queen capture was not working to begin with &amp; why Nf5 was needed</t>
  </si>
  <si>
    <t>The Queen moves to h3, putting pressure on the h5 pawn</t>
  </si>
  <si>
    <t>there is a bishop on h5</t>
  </si>
  <si>
    <t>setting up potential tactics on the kingside</t>
  </si>
  <si>
    <t>queen is simply doing a double attack</t>
  </si>
  <si>
    <t>This is a typical maneuver to exploit weaknesses on the opponent's position.</t>
  </si>
  <si>
    <t>very vague, what are we exploiting???</t>
  </si>
  <si>
    <t>Rd8</t>
  </si>
  <si>
    <t>Black develops the Rook to d8, potentially supporting the d7 Knight and putting the Rook on an open file.</t>
  </si>
  <si>
    <t>"potentially" ; the rook is in fact protecting the knight on d7 which waas being attacked - it fails to make actual  statementes</t>
  </si>
  <si>
    <t>The final move in the solution involves capturing the pawn on h5</t>
  </si>
  <si>
    <t>bishop on h5!!!</t>
  </si>
  <si>
    <t>This move demonstrates the importance of identifying and targeting opponent's pawn weaknesses.</t>
  </si>
  <si>
    <t>no pawn weaknesses, misses puzzle theme</t>
  </si>
  <si>
    <t>the d4-knight is not just any piece, it's a fork setter potentially</t>
  </si>
  <si>
    <t>??? the d4 square might be a "fork setter" where the bishop can target king &amp; e5 rook, but to refer to the knight is wrong + weird term</t>
  </si>
  <si>
    <t>more importantly, it's undefended</t>
  </si>
  <si>
    <t>it is defended by c3 pawn</t>
  </si>
  <si>
    <t>The first step is identifying undefended or underdefended pieces</t>
  </si>
  <si>
    <t>White is forced to capture, as retreating the knight would lose material</t>
  </si>
  <si>
    <t xml:space="preserve">the knight was just captured, you cannot retreat it </t>
  </si>
  <si>
    <t xml:space="preserve">The bishop on c5 was eyeing the d4 square and the f2 pawn indirectly. </t>
  </si>
  <si>
    <t>no pawn on f2</t>
  </si>
  <si>
    <t xml:space="preserve">By capturing on d4 and checking the king, Black wins material. </t>
  </si>
  <si>
    <t>true, but fails to mention the double attack</t>
  </si>
  <si>
    <t>Rd7 is a good choice as it puts pressure on the White Queen and prepares to potentially use the d-file.</t>
  </si>
  <si>
    <t>attacks white queen, but does not prepare to use the d-file</t>
  </si>
  <si>
    <t>Additionally, it clears the d8 square for other potential uses.</t>
  </si>
  <si>
    <t>completely irrelevant</t>
  </si>
  <si>
    <t>Qxb6</t>
  </si>
  <si>
    <t>White captures a pawn,</t>
  </si>
  <si>
    <t>captures knight</t>
  </si>
  <si>
    <t>this move also illustrates a common tactical pattern where a piece becomes overcommitted</t>
  </si>
  <si>
    <t>the queen will get trapped</t>
  </si>
  <si>
    <t>Recognizing that White's Queen is now on b6 and is somewhat committed</t>
  </si>
  <si>
    <t>makes 0 sense, queen is trapped</t>
  </si>
  <si>
    <t>Black seizes the opportunity to attack it and gain a tempo</t>
  </si>
  <si>
    <t>not only attacks the Queen but also gets the Rook into a relatively safe and active position.</t>
  </si>
  <si>
    <t>Qxa6</t>
  </si>
  <si>
    <t xml:space="preserve">White has to capture the Rook or move the Queen, but moving it would likely lose material or put it in an even worse position. </t>
  </si>
  <si>
    <t>misses to see exactly what happens if white moves the queen</t>
  </si>
  <si>
    <t>So, capturing is the most straightforward choice</t>
  </si>
  <si>
    <t>leads to a material imbalance.</t>
  </si>
  <si>
    <t>lead to material loss, imbalance is not the correct term here</t>
  </si>
  <si>
    <t>It starts a combination that will eventually lead to checkmate</t>
  </si>
  <si>
    <t>correct, but why?? what does the sacrifice achieve??</t>
  </si>
  <si>
    <t>The rook sacrifice is typical in positions where the opponent's king is exposed and there are other pieces that can potentially deliver the checkmate.</t>
  </si>
  <si>
    <t>weird and inaccurate explanation</t>
  </si>
  <si>
    <t>The queen's move is enabled by the previous rook sacrifice.</t>
  </si>
  <si>
    <t>queen move was possible before too</t>
  </si>
  <si>
    <t>Black's Knight can jump to b3 with check, putting White's King in a vulnerable position.</t>
  </si>
  <si>
    <t>correct, but fails to mention that Nb3 is a sacrifice, what is its purpose??</t>
  </si>
  <si>
    <t>Ra1</t>
  </si>
  <si>
    <t>This move is a discovery, as it clears the way for the next move</t>
  </si>
  <si>
    <t>false, the knight sacrifice had the purpose of clearing the a-file, not the rook move</t>
  </si>
  <si>
    <t>aiming to expose it further or gain a strategic advantage</t>
  </si>
  <si>
    <t>which is it??</t>
  </si>
  <si>
    <t>Ne7+ is a check that forces Black to move their rook.</t>
  </si>
  <si>
    <t>he could easily move the king too</t>
  </si>
  <si>
    <t>also, it is more relevant that the rook is attracted away from the 8th rank</t>
  </si>
  <si>
    <t>aims to continue the pressure on Black's position, particularly on their king and the pinned pieces</t>
  </si>
  <si>
    <t>no pins</t>
  </si>
  <si>
    <t>Qa8+ is a check that forces the Black rook to move</t>
  </si>
  <si>
    <t>does not force the rook to move</t>
  </si>
  <si>
    <t>forces the Black rook to move to a potentially vulnerable square or block the check.</t>
  </si>
  <si>
    <t>again makes no sense and fails to make a clear &amp; confident claim</t>
  </si>
  <si>
    <t>Qe8</t>
  </si>
  <si>
    <t>Now, with the Black rook on e8, White can deliver a decisive checkmate or gain a material advantage</t>
  </si>
  <si>
    <t>the queen just captured the rook</t>
  </si>
  <si>
    <t>it is a clear forced checkmate, not "or" needed</t>
  </si>
  <si>
    <t>Qxe8 Rxe8# The final move results in checkmate, ending the game in White's favor</t>
  </si>
  <si>
    <t>fails to see the checkmate variation and hallucinates moves</t>
  </si>
  <si>
    <t>The first move is a check</t>
  </si>
  <si>
    <t>limits Black's options and forces a response</t>
  </si>
  <si>
    <t>forces no response, black could move whatever he wants since g4 is a quiet move</t>
  </si>
  <si>
    <t>It also starts a mating attack.</t>
  </si>
  <si>
    <t xml:space="preserve">yes, but fails to mention that is takes away a vital escape square </t>
  </si>
  <si>
    <t>Black is forced to move the Rook</t>
  </si>
  <si>
    <t>this move blocks the d-file defense for the King</t>
  </si>
  <si>
    <t>this move has nothing to do with the king, but the checkmate was unavoidable</t>
  </si>
  <si>
    <t>delivers the checkmate by utilizing the g-file opened by the g4 pawn push</t>
  </si>
  <si>
    <t>checkmate has nothing to do with the g-file, bishop attacks on diagonal</t>
  </si>
  <si>
    <t>the g-file opened by the g4 pawn push</t>
  </si>
  <si>
    <t>a file is not open if it has a pawn on it,contradicion</t>
  </si>
  <si>
    <t>a typical pattern in mating attacks where a pawn creates a path for a piece to attack the opponent's King.</t>
  </si>
  <si>
    <t>completely misses the puzzle theme: forced checkmate by taking away escape sqaure</t>
  </si>
  <si>
    <t>The first move is Ra4, attacking the bishop on d4.</t>
  </si>
  <si>
    <t>from c4 it was already attacking the bishop</t>
  </si>
  <si>
    <t>By playing Ra4, Black is directly attacking a piece and potentially gaining a material advantage.</t>
  </si>
  <si>
    <t>not the point, the move is putting white in zugzvang</t>
  </si>
  <si>
    <t>1...Rd4 2.Kd4</t>
  </si>
  <si>
    <t>However, after 2. Kxd4, Black would be down a rook for a bishop, which is not the best exchange</t>
  </si>
  <si>
    <t>suggested variation, illegal move</t>
  </si>
  <si>
    <t>White moves the rook to e3, likely trying to defend or develop.</t>
  </si>
  <si>
    <t>fails to see that white has no other moves that do not lose material</t>
  </si>
  <si>
    <t>r2k3r/pp1b1p2/4p1pn/q2pP3/1b5p/1PNB1Q1P/PBP2P2/2KR2R1 w - - 0 20</t>
  </si>
  <si>
    <t>Nd5</t>
  </si>
  <si>
    <t>To evaluate this, we need to consider the potential benefits of opening up the position and exposing Black's king.</t>
  </si>
  <si>
    <t>the point of the sacrifice was not to expose blacks king, but to open up the bishop on b2 &amp; plan for e5</t>
  </si>
  <si>
    <t xml:space="preserve">This pawn push is the key to the combination, aiming to open up the e-file </t>
  </si>
  <si>
    <t>pawn push opens up a1-h8 diagonal, not the e-file. since the pawn is on e6 it is a contradiction to say the e-file is open</t>
  </si>
  <si>
    <t>aiming to create threats against Black's position, particularly the rook on e8</t>
  </si>
  <si>
    <t>rook is on h8, not on e8</t>
  </si>
  <si>
    <t>aiming to create threats against Black's position, particularly the rook on e8 and potentially the king.</t>
  </si>
  <si>
    <t>misses the point: a discovered attack of the h8 rook &amp; direct attack of the d7 bishop</t>
  </si>
  <si>
    <t>exposes Black's king further by forcing it to recapture.</t>
  </si>
  <si>
    <t>black king is not forced to capture</t>
  </si>
  <si>
    <t>Rg7</t>
  </si>
  <si>
    <t>aiming to expose the black king or gain a strategic advantage.</t>
  </si>
  <si>
    <t>again does not make a clear claim regarding the given position</t>
  </si>
  <si>
    <t>Kg7</t>
  </si>
  <si>
    <t>Black is forced to capture the rook to avoid losing more material or being mated.</t>
  </si>
  <si>
    <t>there was no checkmate threat in question + again it is not specific</t>
  </si>
  <si>
    <t xml:space="preserve">This move is a check that forks the king and potentially other pieces or gains a strong initiative. </t>
  </si>
  <si>
    <t xml:space="preserve">does not fork anything, it is a discovered check which attacks the rook too + again it is not specific </t>
  </si>
  <si>
    <t>The pawn on e5 moves to e6, putting pressure on Black's position and preparing to potentially capture important pieces or control key squares.</t>
  </si>
  <si>
    <t>what exactly is he attacking ??</t>
  </si>
  <si>
    <t>Black's position is now likely to be lost or significantly weakened</t>
  </si>
  <si>
    <t>does not give clear position evaluation</t>
  </si>
  <si>
    <t xml:space="preserve">The move exd7 captures a knight </t>
  </si>
  <si>
    <t>captures a rook, not a knight</t>
  </si>
  <si>
    <t>Qa4</t>
  </si>
  <si>
    <t>The Queen move to a4 is particularly strong because it attacks the Black Bishop on c5 indirectly</t>
  </si>
  <si>
    <t>nothing to do with the c5 bishop</t>
  </si>
  <si>
    <t>Qxa5</t>
  </si>
  <si>
    <t xml:space="preserve">This move regains material </t>
  </si>
  <si>
    <t>there was no material to regain</t>
  </si>
  <si>
    <t>The knight on h5 was already putting pressure on the black position,</t>
  </si>
  <si>
    <t>knight was on g5, not h5</t>
  </si>
  <si>
    <t>hxg6</t>
  </si>
  <si>
    <t>It's also a discovered attack on the black king</t>
  </si>
  <si>
    <t>it is double check in this case</t>
  </si>
  <si>
    <t>The queen is moved to h5, putting pressure on the black kingside and preparing to potentially deliver a checkmate</t>
  </si>
  <si>
    <t>no specific claim, it creates a clear checkmate threat on h7, not a potential treath, but a clear threat</t>
  </si>
  <si>
    <t xml:space="preserve">Black notices that White's King is somewhat exposed </t>
  </si>
  <si>
    <t>no specific claim, it is exposed, stuck in the middle of the board &amp; an inavoidable checkmate is being created</t>
  </si>
  <si>
    <t>Black notices that the d5 pawn is a potential weakness</t>
  </si>
  <si>
    <t>d5 pawn is well protected + not relevant</t>
  </si>
  <si>
    <t>The Knight on f7 is somewhat passive</t>
  </si>
  <si>
    <t>knight was on e7, not f7</t>
  </si>
  <si>
    <t xml:space="preserve">Nf5 is a strong move as it puts pressure on the d4 square and potentially prepares to develop other pieces or attack weak points in White's position. </t>
  </si>
  <si>
    <t>it is a strong move because its takes away a key escape square and the checkmate cannot be avoided after that</t>
  </si>
  <si>
    <t>Additionally, it eyes the g3 pawn</t>
  </si>
  <si>
    <t>g3 pawn is not relevant</t>
  </si>
  <si>
    <t xml:space="preserve"> it eyes the g3 pawn, although it's currently defended.</t>
  </si>
  <si>
    <t>g3 pawn is not defended</t>
  </si>
  <si>
    <t xml:space="preserve">White captures a pawn, hoping to gain material advantage, but this move misses the bigger threat that Black is about to unleash. </t>
  </si>
  <si>
    <t>white had nothing better to do actually</t>
  </si>
  <si>
    <t xml:space="preserve"> It's a critical moment where White should have looked for Black's potential threats rather than grabbing a pawn.</t>
  </si>
  <si>
    <t>This move is only possible because of the previous move Nf5, which cleared the path for the pawn to advance.</t>
  </si>
  <si>
    <t>pawn could have moved before nf5 too</t>
  </si>
  <si>
    <t>The checkmate is a result of White's King being on d5</t>
  </si>
  <si>
    <t>white king is on e5</t>
  </si>
  <si>
    <t>This pattern is a classic example of a discovered attack leading to a checkmate</t>
  </si>
  <si>
    <t>completely false, theme was related to taking away an escape square and setting up a mate cage</t>
  </si>
  <si>
    <t>although here it's more about the enabling of a pawn to deliver checkmate by clearing the Knight's path</t>
  </si>
  <si>
    <t>g5</t>
  </si>
  <si>
    <t>The immediate threat is to push g6, potentially creating a strong passed pawn on the g-file if Black's Queen or other pieces get distracted or removed.</t>
  </si>
  <si>
    <t>threat is indeed g6, which uses the fact that the black queen is stuck preventing a checkmate on c7</t>
  </si>
  <si>
    <t xml:space="preserve">Black responds by attacking the White Queen indirectly </t>
  </si>
  <si>
    <t>not attacking the queen</t>
  </si>
  <si>
    <t>potentially preparing to defend against the g6 push by influencing the g2 square</t>
  </si>
  <si>
    <t>though it's not directly relevant here due to the Queen's position.</t>
  </si>
  <si>
    <t>g6</t>
  </si>
  <si>
    <t>White is leveraging the fact that Black's pieces are somewhat misplaced to achieve this.</t>
  </si>
  <si>
    <t>laverages the fact that the black queen is stuck preventing a checkmate on c7</t>
  </si>
  <si>
    <t>Qd7</t>
  </si>
  <si>
    <t>Black moves the Queen to a relatively safer square, potentially preparing to defend against the coming invasion</t>
  </si>
  <si>
    <t>actually the queen still protects c7 while creating a checkamte threat of its own on g4</t>
  </si>
  <si>
    <t>Black moves the Queen to a relatively safer square, potentially preparing to defend against the coming invasion or to capture on g6 if it becomes too threatening.</t>
  </si>
  <si>
    <t>queen on d7 no longer controls g6</t>
  </si>
  <si>
    <t>Qxc7</t>
  </si>
  <si>
    <t xml:space="preserve">This is a critical moment where White sacrifices the Queen to expose Black's King. </t>
  </si>
  <si>
    <t>it's actually just a bishop sacrifice</t>
  </si>
  <si>
    <t>The key insight is that after this sacrifice, White will have a decisive material advantage and a passed pawn.</t>
  </si>
  <si>
    <t>will not have material advantage</t>
  </si>
  <si>
    <t>Bxc7</t>
  </si>
  <si>
    <t xml:space="preserve">Now, White regains material and creates a strong threat against Black's King. </t>
  </si>
  <si>
    <t>nothing to do with black's king</t>
  </si>
  <si>
    <t>The Bishop on c7 is also eyeing the potential promotion square on g3 indirectly</t>
  </si>
  <si>
    <t>??? promotion square on g3??</t>
  </si>
  <si>
    <t xml:space="preserve">is a strong piece controlling the c7 square, </t>
  </si>
  <si>
    <t>if the bishop is on c7, it does not actually protect itself</t>
  </si>
  <si>
    <t>is a strong piece controlling the c7 square, confining Black's King.</t>
  </si>
  <si>
    <t>the bishop does nothing to blacks king</t>
  </si>
  <si>
    <t>Kxc7</t>
  </si>
  <si>
    <t>Again, forced, as Black must recapture.</t>
  </si>
  <si>
    <t>does not have to recapture, other moves are possible</t>
  </si>
  <si>
    <t>Qwen 3.5 397B A17B</t>
  </si>
  <si>
    <t xml:space="preserve">Ask yourself: What is the value of this sacrifice? </t>
  </si>
  <si>
    <t>it is not a sacrifice, bishop is protected through x-ray</t>
  </si>
  <si>
    <t>We are giving up a Bishop for a pawn</t>
  </si>
  <si>
    <t>bishop is protected, you are not giving it up</t>
  </si>
  <si>
    <t xml:space="preserve"> This is a 'Deflection' tactic</t>
  </si>
  <si>
    <t>the main theme of the puzzle is x-ray</t>
  </si>
  <si>
    <t>Forced. White must recapture to avoid losing material or facing a dangerous attack</t>
  </si>
  <si>
    <t>white loses material either way</t>
  </si>
  <si>
    <t>Previously, the Queen on d4 was blocking your Queen's line of sight from b6 to e3.</t>
  </si>
  <si>
    <t>not really, queen was still controlling e3 thorugh x-ray</t>
  </si>
  <si>
    <t>2.Rh1</t>
  </si>
  <si>
    <t>If the King tries to escape, you have still won a pawn and disrupted White's coordination</t>
  </si>
  <si>
    <t>if king moves you just win the queen anyways</t>
  </si>
  <si>
    <t>2...Qxd4??</t>
  </si>
  <si>
    <t>Now you win the Queen anyway, as the Bishop on e3 controls important squares</t>
  </si>
  <si>
    <t>subvariation blunder, should have been Bxd4</t>
  </si>
  <si>
    <t xml:space="preserve"> Because the White Queen was forced to move to e3</t>
  </si>
  <si>
    <t>not forced</t>
  </si>
  <si>
    <t>This is a classic example of an 'Overworked Piece'—the White Queen was trying to defend e3 and block the diagonal simultaneously</t>
  </si>
  <si>
    <t>not the theme of the puzzle + does not really make sense</t>
  </si>
  <si>
    <t xml:space="preserve"> If we take, Black recaptures with the e6 pawn</t>
  </si>
  <si>
    <t>black could capture with the queen too</t>
  </si>
  <si>
    <t xml:space="preserve"> This pawn push attacks the bishop on d7 and threatens to open lines directly to the Black King.</t>
  </si>
  <si>
    <t xml:space="preserve">first part correct, but fails to see the discovered attack </t>
  </si>
  <si>
    <t>Black attempts to defend against the advancing pawn and the opening lines.</t>
  </si>
  <si>
    <t>black choses to save the rook over the bishop on d7; does not explain why black did not move the bishop</t>
  </si>
  <si>
    <t>White has transformed a positional advantage into a material win</t>
  </si>
  <si>
    <t>white is a pawn down, sacrifice was not for material gain</t>
  </si>
  <si>
    <t>Declining the sacrifice would leave Black down a pawn with a shattered king position.</t>
  </si>
  <si>
    <t>would leave black down 2 pawns</t>
  </si>
  <si>
    <t>The King must move out of check. There is no way to block the Bishop's line.</t>
  </si>
  <si>
    <t xml:space="preserve">there were several other blocking options </t>
  </si>
  <si>
    <t>Black's Bishop on d7 is defended by the Knight on d8</t>
  </si>
  <si>
    <t>knight does not protect the bishop</t>
  </si>
  <si>
    <t>Nd7</t>
  </si>
  <si>
    <t xml:space="preserve"> This is practically forced; otherwise, Black is simply down a piece.</t>
  </si>
  <si>
    <t>black would be down a pawn</t>
  </si>
  <si>
    <t>notice where the Knight lands: directly in front of its own King on e8</t>
  </si>
  <si>
    <t>d7 is not in front of e7</t>
  </si>
  <si>
    <t>A quiet move that delivers a thunderbolt</t>
  </si>
  <si>
    <t>not quiet, attacks d7 knight</t>
  </si>
  <si>
    <t>look at the diagonal and file alignment: White Rook on d1, Black Knight on d7, Black King on e8. This is an Absolute Pin</t>
  </si>
  <si>
    <t>there is an abolute pin,  but done by the b5 bishop, not by the d1 rook</t>
  </si>
  <si>
    <t>When you have a calculated winning sequence, do not be distracted by threats that do not deliver immediate checkmate</t>
  </si>
  <si>
    <t>weird general advice that is not always true</t>
  </si>
  <si>
    <t>We gave up a Rook (5 points) but won a Bishop (3 points) and a Knight (3 points). Net gain: +3 points (a full minor piece)</t>
  </si>
  <si>
    <t>gain from sacrifice is +1 point</t>
  </si>
  <si>
    <t xml:space="preserve">Forced. The King must escape the check. </t>
  </si>
  <si>
    <t>blocking is also possible</t>
  </si>
  <si>
    <t>Moving to h2 would allow similar tactics</t>
  </si>
  <si>
    <t>Kh2 is illegal</t>
  </si>
  <si>
    <t>Kf3</t>
  </si>
  <si>
    <t>Black is now up a full exchange (Rook vs Knight</t>
  </si>
  <si>
    <t>rook vs knight + pawn</t>
  </si>
  <si>
    <t xml:space="preserve">This is a classic 'Decoy Sacrifice' setup. </t>
  </si>
  <si>
    <t>there is no sacrifice, the rook is protected by the bishop</t>
  </si>
  <si>
    <t xml:space="preserve"> We voluntarily offer the Rook to lure the Queen onto a square where she becomes vulnerable to the Bishop.</t>
  </si>
  <si>
    <t>misses the point - the queen is trapped</t>
  </si>
  <si>
    <t xml:space="preserve"> In tactical puzzles, when an opponent captures a piece, you must have a specific reason for allowing it</t>
  </si>
  <si>
    <t>true, but completely irrelevant here, the rook was always protected</t>
  </si>
  <si>
    <t xml:space="preserve"> Black wins a Rook temporarily, but fails to see the follow-up.</t>
  </si>
  <si>
    <t>misses the point - the queen is trapped, she'd be lost anyways</t>
  </si>
  <si>
    <t>This pattern of 'Lure and Capture' is a fundamental tactical motif.</t>
  </si>
  <si>
    <t>misses puzzle theme completely</t>
  </si>
  <si>
    <t xml:space="preserve">This is a classic 'Overloaded Defender' pattern. </t>
  </si>
  <si>
    <t>queen is not overloaded, but if attacked she cannot protect the rook from a different square</t>
  </si>
  <si>
    <t>Always check if a piece is overworked before committing to a capture.</t>
  </si>
  <si>
    <t>weird general advice</t>
  </si>
  <si>
    <t>In tactics, we often give up material to force a specific response or to remove a key defender. This move disrupts Black's coordination and demands an immediate reply.</t>
  </si>
  <si>
    <t>overall true, but fails to mention why the sacrifice is needed in the current position</t>
  </si>
  <si>
    <t>Bxf5</t>
  </si>
  <si>
    <t>Black is compelled to capture the checking piece. This is a 'forced move.'</t>
  </si>
  <si>
    <t xml:space="preserve">not forced </t>
  </si>
  <si>
    <t>Now the purpose of the sacrifice becomes clear. We win the Queen.</t>
  </si>
  <si>
    <t>fails to mention why we did not capture the queen to begin with</t>
  </si>
  <si>
    <t xml:space="preserve"> We have exchanged a minor piece (3 points) for a major piece (9 points), securing a decisive material advantage</t>
  </si>
  <si>
    <t>black will capture our rook too in the next move</t>
  </si>
  <si>
    <t>However, before grabbing it, we must ensure there are no hidden defenses or counter-attacks</t>
  </si>
  <si>
    <t>before grabbing it it has to be attacked</t>
  </si>
  <si>
    <t>The move Bxd7 serves two purposes. First, it removes a black Knight that could potentially create counterplay or defend key squares</t>
  </si>
  <si>
    <t>Bd7 is clearing the h3 sqaure for the queen</t>
  </si>
  <si>
    <t>Here, maintaining material balance is Black's priority, but this recapture keeps the Knight on a dark square</t>
  </si>
  <si>
    <t>d7 is a light square</t>
  </si>
  <si>
    <t>away from defending the h5 Bishop.</t>
  </si>
  <si>
    <t>the knight has nothing to do with the bishop, completely misses the point of the first move Bxd7</t>
  </si>
  <si>
    <t xml:space="preserve">Now we prepare the final blow. You might wonder, "Why not play Qxh5 immediately?" </t>
  </si>
  <si>
    <t>because you cannot go from g2 to h5 dirrectly, the clearance of h3 was needed</t>
  </si>
  <si>
    <t>while ensuring the Queen itself is safe from any sudden knight forks or discovered attacks.</t>
  </si>
  <si>
    <t>This is a classic example of "preparation" in tactics.</t>
  </si>
  <si>
    <t xml:space="preserve">not the theme of the puzzle </t>
  </si>
  <si>
    <t>Black tries to activate the Rook and create pressure on the d-file. This is a logical defensive try, hoping to distract White or create counter-threats</t>
  </si>
  <si>
    <t>fails to see qh3 was a double attack &amp; Rad8 is protecting the knight</t>
  </si>
  <si>
    <t>in tactical puzzles, always prioritize immediate material gains over passive defense unless there is a mate threat.</t>
  </si>
  <si>
    <t>irrelevant general advice</t>
  </si>
  <si>
    <t>The Black Bishop on h5 was the target all along</t>
  </si>
  <si>
    <t>is was not the only target</t>
  </si>
  <si>
    <t>By removing the Knight on d7 first and positioning the Queen safely, we have ensured that this capture wins clean material.</t>
  </si>
  <si>
    <t xml:space="preserve">again, fails to mention the double attack </t>
  </si>
  <si>
    <t>White is now up a piece (Bishop for Knight + Bishop).</t>
  </si>
  <si>
    <t>weird phrasing, white is up a full knight</t>
  </si>
  <si>
    <t>We sacrifice the Exchange (Rook for Knight) to open the line for a stronger attack</t>
  </si>
  <si>
    <t>not specific enough</t>
  </si>
  <si>
    <t>Forced Response: White recaptures to avoid losing material immediately.</t>
  </si>
  <si>
    <t>Here, the pawn moves from c3 to d4, which inadvertently clears the c3 square</t>
  </si>
  <si>
    <t>the point is the pawn is no longer attacking the d4 square after the capture; c3 is completely irrelevant</t>
  </si>
  <si>
    <t xml:space="preserve">Even though we sacrificed material, the active Bishop and exposed enemy King create threats that will win back the material or lead to a decisive attack. </t>
  </si>
  <si>
    <t>fails to see Bd4 win the rook on e5 in the next move, not specific</t>
  </si>
  <si>
    <t xml:space="preserve"> This is more effective than capturing immediately or making a quiet move.</t>
  </si>
  <si>
    <t>capturing immediately was not possible</t>
  </si>
  <si>
    <t>Consider alternative defenses: If 1... c6, then 2. Qxa5 wins the knight anyway</t>
  </si>
  <si>
    <t>false, Qxa5 would lose the queen</t>
  </si>
  <si>
    <t>If 1... Nc6, then 2. Qxc6+ wins the knight with check</t>
  </si>
  <si>
    <t>false, Qxc6 would lose the queen</t>
  </si>
  <si>
    <t>Because the previous move was a check, Black was forced to react to the threat against their King, leaving them no time to protect the Knight.</t>
  </si>
  <si>
    <t>fails to correctly identify why other blocking moves do not work</t>
  </si>
  <si>
    <t>Today we focus on recognizing when the opponent's most powerful piece, the Queen, is overextended.</t>
  </si>
  <si>
    <t>"overextended" refers to pawns, not to a queen</t>
  </si>
  <si>
    <t>Do not fear moving a rook in front of your own king if it serves a concrete tactical purpose.</t>
  </si>
  <si>
    <t>?moves the rook in front of the queen, not the king, to protect her + weird advice</t>
  </si>
  <si>
    <t>White decides to grab material. This is a natural reaction;</t>
  </si>
  <si>
    <t>fails to point out why moving somewhere else does not work</t>
  </si>
  <si>
    <t>Here, Ra6 attacks the Queen again. Notice how the Queen has very few safe squares</t>
  </si>
  <si>
    <t>queen has no safe square at all</t>
  </si>
  <si>
    <t>White feels compelled to take the Rook to avoid losing the Queen for nothing</t>
  </si>
  <si>
    <t>white would lose the queen anyways</t>
  </si>
  <si>
    <t>Black has a safe King and a passed pawn on the a-file</t>
  </si>
  <si>
    <t>the pawns are not passes pawns on the a-file</t>
  </si>
  <si>
    <t xml:space="preserve"> Eliminating a dangerous attacker is often worth a small material concession.</t>
  </si>
  <si>
    <t>in this case we did not lose material, we are up 2 points</t>
  </si>
  <si>
    <t>We use a Deflection Sacrifice</t>
  </si>
  <si>
    <t xml:space="preserve">it is not a sacrifice, the point is to gain control over the c8 square </t>
  </si>
  <si>
    <t>We sacrifice the Rook to lure the Black Rook to c8,</t>
  </si>
  <si>
    <t>again, not a sacrifice</t>
  </si>
  <si>
    <t xml:space="preserve"> If the King moves instead (1... Ke7), White wins material decisively with 2. Nxc8+</t>
  </si>
  <si>
    <t>Ke7 is illegal</t>
  </si>
  <si>
    <t>Black is practically forced to take</t>
  </si>
  <si>
    <t>not forced, fails to identify Rd8 blocking &amp; mention why it would not help black</t>
  </si>
  <si>
    <t>Ke7</t>
  </si>
  <si>
    <t>There are no other safe squares. f7 is covered by our Knight,</t>
  </si>
  <si>
    <t>f7 has a black pawn on it</t>
  </si>
  <si>
    <t xml:space="preserve">The King cannot take the Knight because the Queen on h8 protects c8. </t>
  </si>
  <si>
    <t>king is too far away</t>
  </si>
  <si>
    <t>While declining might seem an option, in puzzle scenarios, assume the opponent makes the move that requires your plan to be precise</t>
  </si>
  <si>
    <t>white is forced to capture</t>
  </si>
  <si>
    <t>Notice how the White King is trapped by his own pieces and the edge of the board.</t>
  </si>
  <si>
    <t>we are attacking the c2 &amp; d2 squares, those are not blocked by white pieces</t>
  </si>
  <si>
    <t>Nb1</t>
  </si>
  <si>
    <t xml:space="preserve"> but this moves the defender away from its optimal square</t>
  </si>
  <si>
    <t>irrelevant comment</t>
  </si>
  <si>
    <t>Rxb1</t>
  </si>
  <si>
    <t>This is a beautiful example of 'Removing the Guard'. The Knight on c3 was defending b1.</t>
  </si>
  <si>
    <t>not removing the defender</t>
  </si>
  <si>
    <t>If Black declines, White has a crushing attack with a free piece.</t>
  </si>
  <si>
    <t>white has a pawn &amp; could capture an exchange in the next move- but not a free piece</t>
  </si>
  <si>
    <t xml:space="preserve"> By opening the h-file and g-file,</t>
  </si>
  <si>
    <t>g-file is not open</t>
  </si>
  <si>
    <t>we activate our Rooks and Queen</t>
  </si>
  <si>
    <t>we only activate the rook on h1 &amp; the queen</t>
  </si>
  <si>
    <t>Notice how the Queen, Bishop, and pawns all work together.</t>
  </si>
  <si>
    <t>there is only the pawn on g6 that contributes to the attack</t>
  </si>
  <si>
    <t>A desperate defense to block the Queen's path</t>
  </si>
  <si>
    <t>does not block queen's path, it creates an escape sqaure</t>
  </si>
  <si>
    <t xml:space="preserve"> but it weakens the dark squares around the King further.</t>
  </si>
  <si>
    <t>nothing to do with the dark squares</t>
  </si>
  <si>
    <t>The threat is renewed</t>
  </si>
  <si>
    <t>Qh7 threat is not renewed, new threath is Rh8</t>
  </si>
  <si>
    <t>Trying to create an escape square or block</t>
  </si>
  <si>
    <t>simply attacks the queen</t>
  </si>
  <si>
    <t>Deflection Sacrifice: This is the key learning point. We sacrifice the Rook to drag the King to a fatal square</t>
  </si>
  <si>
    <t>not defection, but attraction</t>
  </si>
  <si>
    <t>If Black declines with 1... Kh8, then 2. Qa8 wins material or mates</t>
  </si>
  <si>
    <t>2.Qa8 is a blunder</t>
  </si>
  <si>
    <t>By taking, Black loses control of the critical e8 square.</t>
  </si>
  <si>
    <t>e8 square is controlled by the black rook if he captures the knight, but the 8th rank is no longer defended</t>
  </si>
  <si>
    <t>Rxe7</t>
  </si>
  <si>
    <t xml:space="preserve">Forced. </t>
  </si>
  <si>
    <t>false, not forced</t>
  </si>
  <si>
    <t>Notice how the Queen utilizes the open lines to target the back rank</t>
  </si>
  <si>
    <t>utilizez open diagonal</t>
  </si>
  <si>
    <t>Black has no choice but to block.</t>
  </si>
  <si>
    <t>other blocking options are available too</t>
  </si>
  <si>
    <t xml:space="preserve"> The rook returns to e8, but now it is unprotected and overloaded.</t>
  </si>
  <si>
    <t>it is just unprotected</t>
  </si>
  <si>
    <t xml:space="preserve"> the Black King on f4 is exposed and active, which is often a weakness</t>
  </si>
  <si>
    <t>is exposed and trapped in the center, being active is not often a weakness</t>
  </si>
  <si>
    <t>The move g4 is a key prophylactic move: it restricts the King's escape squares, specifically controlling f5 and h5, while simultaneously preparing a line for our Bishop to enter the attack</t>
  </si>
  <si>
    <t>notices escape square correctly!! , but g4 opens no line for the bishop</t>
  </si>
  <si>
    <t>The Black King has no escape: e4 is covered by our Rook on e2,</t>
  </si>
  <si>
    <t>e4 is covered by our pawn on f3, not the rook as there is a black pawn on e3</t>
  </si>
  <si>
    <t>Today we focus on the concept of the "Overworked Piece</t>
  </si>
  <si>
    <t>not the theme, zugzwang is</t>
  </si>
  <si>
    <t>Our goal is to overload this piece, forcing it to abandon one duty to fulfill another.</t>
  </si>
  <si>
    <t xml:space="preserve">At first glance, your Rook on c4 is under attack by the White Bishop on d4. </t>
  </si>
  <si>
    <t>he White Rook on e4 has two jobs:It controls the f4 square, preventing immediate mating threats against the White King on f3.</t>
  </si>
  <si>
    <t>completely false</t>
  </si>
  <si>
    <t>We move our Rook out of the Bishop's attack safely.</t>
  </si>
  <si>
    <t>bishop was not attacking the rook</t>
  </si>
  <si>
    <t>We prepare a deadly threat: ...Rf4#</t>
  </si>
  <si>
    <t xml:space="preserve">The White King is cramped </t>
  </si>
  <si>
    <t>This is a &lt;b&gt;Deflection&lt;/b&gt; tactic. We are not attacking the piece we want to win yet; we are attacking the King to force the defender away</t>
  </si>
  <si>
    <t>The threat of ...Rf4# is severe. White must address the King's safety</t>
  </si>
  <si>
    <t>non existing threat, white is actually in zugzwang</t>
  </si>
  <si>
    <t>White plays &lt;b&gt;2. Re3&lt;/b&gt;, attempting to block escape squares or defend against the mate threat</t>
  </si>
  <si>
    <t>It was &lt;b&gt;Overworked&lt;/b&gt;. It could not stop the mate threat and defend the Bishop simultaneously.</t>
  </si>
  <si>
    <t>When you see a piece defending two important squares, ask yourself: "Can I make it choose?"</t>
  </si>
  <si>
    <t>good advice, but not applicable here</t>
  </si>
  <si>
    <t>Summary of the Pattern:&lt;/b&gt;
1. &lt;b&gt;Spot the Overworked Piece:&lt;/b&gt; The Rook on e4 was doing too much.
2. &lt;b&gt;Create a Competing Threat:&lt;/b&gt; The mate threat on f4 was more urgent than defending the Bishop.</t>
  </si>
  <si>
    <t>worst hallucination so far, completely misses everything</t>
  </si>
  <si>
    <t>Bxa5</t>
  </si>
  <si>
    <t>White captures a pawn, ignoring the looming threat. This is a common defensive error—focusing on material when survival is at stake.</t>
  </si>
  <si>
    <t>white cannot avoid mate</t>
  </si>
  <si>
    <t>f6#</t>
  </si>
  <si>
    <t>e6 is blocked by the Black pawn.</t>
  </si>
  <si>
    <t>it is blocked, but the reason the king cannot capture is the rook on b6</t>
  </si>
  <si>
    <t>Black attempts to create counterplay or obstruct our plan</t>
  </si>
  <si>
    <t>The threat is now gxh7, creating a dangerous passed pawn. Black must react to this immediate danger.</t>
  </si>
  <si>
    <t>threat is to take black's queen on f7</t>
  </si>
  <si>
    <t>Black defends the c7 pawn indirectly</t>
  </si>
  <si>
    <t>defends it directly + threatens checkmate</t>
  </si>
  <si>
    <t xml:space="preserve"> This is a logical defensive move, but it leaves the c7 pawn vulnerable to a tactical shot.</t>
  </si>
  <si>
    <t>the queen defends the pawn, so this is not the reason why Qc7 works in the next move</t>
  </si>
  <si>
    <t>3...Qxc7</t>
  </si>
  <si>
    <t>Forced. If Black declines the exchange, they lose material without compensation.</t>
  </si>
  <si>
    <t>actually it is the only legal move</t>
  </si>
  <si>
    <t xml:space="preserve">We remove the next defender. </t>
  </si>
  <si>
    <t>weird phrasing, you are recapturing the queen</t>
  </si>
  <si>
    <t>We are transitioning into a pure pawn endgame where our h-pawn will decide the game.</t>
  </si>
  <si>
    <t>hxg7</t>
  </si>
  <si>
    <t>Can Black stop the pawn? No. The Black King is on c7. It would take 4 moves to reach h8 (Kd7, Ke7, Kf7, Kg7)</t>
  </si>
  <si>
    <t>it would take 4 moves to reach the pawn, not h8 + fails to mention the bishop cannot stop the pawn either</t>
  </si>
  <si>
    <t>GPT 5.4</t>
  </si>
  <si>
    <t>1... Be3+</t>
  </si>
  <si>
    <t>A classic forcing idea</t>
  </si>
  <si>
    <t>Not sure if it refers to Be3 being forced or the fact that Be3 is forcing white to lose the queen. Maybe just unclarity in explanations</t>
  </si>
  <si>
    <t>3rk2r/pp3p1p/1q2p1pb/3p4/3Q4/P1N1PB1P/1PP3P1/1R1R2K1 b k - 0 2</t>
  </si>
  <si>
    <t>Black begins with a sacrifice</t>
  </si>
  <si>
    <t>Be3 is capturing a pawn. There is no sacrifice here.</t>
  </si>
  <si>
    <t>3rk2r/pp3p1p/1q2p1pb/3p4/3Q4/P1N1PB1P/1PP3P1/1R1R2K1 b k - 0 3</t>
  </si>
  <si>
    <t>to deflect White's queen from d4</t>
  </si>
  <si>
    <t>The goal is not to deflect the queen, it's just to make a double attack on the queen and king</t>
  </si>
  <si>
    <t>3rk2r/pp3p1p/1q2p1pb/3p4/3Q4/P1N1PB1P/1PP3P1/1R1R2K1 b k - 0 4</t>
  </si>
  <si>
    <t>The deeper point is that the white queen on d4 is overloaded: she helps control key squares and also stands in the line of Black's queen</t>
  </si>
  <si>
    <t>Overloading means when the queen is having more active roles. In this case, the geometry of the position is the weaknees, not the overloading</t>
  </si>
  <si>
    <t>3rk2r/pp3p1p/1q2p1pb/3p4/3Q4/P1N1PB1P/1PP3P1/1R1R2K1 b k - 0 5</t>
  </si>
  <si>
    <t>By removing or deflecting her, Black can simplify into a winning tactical sequence.</t>
  </si>
  <si>
    <t>The goal is not to remove or deflect the queen for some other purpose, the goal is to capture the queen itself.</t>
  </si>
  <si>
    <t>3rk2r/pp3p1p/1q2p1pb/3p4/3Q4/P1N1PB1P/1PP3P1/1R1R2K1 b k - 0 6</t>
  </si>
  <si>
    <t>2. Qxe3</t>
  </si>
  <si>
    <t>Forced.</t>
  </si>
  <si>
    <t>The move is not forced by any means. Indeed it's the move that provides the least damage, but not a forced move by the classic definition</t>
  </si>
  <si>
    <t>3rk2r/pp3p1p/1q2p1pb/3p4/3Q4/P1N1PB1P/1PP3P1/1R1R2K1 b k - 0 7</t>
  </si>
  <si>
    <t>capturing the bishop is the most natural response</t>
  </si>
  <si>
    <t>Natural should refer to something else. Here, capturing the bishop is the lesser evil.</t>
  </si>
  <si>
    <t>1. Nxd5</t>
  </si>
  <si>
    <t>White removes the defender on d5 and opens the e-file/e6 square for the advanced pawn</t>
  </si>
  <si>
    <t>Not for the advanced pawn. This is used to open the diagonal for the bishop on b2</t>
  </si>
  <si>
    <t>In puzzles, when you have a pawn already on the 5th rank close to promotion, always ask: can I clear its path by sacrifice?</t>
  </si>
  <si>
    <t>You don't always want to clear a path with sacrifice for an advanced pawn</t>
  </si>
  <si>
    <t>2. e6!</t>
  </si>
  <si>
    <t>White does not rush to win material elsewhere</t>
  </si>
  <si>
    <t>No option for White to win material elsewhere</t>
  </si>
  <si>
    <t>Advanced pawns on the 6th rank are often worth a piece in tactical terms because they tie down the enemy king and pieces.</t>
  </si>
  <si>
    <t>True general statement, but not the point of the position. The pawn is sacrificed to open the diagonal for the bishop on b2</t>
  </si>
  <si>
    <t>2...Re8</t>
  </si>
  <si>
    <t>placing a rook behind the pawn and trying to stop promotion</t>
  </si>
  <si>
    <t>Promotion is not the real threat, the hanging rook was.</t>
  </si>
  <si>
    <t>3. exd7</t>
  </si>
  <si>
    <t>a pawn breakthrough that transforms from a promotion threat into a forcing capture</t>
  </si>
  <si>
    <t>Promotion is not a real threat</t>
  </si>
  <si>
    <t>3... Kxd7</t>
  </si>
  <si>
    <t>Black must take</t>
  </si>
  <si>
    <t>Black doesn't have to take</t>
  </si>
  <si>
    <t>The combination ends with White having disrupted Black's king position and won significant central material</t>
  </si>
  <si>
    <t>Not significat central material. It was a fair trade</t>
  </si>
  <si>
    <t>convert when the defense is overloaded.</t>
  </si>
  <si>
    <t>No overloading on this specific position</t>
  </si>
  <si>
    <t>1. Rxg7</t>
  </si>
  <si>
    <t>White notices that the black king is short of defenders</t>
  </si>
  <si>
    <t>Black King is no real danger, as the queens are off the board</t>
  </si>
  <si>
    <t>the pawn on e5 is very close to promotion</t>
  </si>
  <si>
    <t>Pawn on e5 is far from promotion</t>
  </si>
  <si>
    <t>when you have an advanced passed pawn, you should look for ways to remove the blockaders or distract the king</t>
  </si>
  <si>
    <t>No general truth in this</t>
  </si>
  <si>
    <t>he rook gives itself up on g7 to drag the king away and clear the path for a forcing pawn advance.</t>
  </si>
  <si>
    <t>No forcing pawn advance is present</t>
  </si>
  <si>
    <t>After the capture, however, the black king is lured onto a vulnerable square and the e-pawn can move with tempo.</t>
  </si>
  <si>
    <t>Vulnerable means in this context in danger of a checkmate, which is not the case</t>
  </si>
  <si>
    <t>2.e6+</t>
  </si>
  <si>
    <t>The pawn advances with check, gaining time</t>
  </si>
  <si>
    <t>Gaining time is not a valid reasoning, as it is not a win of a tempo</t>
  </si>
  <si>
    <t>1. Rxd7</t>
  </si>
  <si>
    <t>to rip open the 7th rank</t>
  </si>
  <si>
    <t>The 7th rank is not opened by this move</t>
  </si>
  <si>
    <t>vulnerable coordination of Black's king and pieces</t>
  </si>
  <si>
    <t>too general, without specific explanation of the position</t>
  </si>
  <si>
    <t>knight onto d7, where it will interfere with Black's own pieces.</t>
  </si>
  <si>
    <t>Knight doesn't interfere with the Black's own pieces</t>
  </si>
  <si>
    <t>2. Rd1</t>
  </si>
  <si>
    <t>A very instructive quiet move</t>
  </si>
  <si>
    <t>Not in the definition of a quiet move</t>
  </si>
  <si>
    <t>2... Ra5</t>
  </si>
  <si>
    <t>overloaded knight on d7</t>
  </si>
  <si>
    <t>knight is not overloaded</t>
  </si>
  <si>
    <t>2..Nh4+</t>
  </si>
  <si>
    <t>intermediate check</t>
  </si>
  <si>
    <t>Not an intermediate check</t>
  </si>
  <si>
    <t>3. Kg3</t>
  </si>
  <si>
    <t>Again forced</t>
  </si>
  <si>
    <t>Not forced</t>
  </si>
  <si>
    <t>1. Rd4</t>
  </si>
  <si>
    <t>A classic clearance and decoy sacrifice</t>
  </si>
  <si>
    <t>No clearance or decoy sacrifice here</t>
  </si>
  <si>
    <t>2. Bxd3</t>
  </si>
  <si>
    <t>The pattern to remember is: sacrifice on a square</t>
  </si>
  <si>
    <t>No sacrifice here</t>
  </si>
  <si>
    <t>1...f6</t>
  </si>
  <si>
    <t>A strong tactical-defensive move</t>
  </si>
  <si>
    <t>Not a defensive move</t>
  </si>
  <si>
    <t>2... Rxd3</t>
  </si>
  <si>
    <t>with strong play</t>
  </si>
  <si>
    <t>this move is a blunder, losing a rook, not a strong play</t>
  </si>
  <si>
    <t>2...Qxc5</t>
  </si>
  <si>
    <t>still works because the rook on c5 is insufficiently protected and Black's queen becomes very active.</t>
  </si>
  <si>
    <t>The rook is protected in this line</t>
  </si>
  <si>
    <t>2.Qf4</t>
  </si>
  <si>
    <t>White keeps the queen active and maintains pressur</t>
  </si>
  <si>
    <t>no pressure here</t>
  </si>
  <si>
    <t>1.Nf5+</t>
  </si>
  <si>
    <t>the bishop on b4 controls key squares</t>
  </si>
  <si>
    <t>no key squares controlled by the bishop</t>
  </si>
  <si>
    <t>1.Bxd7</t>
  </si>
  <si>
    <t>A typical tactical sacrifice</t>
  </si>
  <si>
    <t>not a sacrifice</t>
  </si>
  <si>
    <t>interferes with Black's coordination around the dark squares near the king</t>
  </si>
  <si>
    <t>no interference with the dark squares near the king</t>
  </si>
  <si>
    <t>Here White's queen on g2 and bishop on h3 are ready to create threats against h7 and h5.</t>
  </si>
  <si>
    <t>No threats on h7</t>
  </si>
  <si>
    <t>1...Nxd7</t>
  </si>
  <si>
    <t>Now the knight on d7 is dragged onto a square where it no longer helps protect the kingside efficientl</t>
  </si>
  <si>
    <t>The knight wasn't defending the king</t>
  </si>
  <si>
    <t>1.. Nxd7</t>
  </si>
  <si>
    <t>the rook on a8 remains far from the defense.</t>
  </si>
  <si>
    <t>The rook wasn't not close to the defence previously</t>
  </si>
  <si>
    <t>2. Qh3</t>
  </si>
  <si>
    <t>this move creates a direct threat on h5 and h7</t>
  </si>
  <si>
    <t>bringing the queen and bishop into a dangerous battery toward the black king.</t>
  </si>
  <si>
    <t>no battery</t>
  </si>
  <si>
    <t>The queen lift to h3 is a common mating/attacking motif: the queen swings to the h-file to attack weakened dark squares.</t>
  </si>
  <si>
    <t>No weakened dark squares are attacked</t>
  </si>
  <si>
    <t>2... Rad8</t>
  </si>
  <si>
    <t>the king lacks shelter.</t>
  </si>
  <si>
    <t>The king has shelter</t>
  </si>
  <si>
    <t>3. Qxh5</t>
  </si>
  <si>
    <t>after the preparatory sacrifice</t>
  </si>
  <si>
    <t>No sacrifice was made</t>
  </si>
  <si>
    <t>1... Rxd4</t>
  </si>
  <si>
    <t>A classic clearance and deflection sacrifice</t>
  </si>
  <si>
    <t>No deflection</t>
  </si>
  <si>
    <t>2... Bxd4+</t>
  </si>
  <si>
    <t>Now the point is revealed. The bishop enters with check, using the diagonal that was opened by the exchange on d4.</t>
  </si>
  <si>
    <t>No mention of the double attack of the rook on e5</t>
  </si>
  <si>
    <t>when a sacrifice is followed by a forcing check, that is a strong sign the combination is sound.</t>
  </si>
  <si>
    <t>Not always true</t>
  </si>
  <si>
    <t>3.Qxa5</t>
  </si>
  <si>
    <t>the bishop on d7 cannot recapture because the bishop moved only to block the check and does not control a4 or a5 in a way that changes this outcome.</t>
  </si>
  <si>
    <t>The bishop on d7 cannot capture on a5 due to geometric reasons</t>
  </si>
  <si>
    <t>1...Rd7</t>
  </si>
  <si>
    <t>the white queen on c7 is very active but also overloaded</t>
  </si>
  <si>
    <t>The queen is not overloaded</t>
  </si>
  <si>
    <t>while the bishop on a4 attacks d1</t>
  </si>
  <si>
    <t>No white piece is on d1</t>
  </si>
  <si>
    <t>2.Qc5</t>
  </si>
  <si>
    <t>would avoid the immediate trap, though Black keeps strong pressure.</t>
  </si>
  <si>
    <t>here the queen is hanging, the model doesn't mention this</t>
  </si>
  <si>
    <t>2.Qd8</t>
  </si>
  <si>
    <t>is impossible because the queen on c7 does not control d8</t>
  </si>
  <si>
    <t>The move is possible, but loses the queen</t>
  </si>
  <si>
    <t>2...Ra6</t>
  </si>
  <si>
    <t>the queen on b6 has very few safe squares</t>
  </si>
  <si>
    <t>The queen has no safe squares</t>
  </si>
  <si>
    <t>1. Rc8</t>
  </si>
  <si>
    <t>lears the path for the queen's decisive entry.</t>
  </si>
  <si>
    <t>No path was cleared for the queen</t>
  </si>
  <si>
    <t>1... Rxc8</t>
  </si>
  <si>
    <t>no longer helps guard the mating net.</t>
  </si>
  <si>
    <t>The rook still helps guard the king</t>
  </si>
  <si>
    <t>2. Qh8 +</t>
  </si>
  <si>
    <t>what changed? Here, Black's king has fewer defenders and fewer escape routes.</t>
  </si>
  <si>
    <t>These didn't change, they are the same as the initial position</t>
  </si>
  <si>
    <t>2... Ke7</t>
  </si>
  <si>
    <t>The king cannot stay on f8 because of the pressure on the back rank</t>
  </si>
  <si>
    <t>It can't stay because of the check</t>
  </si>
  <si>
    <t>1...Nb3</t>
  </si>
  <si>
    <t>Here the black rook on h8 and especially the rook on a8 are not yet fully active,</t>
  </si>
  <si>
    <t>No need to mention the h8 rook, doesn't contribute to the position</t>
  </si>
  <si>
    <t>2...Ra1+</t>
  </si>
  <si>
    <t>the b1-square is vulnerable.</t>
  </si>
  <si>
    <t>Relevant only if it mentions that the knight cannot block on b1</t>
  </si>
  <si>
    <t>1. Nxh7</t>
  </si>
  <si>
    <t>clearing the h5-square for the queen</t>
  </si>
  <si>
    <t>No clearance of h5 square, there is still a pawn there</t>
  </si>
  <si>
    <t>targeting h7 and g6</t>
  </si>
  <si>
    <t>g6 is no target as it's a white pawn</t>
  </si>
  <si>
    <t>rook entering on h8</t>
  </si>
  <si>
    <t>no rook can get to h8</t>
  </si>
  <si>
    <t>1.Ne7+</t>
  </si>
  <si>
    <t>If Black ignores the knight, the attack continues with overwhelming force</t>
  </si>
  <si>
    <t>If Black ignores the knight, checkmate will follow. The model was too general</t>
  </si>
  <si>
    <t>1.g4</t>
  </si>
  <si>
    <t>the rook on e2 can support mating ideas along the 2nd rank or the e-file</t>
  </si>
  <si>
    <t>No mating ideas along the 2nd rank</t>
  </si>
  <si>
    <t>clears g3 for the bishop</t>
  </si>
  <si>
    <t>The path was already cleared</t>
  </si>
  <si>
    <t>2.Bg3</t>
  </si>
  <si>
    <t>The bishop uses the newly opened g3-square to deliver mate</t>
  </si>
  <si>
    <t>g3 was not newly opened</t>
  </si>
  <si>
    <t>1...Ra4</t>
  </si>
  <si>
    <t>White's king on g3 is exposed</t>
  </si>
  <si>
    <t>No white king on g3</t>
  </si>
  <si>
    <t>...Ra4! is a strong rook lift that attacks the bishop on d4</t>
  </si>
  <si>
    <t>doesn't attack the bishop on d4</t>
  </si>
  <si>
    <t>with tempo against the bishop on d4</t>
  </si>
  <si>
    <t>No bishop on d4</t>
  </si>
  <si>
    <t>2. Bxa5</t>
  </si>
  <si>
    <t>White accepts the apparent gift and removes the rook</t>
  </si>
  <si>
    <t>no rook is removed with this move</t>
  </si>
  <si>
    <t>2...f6</t>
  </si>
  <si>
    <t>he square f6 is protected by the knight on e4's route? More concretely,</t>
  </si>
  <si>
    <t>No knight on e4</t>
  </si>
  <si>
    <t>2.g6</t>
  </si>
  <si>
    <t>. White does not slow down to win material immediately,</t>
  </si>
  <si>
    <t>No material win was possible</t>
  </si>
  <si>
    <t>while the h-pawn still restricts Black.</t>
  </si>
  <si>
    <t>the h-pawn is not restricting any of Black's pieces</t>
  </si>
  <si>
    <t>3.Qxc7+</t>
  </si>
  <si>
    <t>Black's dangerous c-pawn</t>
  </si>
  <si>
    <t>the c-pawn is not dangerous</t>
  </si>
  <si>
    <t>GPT</t>
  </si>
  <si>
    <t>OPUS</t>
  </si>
  <si>
    <t>LLAMA</t>
  </si>
  <si>
    <t>QWEN</t>
  </si>
  <si>
    <t>GEMINI</t>
  </si>
  <si>
    <t>MODEL</t>
  </si>
  <si>
    <t>FINAL SCORE</t>
  </si>
  <si>
    <t>TOTAL HALLUCINATIONS</t>
  </si>
  <si>
    <t>AVERAGE PENALTY / PUZZLE</t>
  </si>
  <si>
    <t>Score Interpretation Scale</t>
  </si>
  <si>
    <t>Excellent</t>
  </si>
  <si>
    <t>Good</t>
  </si>
  <si>
    <t>Acceptable</t>
  </si>
  <si>
    <t>Weak</t>
  </si>
  <si>
    <t>Minimal or absent hallucinations - a reference model for chess explanations</t>
  </si>
  <si>
    <t>A few isolated minor errors - generally reliable explanations</t>
  </si>
  <si>
    <t>Moderate-severity systematic errors - require human verification</t>
  </si>
  <si>
    <t>Frequent and/or severe hallucinations - unclear explanations</t>
  </si>
  <si>
    <t>Most of the explanations contain serious factual errors</t>
  </si>
  <si>
    <t>2... Qxe3</t>
  </si>
  <si>
    <t>Not only do you cleanly win the White Queen for a Bishop and a pawn</t>
  </si>
  <si>
    <t>You win the white queen and a pawn for a bishop</t>
  </si>
  <si>
    <t>1...exd5</t>
  </si>
  <si>
    <t>Black accepts the sacrifice. Refusing it would mean losing a central pawn for nothing</t>
  </si>
  <si>
    <t>He could also accept the sacrifice by capturing with the Queen</t>
  </si>
  <si>
    <t>White is left with a material advantage</t>
  </si>
  <si>
    <t>White is down a pawn</t>
  </si>
  <si>
    <t>if we just play 1. e6 immediately, Black can simply move their Rook</t>
  </si>
  <si>
    <t>Black would simply capture 1...fxe6</t>
  </si>
  <si>
    <t>Black can simply move their Rook because there is no forcing check (the g7 pawn blocks the King from the Bishop's line of sight)</t>
  </si>
  <si>
    <t>There is no check because the king is noton the a8-h8 diagonal, not because of the g7 pawn</t>
  </si>
  <si>
    <t>A brilliant decoy and clearance sacrifice!</t>
  </si>
  <si>
    <t>this is classical decoy/attraction, but not clearance. "Clearance comes in two forms, the first is where a player moves one of their own pieces to clear a square for another of their pieces. The second form of clearance occurs when one player forces a piece away from a diagonal, rank or file (often using a sacrifice) to make way for another piece to utilise or attack the cleared path."</t>
  </si>
  <si>
    <t>forcibly pulling the Black King onto the targeted square.</t>
  </si>
  <si>
    <t>king is not forced to capture</t>
  </si>
  <si>
    <t>3.exd7</t>
  </si>
  <si>
    <t>Materially, we are up a pawn.</t>
  </si>
  <si>
    <t>we are up 2 pawns</t>
  </si>
  <si>
    <t>2...Nxd7</t>
  </si>
  <si>
    <t>Black is forced to recapture.</t>
  </si>
  <si>
    <t>Material is completely equal: both sides have a Rook, a Knight, and a few pawns</t>
  </si>
  <si>
    <t>white is up a pawn in the initial position</t>
  </si>
  <si>
    <t>2.Kg2</t>
  </si>
  <si>
    <t>Look at the new placement of the White King on g2 and the undefended Rook on f3</t>
  </si>
  <si>
    <t>rook on f3 is no longer undefended</t>
  </si>
  <si>
    <t>4.Kxf3</t>
  </si>
  <si>
    <t>Black is now up a full Exchange in the endgame (Rook against Knight)</t>
  </si>
  <si>
    <t>rook vs knigh + pawn</t>
  </si>
  <si>
    <t>This means the White Queen is an "overworked" or "tied-down" piece.</t>
  </si>
  <si>
    <t>"overworked" (or overloaded) piecehas 2 jobs at once, not the case here</t>
  </si>
  <si>
    <t>If White thoughtlessly grabs the Queen with 1. Rxd6?, Black responds with 1... Bxb3. That mutual exchange leaves White down a whole Bishop</t>
  </si>
  <si>
    <t>that exchange would leave white down a bishop for 2 pawns</t>
  </si>
  <si>
    <t>1.Nf5</t>
  </si>
  <si>
    <t>two vital tactical patterns at once: a Royal Fork and a Deflection.</t>
  </si>
  <si>
    <t>not deflection</t>
  </si>
  <si>
    <t>1.Td6-Nb3 2.axb3??-cxd6 The result of the direct capture. White has traded Queens but remains a full piece down,</t>
  </si>
  <si>
    <t>incorrect variation + wrong material evaluation</t>
  </si>
  <si>
    <t>Black plays the most natural and strictly forced reply,</t>
  </si>
  <si>
    <t>By capturing the Knight, the Black Bishop has been DEFLECTED away from the critical e6 square</t>
  </si>
  <si>
    <t>2.Rxd6</t>
  </si>
  <si>
    <t>winning a Queen for a Knight</t>
  </si>
  <si>
    <t>wins queen for knight + rook!</t>
  </si>
  <si>
    <t>By forcing Black to capture your knight, you purposefully deflected their bishop away</t>
  </si>
  <si>
    <t>it was not forced and it was not deflection</t>
  </si>
  <si>
    <t>If Black were to play 1... Qxd7, they would fall into an immediate pin</t>
  </si>
  <si>
    <t>no pin</t>
  </si>
  <si>
    <t>2.Qh3</t>
  </si>
  <si>
    <t>It introduces a second attacker on the pinned Knight on d7</t>
  </si>
  <si>
    <t>nobody pins the knight</t>
  </si>
  <si>
    <t>2...Rd8</t>
  </si>
  <si>
    <t>Therefore, Black is forced to bring the Rook over to defend d7 a second time.</t>
  </si>
  <si>
    <t>not forced, just has no better choice</t>
  </si>
  <si>
    <t>3.Qxh5</t>
  </si>
  <si>
    <t>You capture the free piece, netting a clean Bishop advantage.</t>
  </si>
  <si>
    <t>you are up a knight in the final position</t>
  </si>
  <si>
    <t>1...Rxd4</t>
  </si>
  <si>
    <t>Both the king on g1 and the rook on e5 sit on light squares</t>
  </si>
  <si>
    <t>g1 and e5 are dark square</t>
  </si>
  <si>
    <t>2.cxd4</t>
  </si>
  <si>
    <t>White is forced to recapture the rook with the pawn.</t>
  </si>
  <si>
    <t>By forcing the c3 pawn to move to d4, it no longer blocks the long diagonal</t>
  </si>
  <si>
    <t>pawn on c3 was not blocking the long diagonal</t>
  </si>
  <si>
    <t>2...Bxd4</t>
  </si>
  <si>
    <t>An elegant Royal Fork!</t>
  </si>
  <si>
    <t>royal fork attacks king &amp; queen</t>
  </si>
  <si>
    <t>we lured it into opening up this magnificent outpost</t>
  </si>
  <si>
    <t>d4 is not an outpost + The c3 pawn didn't "open up" the d4 square</t>
  </si>
  <si>
    <t>1.Qa4</t>
  </si>
  <si>
    <t>Black must resolve the check, which means they have absolutely no time to rescue the completely exposed Knight on a5</t>
  </si>
  <si>
    <t>black could block with 1...c6 which also protects the knight</t>
  </si>
  <si>
    <t>a deeper look reveals it is dangerously short on safe flight squares</t>
  </si>
  <si>
    <t>not true</t>
  </si>
  <si>
    <t>2.Qxb6</t>
  </si>
  <si>
    <t>White takes the bait. Objectively, retreating the Queen would surrender the initiative, making grabbing the piece the most natural reaction.</t>
  </si>
  <si>
    <t>1...Rxc8</t>
  </si>
  <si>
    <t>Forced. If Black tries to run with 1... Ke7, White delivers a stunning mate with 2. Qe8+ Kxd6 3. Rc6#</t>
  </si>
  <si>
    <t>1...Ke7 is not legal</t>
  </si>
  <si>
    <t>2.Qh8</t>
  </si>
  <si>
    <t>Notice how our Knight on d6 is perfectly cutting off the e8 and f7 flight squares</t>
  </si>
  <si>
    <t>there is a black pawn on f7, it could not be a flight square</t>
  </si>
  <si>
    <t>your Queen on d7 has a clear line of sight down the half-open d-file, controlling the d2 flight square.</t>
  </si>
  <si>
    <t>d-file is open</t>
  </si>
  <si>
    <t>This is essentially a discovered check from the h1 Rook.</t>
  </si>
  <si>
    <t>double check</t>
  </si>
  <si>
    <t>The King steps out of the check, but now sits helplessly on the newly opened h-file.</t>
  </si>
  <si>
    <t>king is on g-file</t>
  </si>
  <si>
    <t>The threat is an immediate Qh7# or Qh8#</t>
  </si>
  <si>
    <t>Qh8 is not mate threath</t>
  </si>
  <si>
    <t>White recaptures, maintaining control over the dark squares around the King</t>
  </si>
  <si>
    <t>maintains control over the light squares</t>
  </si>
  <si>
    <t>renews the threat of mating on h7.</t>
  </si>
  <si>
    <t>Qh7 is not mate anymore</t>
  </si>
  <si>
    <t>If our queen could reach a8, it would be a devastating check. However, our own knight on d5 is blocking the path.</t>
  </si>
  <si>
    <t>knight is blocking + there is a rook on e8, so it would not be check</t>
  </si>
  <si>
    <t>1.Ne7</t>
  </si>
  <si>
    <t>Furthermore, because this is a forcing check, it dictates Black's response.</t>
  </si>
  <si>
    <t>black is not forced to capture</t>
  </si>
  <si>
    <t>2.Qa8</t>
  </si>
  <si>
    <t>Even if Black attempted to block with the queen via 2... Qf8, White would have an immediate mate with 3. Rxf8#</t>
  </si>
  <si>
    <t>3.Qe8</t>
  </si>
  <si>
    <t>Checkmate!</t>
  </si>
  <si>
    <t>not checkmate</t>
  </si>
  <si>
    <t>If the Bishop moves (e.g., 2. Bc3), the c4-e4 horizontal file is unblocked, and since the e4 Rook is now attacked twice, we win the exchange with 2... Rxe4+.</t>
  </si>
  <si>
    <t>win a full rook</t>
  </si>
  <si>
    <t>Although the Knight left e7 (which previously guarded d6),</t>
  </si>
  <si>
    <t>knight was not protecting d6</t>
  </si>
  <si>
    <t>2...Bf3</t>
  </si>
  <si>
    <t>threatening moves like Qh5#</t>
  </si>
  <si>
    <t>qh5 is not mate</t>
  </si>
  <si>
    <t>This brilliant Queen sacrifice utilizes a tactical pattern called 'deflection'.</t>
  </si>
  <si>
    <t>it is not a queen sacrifice, and the motif is simplification, not deflectino</t>
  </si>
  <si>
    <t>Deepseek V3.2</t>
  </si>
  <si>
    <t>1... Bxe3+</t>
  </si>
  <si>
    <t>Black begins a tactical sequence by sacrificing the bishop</t>
  </si>
  <si>
    <t>The bishop is not sacrificed, as it is defended by the Qb6</t>
  </si>
  <si>
    <t>The key idea is to deflect White's queen from its defense of the e3-square</t>
  </si>
  <si>
    <t>Key idea is a double attack, or maybe removal of the defender of Qd4 - the pawn on e3</t>
  </si>
  <si>
    <t>The premise for the combination is the overworked white queen:</t>
  </si>
  <si>
    <t>The White queen is not overworked. The e3 pawn is underprotected</t>
  </si>
  <si>
    <t>white queen: it defends the knight on c3 and the pawn on e3. Removing one of these defenders will create a fatal weakness</t>
  </si>
  <si>
    <t>Queen is defending Nc3 and pe3, not Nc3 and pe3 defend the queen</t>
  </si>
  <si>
    <t>This is a classic example of an 'overloaded piece' tactic.</t>
  </si>
  <si>
    <t>This is not a classic example of an overloaded piece tactic</t>
  </si>
  <si>
    <t>If White declines the sacrifice, 2.Kh1, then Black simply plays 2...Bxf3+ winning the queen after 3.gxf3 Qxe1# would be mate</t>
  </si>
  <si>
    <t>If white plays 2. Kh1, 2... Bxf3+ is an illegal move, and so is the following sequence 3. gxf3 Qxe1#</t>
  </si>
  <si>
    <t>So capturing is forced.</t>
  </si>
  <si>
    <t>Capturing is not forced</t>
  </si>
  <si>
    <t>Now the queen recaptures, attacking the rook on d1</t>
  </si>
  <si>
    <t>Qe3 does not attack the rook on d1</t>
  </si>
  <si>
    <t>This is the point: the queen was overloaded</t>
  </si>
  <si>
    <t>The queen was not overloaded.</t>
  </si>
  <si>
    <t>After defending against the initial check, it was also the sole defender of the rook</t>
  </si>
  <si>
    <t>The Rd1 was also defended by Nc3, Rb1, and Bf3</t>
  </si>
  <si>
    <t>Now that it's gone, the rook hangs</t>
  </si>
  <si>
    <t>The Rd1 does not hang, it is defended by Nc3, Rb1 and Bf3</t>
  </si>
  <si>
    <t>The sequence nets Black a queen for a bishop, winning material decisively.</t>
  </si>
  <si>
    <t>The sequence nets Black a queen and a pawn for a bishop.</t>
  </si>
  <si>
    <t>20. Nxd5</t>
  </si>
  <si>
    <t>The Black queen on a5 and bishop on d7 are both undefended</t>
  </si>
  <si>
    <t>Black queen is defended by Bb4</t>
  </si>
  <si>
    <t>Bishop d7 is defended by Kd8</t>
  </si>
  <si>
    <t>3) The move opens the e-file and the d3-bishop's diagonal.</t>
  </si>
  <si>
    <t>Nxd5 does not open f1-a6 or b1-h7 diagonals for Bd3</t>
  </si>
  <si>
    <t>The immediate point is 20...exd5? 21. Qxf7! winning material due to the pin on the d7-bishop</t>
  </si>
  <si>
    <t>The point is not Qxf7, but the played move (e6)</t>
  </si>
  <si>
    <t>Bishop d7 is not pinned</t>
  </si>
  <si>
    <t>Black's main reply is forced.</t>
  </si>
  <si>
    <t>exd5 is not forced, Qxd5 is a legal and worthy alternative</t>
  </si>
  <si>
    <t>21. e6</t>
  </si>
  <si>
    <t>This pawn is a monster, forking the bishop on d7 and the rook on h8</t>
  </si>
  <si>
    <t>The pawn on d7 attacks the d7 bishop, but the h8 rook is attacked by discovery from the b2 bishop</t>
  </si>
  <si>
    <t>It also opens the diagonal for the d3-bishop to attack the undefended queen on a5</t>
  </si>
  <si>
    <t>e6 does not open f1-a6 or b1-h7 diagonals for Bd3</t>
  </si>
  <si>
    <t>Bd3 does/would not attack Qa5</t>
  </si>
  <si>
    <t>21... Re8</t>
  </si>
  <si>
    <t>The best try</t>
  </si>
  <si>
    <t>Bxe6 or fxe6 are black's best tries</t>
  </si>
  <si>
    <t>Black unpins the d7-bishop</t>
  </si>
  <si>
    <t>Bishop d7 was not pinned</t>
  </si>
  <si>
    <t>hopes to meet 22.exd7 with ...Kxd7, getting the king out</t>
  </si>
  <si>
    <t>Getting the king out is not something a chess player hopes for</t>
  </si>
  <si>
    <t>Capturing the pawn immediately is worse: 21...fxe6? 22. Qf8+! leads to mate or massive material loss</t>
  </si>
  <si>
    <t>If black plays 21... fxe6, 22. Qf8+ is a total blunder, which does not lead to mate or material loss, but to resignation from white</t>
  </si>
  <si>
    <t>22. exd7</t>
  </si>
  <si>
    <t>White has a winning attack, for example: 23. Bb5+! Kc8 (23...Ke6 24. Qf5+ Kd6 25. Bc4#) 24. Qf5+ Kb8 25. Re1</t>
  </si>
  <si>
    <t>Bb5 is a total blunder, and not a move white would consider after Kxd7. Entire sequence of move is legal, but makes no sense as it is just blunder after blunder</t>
  </si>
  <si>
    <t>White is ahead in development</t>
  </si>
  <si>
    <t>This is an endgame, where neither side is ahead in development</t>
  </si>
  <si>
    <t>Black's king is somewhat exposed, stuck in the corner</t>
  </si>
  <si>
    <t>Black's king is on f8, not in the corner</t>
  </si>
  <si>
    <t>Most importantly, look at the pins and potential discovered attacks</t>
  </si>
  <si>
    <t>There is no pin theme in the position or in the puzzle</t>
  </si>
  <si>
    <t>The black rook on d7 is overloaded</t>
  </si>
  <si>
    <t>Black rook on d7 is not overloaded, this is not the theme of the puzzle</t>
  </si>
  <si>
    <t>The black rook on d7 is overloaded: it's defending the knight on f6 (if it existed)</t>
  </si>
  <si>
    <t>Direct contradiction in model's annotation</t>
  </si>
  <si>
    <t>There is no knight on f6</t>
  </si>
  <si>
    <t>The black rook on d7 is overloaded: it's defending the knight on f6 (if it existed) and is also the only defender of the d7 square itself</t>
  </si>
  <si>
    <t>Rook on d7 does not defend itself. No piece defends itself</t>
  </si>
  <si>
    <t>This rook sacrifice is not primarily about capturing a pawn; it's about breaking open the king's position and, crucially, removing the key defender (the rook) from the d-file.</t>
  </si>
  <si>
    <t>Rxg7 has nothing to do with the Rook on d7</t>
  </si>
  <si>
    <t>The rook sacrifice is about attracting the black king into a bad spot, for a discovered attack on the next move</t>
  </si>
  <si>
    <t>1... Kxg7</t>
  </si>
  <si>
    <t>Forced</t>
  </si>
  <si>
    <t>The model implies it's basically not legally forced, but there are worthy alternatives such as Rd2</t>
  </si>
  <si>
    <t>1...f6? allows 2.Rxf7+ winning immediately</t>
  </si>
  <si>
    <t>After 1... f6, 2. Rxf7 is a blunnder and a move leading to an immediate loss, not an immediate win</t>
  </si>
  <si>
    <t>2. e6+</t>
  </si>
  <si>
    <t>The pawn move opens the line of the white bishop on b2 towards the black rook on d7.</t>
  </si>
  <si>
    <t>The pawn moves open the line of the white bishop on b2 towards the black king on g7, not the black rook on d7</t>
  </si>
  <si>
    <t>Now the rook is under attack and pinned (by the bishop) to the black king</t>
  </si>
  <si>
    <t>The rook is not pinned by the bishop to the black king</t>
  </si>
  <si>
    <t>Black cannot take the pawn with either piece because of the pin.</t>
  </si>
  <si>
    <t>There is only one piece that could hypothetically capture on e6, the f7 pawn</t>
  </si>
  <si>
    <t>There is no pin involved. Black cannot take the pawn because his king is in check</t>
  </si>
  <si>
    <t>2... Kf8</t>
  </si>
  <si>
    <t>The only move</t>
  </si>
  <si>
    <t>Kh7, Kg8, f6 are all alternative legal moves</t>
  </si>
  <si>
    <t>Taking with the pawn (2...fxe6) allows 3.fxe6+ followed by capturing the rook</t>
  </si>
  <si>
    <t>Taking with the pawn 2... fxe6 is illegal since the black king is in check</t>
  </si>
  <si>
    <t>Taking with the king (2...Kxe6) is illegal as it's in check from the pawn.</t>
  </si>
  <si>
    <t>Kxe6 is not a legal move, as the king is on g7</t>
  </si>
  <si>
    <t>And White wins a whole rook</t>
  </si>
  <si>
    <t>White has actually won a pawn, since he sacrificed a rook earlier</t>
  </si>
  <si>
    <t>he overloaded role of the black rook on d7</t>
  </si>
  <si>
    <t>The rook on d7 was not overloaded</t>
  </si>
  <si>
    <t>A classic example of removing the defender</t>
  </si>
  <si>
    <t>A classic example of attraction</t>
  </si>
  <si>
    <t>The premise is to examine the Black king's position. It is stuck in the center on e8, with the knight on d8 being its only defender.</t>
  </si>
  <si>
    <t>The Black Knight on d7 does not defend black king</t>
  </si>
  <si>
    <t>The rook on h8 is also awkwardly placed.</t>
  </si>
  <si>
    <t>The rook on h8 is naturally placed, and it has nothing to do with the puzzle</t>
  </si>
  <si>
    <t>The rook sacrifice deflects the Black bishop from defending the d7 square and, more importantly, the d8 knight.</t>
  </si>
  <si>
    <t>There is no black bishop involved in the puzzle</t>
  </si>
  <si>
    <t>Even if the bishop was somehow involved, it would not be defending the d7 and d8 squares at the same time</t>
  </si>
  <si>
    <t>1... Nxd7</t>
  </si>
  <si>
    <t>1...Kxd7 allows 2.Nxe5+</t>
  </si>
  <si>
    <t>1... Kxd7 is not a legal move, because Bb5 controls that square</t>
  </si>
  <si>
    <t>2.Nxe5+ forking king and queen</t>
  </si>
  <si>
    <t>There is no queen on the board</t>
  </si>
  <si>
    <t>1...Kf8?? just drops the bishop.</t>
  </si>
  <si>
    <t>Kf8 is an illegal move,as the bishop is on f8</t>
  </si>
  <si>
    <t>A quiet but deadly follow-up</t>
  </si>
  <si>
    <t>The move is not quiet, it is a direct attacking move</t>
  </si>
  <si>
    <t>The threat is simple and decisive: Rd1-d8#</t>
  </si>
  <si>
    <t>Rd1-d8 is not a legal move, as there is a knight on d7</t>
  </si>
  <si>
    <t>The rook's path to d8 is now unobstructed</t>
  </si>
  <si>
    <t>The d-file and the rook's path to d8 are obstructed by the knight on d7</t>
  </si>
  <si>
    <t>bishop on b5 pins the pawn on c7</t>
  </si>
  <si>
    <t>There is no pawn on c7</t>
  </si>
  <si>
    <t>Even if a pawn was on c7, the bishop on b5 would not attack the c7 square</t>
  </si>
  <si>
    <t>Black is almost in zugzwang</t>
  </si>
  <si>
    <t>There is no zugzwang here</t>
  </si>
  <si>
    <t>The key pattern here is the overloaded defender</t>
  </si>
  <si>
    <t>The key pattern here is removing the defender</t>
  </si>
  <si>
    <t>the Black queen is the only piece that can possibly address this mate threat.</t>
  </si>
  <si>
    <t>There is no black queen on the board</t>
  </si>
  <si>
    <t>There is no mate threat on the board</t>
  </si>
  <si>
    <t>The only move to prevent immediate mate</t>
  </si>
  <si>
    <t>There are other, better moves such as e4</t>
  </si>
  <si>
    <t>The queen blocks the bishop's pin on the a4-e8 diagonal, hoping to challenge the white rook if it goes to d8</t>
  </si>
  <si>
    <t>Rd8 would not be a legal move, as there is a knight on d7</t>
  </si>
  <si>
    <t>However, this leaves the knight on d7 undefended.</t>
  </si>
  <si>
    <t>Nd7 is defended by Ke8.</t>
  </si>
  <si>
    <t>3. Bxd7</t>
  </si>
  <si>
    <t>A simple recapture</t>
  </si>
  <si>
    <t>Move is not a recapture, it is a simple capture</t>
  </si>
  <si>
    <t>exploiting the queen's deflection to a5</t>
  </si>
  <si>
    <t>After 3...Qxd7 4.Rxd7, White is up a bishop and a knight for a rook, a completely winning endgame</t>
  </si>
  <si>
    <t>Qxd7 is not a legal move, there is no queen on the board</t>
  </si>
  <si>
    <t>If Black plays 3...Kf8, then 4.Bxc8 wins even more material.</t>
  </si>
  <si>
    <t>Kf8 is not a legal move, there is a bishop on f8</t>
  </si>
  <si>
    <t>Bxc8 would not be a legal move as there is no piece on c8 to capture</t>
  </si>
  <si>
    <t>The puzzle ends here, as the tactical sequence has achieved a decisive material advantage.</t>
  </si>
  <si>
    <t>Material is balanced (pawn for an exchange). White is winning, but not because of material imblanace</t>
  </si>
  <si>
    <t>1... Rc1+</t>
  </si>
  <si>
    <t>The immediate threat is ...Ng3+</t>
  </si>
  <si>
    <t>Even though legal, the move is not a threat, as it is a very bad move</t>
  </si>
  <si>
    <t>The immediate threat is ...Ng3+ forking king and rook</t>
  </si>
  <si>
    <t>Ng3 does attack the Kh1, but not the Rook, which sits on f3</t>
  </si>
  <si>
    <t>2. Kg2</t>
  </si>
  <si>
    <t>g2 is the only safe square</t>
  </si>
  <si>
    <t>Kg2 is the only legal square for the king</t>
  </si>
  <si>
    <t>the knight's path to g3 is currently blocked by White's own rook on f3</t>
  </si>
  <si>
    <t>Knight path to g3 is not something worth considering in this position</t>
  </si>
  <si>
    <t>The knight is free to move to g3</t>
  </si>
  <si>
    <t>2... Nh4+</t>
  </si>
  <si>
    <t>A beautiful clearance sacrifice</t>
  </si>
  <si>
    <t>The move is not a sacrifice, and not a clearance sacrifice. It is a fork</t>
  </si>
  <si>
    <t>The knight gives itself up</t>
  </si>
  <si>
    <t>The knight is not attacked, hanging or anything that would imply giving it up</t>
  </si>
  <si>
    <t>The knight gives itself up to remove the primary defender, the rook on f3</t>
  </si>
  <si>
    <t>The reason of the move is not to remove the primary defender, but to win material</t>
  </si>
  <si>
    <t>The immediate threat after ...Nh4+ is ...Rg1#</t>
  </si>
  <si>
    <t>The threat is Nxf3 and Rg1 is not mate</t>
  </si>
  <si>
    <t>it decoys White's king onto f3 where it will be forked.</t>
  </si>
  <si>
    <t>The white king will move to f3, but it will not be forked there</t>
  </si>
  <si>
    <t>White cannot capture the knight with the pawn (gxh4)</t>
  </si>
  <si>
    <t>The move gxh4 is not possible in this position</t>
  </si>
  <si>
    <t>White cannot capture the knight with the pawn (gxh4) because g4 is controlled by the black pawn</t>
  </si>
  <si>
    <t>The knight is on h4, so the g4 square has nothing to do with the knight</t>
  </si>
  <si>
    <t>g4 is controlled by the black pawn</t>
  </si>
  <si>
    <t>There is no black pawn to control g4</t>
  </si>
  <si>
    <t>after ...Rg1+ the king has no escape.</t>
  </si>
  <si>
    <t>After Rg1, white king can escape to f2 or h3 or even take the rook.</t>
  </si>
  <si>
    <t>Moving to g3 is forced</t>
  </si>
  <si>
    <t>Moving to g3 is by no means forced, not even "basically forced", because Kf2 achidves the exact same thing.</t>
  </si>
  <si>
    <t>3. Kh3?? Rg1# is immediate mate</t>
  </si>
  <si>
    <t>After Kh3, Rg1 is not mate, it's not even check</t>
  </si>
  <si>
    <t>3. Kg4</t>
  </si>
  <si>
    <t>3. Kf2? allows 3...Ng4+</t>
  </si>
  <si>
    <t>After Kf2, Ng4 is not a legal move</t>
  </si>
  <si>
    <t>3. Kf2? allows 3...Ng4+ forking king and rook</t>
  </si>
  <si>
    <t>Ng4, even if possible, would not attack the Rf3</t>
  </si>
  <si>
    <t>3... Nxf3</t>
  </si>
  <si>
    <t>Black simply recaptures the rook</t>
  </si>
  <si>
    <t>Nxf3 is a capture, not a recapture move</t>
  </si>
  <si>
    <t>capturing it leads to a devastating fork</t>
  </si>
  <si>
    <t>capturing it is the expected move and does not lead to a fork</t>
  </si>
  <si>
    <t>The key tactical pattern here is a decoy followed by a fork</t>
  </si>
  <si>
    <t>The key tactical pattern here is coercion followed by a fork</t>
  </si>
  <si>
    <t>knight sacrifice</t>
  </si>
  <si>
    <t>There is no sacrifice theme in this puzzle.</t>
  </si>
  <si>
    <t>this final fork.</t>
  </si>
  <si>
    <t>There is no final fork, it was a fork earlier in the puzzle</t>
  </si>
  <si>
    <t>4. Kxf3</t>
  </si>
  <si>
    <t>However, this walks right into the prepared combination.</t>
  </si>
  <si>
    <t>The puzzle is over, there is no prepared combination left to perform</t>
  </si>
  <si>
    <t>Now the black rook delivers a royal fork, winning the white knight on e6</t>
  </si>
  <si>
    <t>No matter what rook move the model suggests, it can not fork the king and the knight on e6.</t>
  </si>
  <si>
    <t>Black will emerge with an overwhelming material advantage (rook and pawn vs. two pawns)</t>
  </si>
  <si>
    <t>Black emerges with an exchange for a pawn in a difficult to win endgame</t>
  </si>
  <si>
    <t>After 4...Rc3+, the white king moves, and 5...Rxe6 wins the knight</t>
  </si>
  <si>
    <t>After Rc3+, king moves, the move 5... Rxe6 is not legal</t>
  </si>
  <si>
    <t>This puzzle is a classic illustration of using a series of forcing moves (check, sacrifice, capture) to create a fatal fork</t>
  </si>
  <si>
    <t>White is down material</t>
  </si>
  <si>
    <t>Material is equal</t>
  </si>
  <si>
    <t>The rook on d1 is "loose" – it's not defended</t>
  </si>
  <si>
    <t>The rook on d1 is defended by Qe2, Rc1, Nc3 and Bb3</t>
  </si>
  <si>
    <t>The idea: sacrifice it</t>
  </si>
  <si>
    <t>deflect the Black queen from defending the bishop on d7</t>
  </si>
  <si>
    <t>There is no black bishop on d7</t>
  </si>
  <si>
    <t>The Qh4 does not defend the d7 square</t>
  </si>
  <si>
    <t>Deflection is not the idea, but trapping the queen is.</t>
  </si>
  <si>
    <t>After Qxd4, the bishop on d7 is undefended</t>
  </si>
  <si>
    <t>After Qxd4, the d7 square is defended</t>
  </si>
  <si>
    <t>Look for "deflection" or "removing the defender" themes.</t>
  </si>
  <si>
    <t>The theme of the puzzle is not deflection or removing the defender, but trapping the queen</t>
  </si>
  <si>
    <t>1... Qxd4</t>
  </si>
  <si>
    <t>Black must take; otherwise, the rook threatens the queen, and Black loses material.</t>
  </si>
  <si>
    <t>Black doesn't need to take, there are several alternatives where Black loses the same material (Queen for Rook)</t>
  </si>
  <si>
    <t>2. Bxd4</t>
  </si>
  <si>
    <t>This is the point.</t>
  </si>
  <si>
    <t>This is not the point, the point is 1. Rd4</t>
  </si>
  <si>
    <t>White recaptures with the bishop, which now attacks the undefended bishop on d7</t>
  </si>
  <si>
    <t>Bd4 does not attack d7 square</t>
  </si>
  <si>
    <t>Black cannot save it, as moving it would allow Bxd7, winning the bishop and exposing the knight on b8 (or the rook on a8)</t>
  </si>
  <si>
    <t>Bxd7 would not be a legal move</t>
  </si>
  <si>
    <t>There is no knight on b8</t>
  </si>
  <si>
    <t>Bd7 would not attack the knight on b7 or rook on a8</t>
  </si>
  <si>
    <t>1... f6</t>
  </si>
  <si>
    <t>A crucial defensive and counterattacking move</t>
  </si>
  <si>
    <t>Move is offensive, not defensive. Attacking, not counterattacking</t>
  </si>
  <si>
    <t>Black's queen is attacked</t>
  </si>
  <si>
    <t>Black queen is not attacked</t>
  </si>
  <si>
    <t>the immediate 1...Qxc5?? 2. dxc5</t>
  </si>
  <si>
    <t>After Qxc5??, dxc5 is not a legal move</t>
  </si>
  <si>
    <t>The key is to see that White's queen on e5 and rook on c5 are both unprotected</t>
  </si>
  <si>
    <t>Queen e5 protects Rook e5 and vice-versa</t>
  </si>
  <si>
    <t>This also opens the diagonal for the rook on d7 to potentially join the attack</t>
  </si>
  <si>
    <t>Diagonals are never opened for rooks.</t>
  </si>
  <si>
    <t>The critical follow-up idea is that after the queen moves, the black queen on b6 will be able to capture the rook on c5 with a discovered attack on the white queen</t>
  </si>
  <si>
    <t>black queen capturing the rook on c5 is not a discoevered attack on the white queen. it's just a capture winning material</t>
  </si>
  <si>
    <t>2. Qe3</t>
  </si>
  <si>
    <t>Qe3 is not a legal move</t>
  </si>
  <si>
    <t>The queen moves to a safe square, still protecting the rook on c5</t>
  </si>
  <si>
    <t>Qf4 does not protect the c5 rook</t>
  </si>
  <si>
    <t>Alternatives like 2.Qc3? allow 2...Qxc5 and the queen is still attacked</t>
  </si>
  <si>
    <t>After 2. Qc3, black simply plays bxc3</t>
  </si>
  <si>
    <t>or 2.Qd6? Qxc5 winning</t>
  </si>
  <si>
    <t>After 2. Qd6, black plays Qd6 (or Rd6) winning, not Qxc5 which is losing</t>
  </si>
  <si>
    <t>The move 2.Qf4 maintains the defense of the rook</t>
  </si>
  <si>
    <t>The move Qf4 loses defense of the rook</t>
  </si>
  <si>
    <t>2... Qxc5</t>
  </si>
  <si>
    <t>Black simply captures the rook, which is now possible because the white queen on f4 is undefended!</t>
  </si>
  <si>
    <t>The capture is possible because the Rook on c5 is no longer defended</t>
  </si>
  <si>
    <t>The queen on f4 is defended by the rook on f1</t>
  </si>
  <si>
    <t>This is a classic tactic: using a double attack or discovered attack after forcing a piece onto an unprotected square</t>
  </si>
  <si>
    <t>This is not a double or discovered attack, nor forcing a piece onto an unprotected square. This is a removing the defender theme</t>
  </si>
  <si>
    <t>Here, the capture attacks the undefended queen on f4.</t>
  </si>
  <si>
    <t>Qc5 does not attack the queen on f4</t>
  </si>
  <si>
    <t>White cannot recapture 3.dxc5??</t>
  </si>
  <si>
    <t>dxc5 is not a legal move</t>
  </si>
  <si>
    <t>White cannot recapture 3.dxc5?? because of 3...Rxd2+</t>
  </si>
  <si>
    <t>Rxd2 is not a legal move</t>
  </si>
  <si>
    <t>Therefore, White loses the exchange and a pawn</t>
  </si>
  <si>
    <t>White looses a rook</t>
  </si>
  <si>
    <t>This puzzle teaches the importance of checking for unprotected pieces when calculating exchanges</t>
  </si>
  <si>
    <t>The puzzle teaches the importance of vulnerable pieces and forcing defenders off their duty</t>
  </si>
  <si>
    <t>1. Nf5+</t>
  </si>
  <si>
    <t>1) White's pieces (Rook on d1, Queen on b3, Knight on e3) are well-coordinated against Black's king (on g7) and queen (on d6)</t>
  </si>
  <si>
    <t>White Queen on b3 is not coordinated against the black king or queen, it is under fire from the e6 bishop</t>
  </si>
  <si>
    <t>Black's bishop on b4 is loose (not defended)</t>
  </si>
  <si>
    <t>Black's bishop on b4 is defended by Rb7 and Qd6</t>
  </si>
  <si>
    <t>Black's queen on d6 is the only defender of the bishop on b4</t>
  </si>
  <si>
    <t>Black's bishop on b4 is defended by Rb7 as well</t>
  </si>
  <si>
    <t>2) Black's bishop on b4 is loose (not defended). 3) Black's queen on d6 is the only defender of the bishop on b4</t>
  </si>
  <si>
    <t>the idea is to deflect or eliminate that defender</t>
  </si>
  <si>
    <t>the idea is to deflect the attacker of white's queen (Be6)</t>
  </si>
  <si>
    <t>The knight move is a *sacrifice* to open lines and disrupt Black's king's position</t>
  </si>
  <si>
    <t>Nf5 sacrifice does not open lines - the d-line, as mentioned by the model has nothing to do with the f5 square</t>
  </si>
  <si>
    <t>The knight move is a sacrifice, but the idea is to deflect the attacker of white queen (Be6) not open any lines or disrupt the king's position</t>
  </si>
  <si>
    <t>1... Bxf5</t>
  </si>
  <si>
    <t>Black must capture</t>
  </si>
  <si>
    <t>Black is not forced to capture at all. He can play Kg8 (which is the best move actually), or Kh8 or Kg6</t>
  </si>
  <si>
    <t>Moving the king (g8 or h6) is disastrous</t>
  </si>
  <si>
    <t>Moving the king to g8 is actually the best move</t>
  </si>
  <si>
    <t>Moving the king to h6 is an illegal move, as Nf5 attacks h6 square</t>
  </si>
  <si>
    <t>Moving the king (g8 or h6) is disastrous, opening up to even more attacks</t>
  </si>
  <si>
    <t>moving the king to g8 or h6 does not lead to opening up to even more attacks, the king is actually safer on g8</t>
  </si>
  <si>
    <t>Capturing with the bishop is forced.</t>
  </si>
  <si>
    <t>The king can move to g8, which is a better move</t>
  </si>
  <si>
    <t>2. Rxd6</t>
  </si>
  <si>
    <t>By sacrificing the knight, White removed the bishop from f6</t>
  </si>
  <si>
    <t>By sacrificing the knight, white removed the bishop from e6</t>
  </si>
  <si>
    <t>The rook on d1 now has a direct, undefended line to Black's queen.</t>
  </si>
  <si>
    <t>The rook had a direct line to Black's queen before the first move as well</t>
  </si>
  <si>
    <t>Since Black's queen was the sole defender of the bishop on b4</t>
  </si>
  <si>
    <t>Since Black's queen was the sole defender of the bishop on b4, capturing it (Rxd6) wins the bishop on b4 next.</t>
  </si>
  <si>
    <t>Capturing the rook does not win the bishop on b4 next, as the bishop is still defended.</t>
  </si>
  <si>
    <t>Black cannot recapture Rxd6 because his rook on c7</t>
  </si>
  <si>
    <t>Rxd6 is not a legal move</t>
  </si>
  <si>
    <t>Black rook is on b7</t>
  </si>
  <si>
    <t>his rook on c7 is pinned to the king by White's queen on b3</t>
  </si>
  <si>
    <t>His rook is not pinned by the white queen on b3 or by any piece on the board</t>
  </si>
  <si>
    <t>This is a classic *deflection/removal of the defender* tactic combined with a *pin*</t>
  </si>
  <si>
    <t>This is a deflection theme, but not removal of the defender, it is removal of the attacker. No pins involved</t>
  </si>
  <si>
    <t>The sequence Nf5+ sacrificing to open the d-line and then Rxd6 exploiting the pin is the solution.</t>
  </si>
  <si>
    <t>Nf5 sacrifice does not open the d-line.</t>
  </si>
  <si>
    <t>No relevant pins involved in the puzzle</t>
  </si>
  <si>
    <t>1. Bxd7</t>
  </si>
  <si>
    <t xml:space="preserve">the white queen on g2 and bishop on b3 </t>
  </si>
  <si>
    <t>there is a queen on g2, but there is no bishop on b3</t>
  </si>
  <si>
    <t>the white queen on g2 and bishop on b3 are both attacking the d7-square</t>
  </si>
  <si>
    <t>The white queen on g2 does not attack the d7 square</t>
  </si>
  <si>
    <t>Even if a bishop was on b3, it would not attack d7 square.</t>
  </si>
  <si>
    <t>he deeper pattern is the **absolute pin** of the knight on c5 by the bishop on b3 against the black queen on d7</t>
  </si>
  <si>
    <t>There is no bishop on b3</t>
  </si>
  <si>
    <t>There is no black queen on d7</t>
  </si>
  <si>
    <t>Even if the pieces were Bb3, Nc5, Qd7, it wouldn't be a pin</t>
  </si>
  <si>
    <t>The knight cannot move because it would expose the queen</t>
  </si>
  <si>
    <t>The knight is not pinned to the queen</t>
  </si>
  <si>
    <t>White exploits this by sacrificing the bishop</t>
  </si>
  <si>
    <t>This is not a bishop sacrifice, it is simply a minor piece exchange</t>
  </si>
  <si>
    <t>remove the defender (the knight on d7) of the pinned piece</t>
  </si>
  <si>
    <t>The defended piece by Nd7 is Nc5, which is not pinned</t>
  </si>
  <si>
    <t>This is a classic tactical procedure: breaking a pin by sacrificing onto the square defended by the pinned piece.</t>
  </si>
  <si>
    <t>This is not a classical tactical procedure of breaking a pin, as there is no pin involved</t>
  </si>
  <si>
    <t>Now the defender of the pinned knight on c5 is gone.</t>
  </si>
  <si>
    <t>there is no knight on c5</t>
  </si>
  <si>
    <t>White recognizes that Black's king is vulnerable on h8</t>
  </si>
  <si>
    <t>Qh3 does not attack the king on h8</t>
  </si>
  <si>
    <t>The king is not vulnerable</t>
  </si>
  <si>
    <t>the bishop on h5 is now **loosely defended**</t>
  </si>
  <si>
    <t>The bishop on h5 is undefended</t>
  </si>
  <si>
    <t>(only by the pawn on g6)</t>
  </si>
  <si>
    <t>There is no pawn on g6</t>
  </si>
  <si>
    <t>the bishop on h5 is now **loosely defended** (only by the pawn on g6). The queen move to h3 creates a double threat: it attacks the undefended bishop</t>
  </si>
  <si>
    <t>threatens a devastating queen checkmate on h7 (Qxh7#).</t>
  </si>
  <si>
    <t>Qh7 is not a legal move</t>
  </si>
  <si>
    <t>Black must address the mate threat first.</t>
  </si>
  <si>
    <t>there is no mate threat in this position</t>
  </si>
  <si>
    <t>Black tries to develop a counter-threat or simply moves a piece</t>
  </si>
  <si>
    <t>Black defends one of the attacked pieces: Nd7</t>
  </si>
  <si>
    <t>However, this does not address the immediate dual threats</t>
  </si>
  <si>
    <t>This addresses one of the two threats - Nd7 which was under attack</t>
  </si>
  <si>
    <t>the mating threat remains.</t>
  </si>
  <si>
    <t>Black has lost a key defensive bishop</t>
  </si>
  <si>
    <t>Bh5 was not a key defensive bishop</t>
  </si>
  <si>
    <t>the knight on c5 is still pinned</t>
  </si>
  <si>
    <t>There is no knight on c5</t>
  </si>
  <si>
    <t>the knight on c5 is still pinned and will likely be captured next (Nxc5)</t>
  </si>
  <si>
    <t>Nxc5 is/would not be a legal move</t>
  </si>
  <si>
    <t>The puzzle demonstrates the sequence: 1) Identify an absolute pin</t>
  </si>
  <si>
    <t>No absolute pin theme in the puzzle</t>
  </si>
  <si>
    <t>2) Sacrifice to remove the defender of the pinned piece</t>
  </si>
  <si>
    <t>No sacrifice in the puzzle</t>
  </si>
  <si>
    <t>No pinned piece in the puzzle</t>
  </si>
  <si>
    <t>White's king is exposed on g1 with weak light squares around it</t>
  </si>
  <si>
    <t>White's king is exposed on g1 with weak black squares around it</t>
  </si>
  <si>
    <t>2. cxd4</t>
  </si>
  <si>
    <t>White is practically forced to recapture</t>
  </si>
  <si>
    <t>White has better moves, for example Kf1</t>
  </si>
  <si>
    <t>The pawn is pinned to the rook on c2</t>
  </si>
  <si>
    <t>The pawn is not pinned to the rook on c2</t>
  </si>
  <si>
    <t>2... Bxd4</t>
  </si>
  <si>
    <t>The bishop check reveals a discovered attack on the white rook on e5</t>
  </si>
  <si>
    <t>Bishop check reveals a double attack to the king on g1 and rook on e5</t>
  </si>
  <si>
    <t>More critically, the king has no safe square.</t>
  </si>
  <si>
    <t>Kf1, Kh1 and Kh2 are all legal moves</t>
  </si>
  <si>
    <t>1. Qa4+</t>
  </si>
  <si>
    <t>The key here is to recognize the absolute pin on the knight on a5</t>
  </si>
  <si>
    <t>There is a knight on a5 but it is not pinned</t>
  </si>
  <si>
    <t>The knight is pinned because moving it would expose the black king</t>
  </si>
  <si>
    <t>Moving the knight would not expose the black king</t>
  </si>
  <si>
    <t>expose the black king to a check from your dark-squared bishop (still on c1, but its diagonal to the king is open).</t>
  </si>
  <si>
    <t>Bc1 is on c1-h6 diagonal, not on open diagonal to the king which is a4-e8</t>
  </si>
  <si>
    <t>With the knight pinned</t>
  </si>
  <si>
    <t>The knight is not pinned</t>
  </si>
  <si>
    <t>it cannot move or defend itself</t>
  </si>
  <si>
    <t>it can move, for example Nc6</t>
  </si>
  <si>
    <t>By checking with the queen, you attack both the pinned knight and the king simultaneously</t>
  </si>
  <si>
    <t>This is a classic exploitation of a pinned piece</t>
  </si>
  <si>
    <t>There is no pinned piece in the position</t>
  </si>
  <si>
    <t>1... Bd7</t>
  </si>
  <si>
    <t>Black's only real move</t>
  </si>
  <si>
    <t>Black has other, better options as well</t>
  </si>
  <si>
    <t>The knight cannot move due to the pin</t>
  </si>
  <si>
    <t>The knight can move, as it is not pinned</t>
  </si>
  <si>
    <t>and the c6-square is unavailable (blocked by the d5 pawn)</t>
  </si>
  <si>
    <t>pawn d5 does not block c6 square, it just attacks the square. 1... c6 would be the best move anyway</t>
  </si>
  <si>
    <t>blocking with the bishop is the most practical try</t>
  </si>
  <si>
    <t>1... c6 is the most practical try</t>
  </si>
  <si>
    <t>Now observe the new situation: the bishop on d7 is now *overloaded*</t>
  </si>
  <si>
    <t>The bishop on d7 is not overloaded at all. it just defends the black king.</t>
  </si>
  <si>
    <t>It has two vital jobs: blocking the check *and* defending the knight on a5.</t>
  </si>
  <si>
    <t>Bd7 does not defend Na5</t>
  </si>
  <si>
    <t>This creates the conditions for a double attack.</t>
  </si>
  <si>
    <t>no double attack conditions related to Bd7, as Bd7 is not overloaded</t>
  </si>
  <si>
    <t>2. Qxa5</t>
  </si>
  <si>
    <t>With the bishop now committed to d7, it can no longer protect the knight</t>
  </si>
  <si>
    <t>Bd7 did not protect the Na5 at any point during the puzzle</t>
  </si>
  <si>
    <t>Black is now down a knight for nothing</t>
  </si>
  <si>
    <t>Black is down a knight and a pawn</t>
  </si>
  <si>
    <t>1) Exploiting a pinned piece with a discovered attack/check,</t>
  </si>
  <si>
    <t>No pinned piece</t>
  </si>
  <si>
    <t>No discovered check/attack</t>
  </si>
  <si>
    <t>2) Creating an overload on a defender</t>
  </si>
  <si>
    <t>Pin → Attack the pinned piece with a check → Force a block → Capture the pinned piece as the defender is now overloaded. This is fundamental tactical thinking.</t>
  </si>
  <si>
    <t>Completely wrong sequence of motifs/procedures. It is actually a double attack and that's it.</t>
  </si>
  <si>
    <t>1... Rd7</t>
  </si>
  <si>
    <t>This is the key preparatory move.</t>
  </si>
  <si>
    <t>It is not a preparatory move, it is a direct forcing attack</t>
  </si>
  <si>
    <t>Black wants to exploit the overloaded White Queen</t>
  </si>
  <si>
    <t>White queen on c7 is not overloaded as it has no defensive duties</t>
  </si>
  <si>
    <t>the overloaded White Queen, which is defending both the knight on b5 and the pawn on e4</t>
  </si>
  <si>
    <t>White queen does not defend Nb5</t>
  </si>
  <si>
    <t>White queen does not defend pawn on e4</t>
  </si>
  <si>
    <t>the pawn on e4 (which is attacked by Black's pawn on d4)</t>
  </si>
  <si>
    <t>Black pawn on d4 does not attack white pawn on e4</t>
  </si>
  <si>
    <t>Black's idea is to create a situation where the Queen cannot defend both pieces simultaneously.</t>
  </si>
  <si>
    <t>Black's idea is to trap the white queen</t>
  </si>
  <si>
    <t>The move Rd7 specifically targets the Queen's connection to the knight</t>
  </si>
  <si>
    <t>The queen is not defending the knight</t>
  </si>
  <si>
    <t>2... Ra6</t>
  </si>
  <si>
    <t>White's Queen is now pinned against her own rook on f3.</t>
  </si>
  <si>
    <t>White queen is not pinned against her own rook on f3</t>
  </si>
  <si>
    <t>Black's rook on d7 has moved, freeing the rook on a8.</t>
  </si>
  <si>
    <t>The black rook moving to d7 has nothing to do with the rook on a8 beeing free</t>
  </si>
  <si>
    <t>The brilliant move Ra6 creates a double attack: it attacks the overloaded White Queen *and* the knight on b5</t>
  </si>
  <si>
    <t>Ra6 does not attack Nb5</t>
  </si>
  <si>
    <t>White queen on b6 is not overloaded as it has no defensive duties</t>
  </si>
  <si>
    <t>The Queen cannot defend both the knight and herself</t>
  </si>
  <si>
    <t>No piece can defend itself</t>
  </si>
  <si>
    <t>3... bxa6</t>
  </si>
  <si>
    <t>The knight on b5 is now hanging and can be captured next.</t>
  </si>
  <si>
    <t>The knight can move to a3 and it will not be captured next</t>
  </si>
  <si>
    <t>Black has transformed the position through clever use of overloaded pieces</t>
  </si>
  <si>
    <t>No overloaded pieces in the puzzle</t>
  </si>
  <si>
    <t>1. Rc8+</t>
  </si>
  <si>
    <t>The key idea is to remove the black rook on b8 from its defensive role. It is guarding the h8 square</t>
  </si>
  <si>
    <t>Rb8 is not defending the h8 square</t>
  </si>
  <si>
    <t>Furthermore, after Rxc8 by black, the knight on d6 gets an open line to c8</t>
  </si>
  <si>
    <t>There is no line opening in the puzzle or in this move</t>
  </si>
  <si>
    <t>2. Qh8+</t>
  </si>
  <si>
    <t>This is a discovered attack combined with a queen sacrifice (or more accurately, a queen decoy)</t>
  </si>
  <si>
    <t>It is not a discovered attack, it is a direct attack</t>
  </si>
  <si>
    <t>The move is not a queen sacrifice</t>
  </si>
  <si>
    <t>The move is not a queen decoy</t>
  </si>
  <si>
    <t>The move looks suicidal</t>
  </si>
  <si>
    <t>The move looks as safe as a move can look</t>
  </si>
  <si>
    <t>it forces the king into a fatal discovered check</t>
  </si>
  <si>
    <t>it forces black into a fatal direct check</t>
  </si>
  <si>
    <t>The pattern is: decoy the defender (1. Rc8+), then decoy the king into the line of fire of a hidden piece</t>
  </si>
  <si>
    <t>The pattern is to decoy the defender and then coerce the king in a bad spot where it gets mated</t>
  </si>
  <si>
    <t>Recognizing the power of discovered checks is vital in tactical puzzles.</t>
  </si>
  <si>
    <t>There is no discovered check in the puzzle</t>
  </si>
  <si>
    <t>3. Nxc8#</t>
  </si>
  <si>
    <t>A discovered check from the knight</t>
  </si>
  <si>
    <t>1... Nb3+</t>
  </si>
  <si>
    <t>A brilliant and thematic double check</t>
  </si>
  <si>
    <t>It is a simple check</t>
  </si>
  <si>
    <t xml:space="preserve">The Black knight delivers check, and by moving, it also opens the a8-h1 diagonal for the dark-squared bishop on b4. </t>
  </si>
  <si>
    <t>Na5 to b3 does not open up a8-h1 diagonal</t>
  </si>
  <si>
    <t>The dark squared bishop on b4 has nothing to do with the light squared a8-h1 diagonal</t>
  </si>
  <si>
    <t>White has only one legal move, as the king cannot move to d2 (occupied by rook) or capture the knight (pawn on a2 protects it).</t>
  </si>
  <si>
    <t>There is no rook on d2</t>
  </si>
  <si>
    <t>White can capture the knight, it is a legal move - the one that is played in the puzzle</t>
  </si>
  <si>
    <t>2... Ra1+</t>
  </si>
  <si>
    <t>Now the rook sacrifices itself</t>
  </si>
  <si>
    <t>The move is not a sacrifice, as the rook is not under attack</t>
  </si>
  <si>
    <t>The point is that the knight on c3 is the only piece defending the knight on b1</t>
  </si>
  <si>
    <t>There is no knight on b1</t>
  </si>
  <si>
    <t>White must capture with the knight.</t>
  </si>
  <si>
    <t>There is no legal move to capture with a knight</t>
  </si>
  <si>
    <t>3... Rxb1#</t>
  </si>
  <si>
    <t>The white knight was overloaded, defending both the rook invasion on a1 and the knight on b1.</t>
  </si>
  <si>
    <t>There was no knight on b1</t>
  </si>
  <si>
    <t>The knight was not overloaded, as it had no direct defensive duties</t>
  </si>
  <si>
    <t>After the deflection sacrifice on a1</t>
  </si>
  <si>
    <t>the knight leaves its defensive post on b1</t>
  </si>
  <si>
    <t>The king is trapped by its own pieces on c1 and d1.</t>
  </si>
  <si>
    <t>There is no piece blocking on c1, the king itself is on c1</t>
  </si>
  <si>
    <t>White's pieces (Queen on d1, Rook on h1, Knight on d2) are all pointing towards the h7-square</t>
  </si>
  <si>
    <t>Knight on d2 is not pointing towards the h7 square</t>
  </si>
  <si>
    <t>Black's king has only one defender (the g-pawn) on that side.</t>
  </si>
  <si>
    <t>There are many pieces defending the king: ph7, pg6, pf7, Bg7</t>
  </si>
  <si>
    <t>"What does Black's king protect?" The answer is often a vital pawn or square. Here, it's the pawn on g6.</t>
  </si>
  <si>
    <t>The black king does not protect the pawn on g6</t>
  </si>
  <si>
    <t>This sacrifice removes that key defender and opens the h-file</t>
  </si>
  <si>
    <t>The key defender in the position and the target of the sacrifice is the h7 pawn, not the g6 pawn</t>
  </si>
  <si>
    <t>When evaluating such a move, you ask: "What does Black's king protect?"</t>
  </si>
  <si>
    <t>When evaluating such a move, what does black's king protect is not something you ask</t>
  </si>
  <si>
    <t>1... Kxh7</t>
  </si>
  <si>
    <t>The move is not forced, e5 is a viable move to play</t>
  </si>
  <si>
    <t>capturing with any other piece leads to immediate disaster (e.g., 1...Rxh7? 2. Qxh7#).</t>
  </si>
  <si>
    <t>Rxh7 is not a legal move</t>
  </si>
  <si>
    <t>There is no other capture besides Kh7</t>
  </si>
  <si>
    <t>Qxh7 would not be a legal move</t>
  </si>
  <si>
    <t>2. hxg6+</t>
  </si>
  <si>
    <t>It's a discovered check with the h-pawn.</t>
  </si>
  <si>
    <t>It is a double check with the h pawn on Rh1</t>
  </si>
  <si>
    <t>Now you must calculate the king's flight squares: ...Kg8 and ...Kg7</t>
  </si>
  <si>
    <t>Kg7 is not a legal move</t>
  </si>
  <si>
    <t>Kh8 is impossible due to the pawn on g6.</t>
  </si>
  <si>
    <t>pawn g6 does not control h8 square. Rh1 controlling it makes the Kh8 move impossible</t>
  </si>
  <si>
    <t>2... Kg8</t>
  </si>
  <si>
    <t>The only move, as 2...Kg7?</t>
  </si>
  <si>
    <t>4. Qxg6</t>
  </si>
  <si>
    <t>The queen recaptures, giving check</t>
  </si>
  <si>
    <t>The move is not a check</t>
  </si>
  <si>
    <t>4... Rf6</t>
  </si>
  <si>
    <t>The only way to block the check.</t>
  </si>
  <si>
    <t>The black king was not in check</t>
  </si>
  <si>
    <t>The rook desperately interposes.</t>
  </si>
  <si>
    <t>The rook does not interpose betwee the white queen and the black king</t>
  </si>
  <si>
    <t>5. Rh8+</t>
  </si>
  <si>
    <t>This is a classic "clearing the back rank" sacrifice.</t>
  </si>
  <si>
    <t>This is a classic attraction sacrifice</t>
  </si>
  <si>
    <t>The goal is to deflect the black king from the defense of the g7 square and to bring the white queen to h7 with check</t>
  </si>
  <si>
    <t>The king on h8 still defends the g7 square</t>
  </si>
  <si>
    <t>The goal is to attract the king in the corner, to be mated on the next move</t>
  </si>
  <si>
    <t>Always look for these "remove the defender" ideas in mating attacks.</t>
  </si>
  <si>
    <t>There is no remove the defender theme in the puzzle</t>
  </si>
  <si>
    <t>6. Qh7#</t>
  </si>
  <si>
    <t>The black king is trapped, with the e8 rook and d7 bishop completely cut off.</t>
  </si>
  <si>
    <t>The e8 and d7 bishop have nothing to do with the delivered mate</t>
  </si>
  <si>
    <t>1. Ne7+</t>
  </si>
  <si>
    <t>Here, the knight moves to e7, delivering a discovered check from the rook on f7 and, more importantly, a double check from the rook and the knight itself</t>
  </si>
  <si>
    <t>It is not a discovered check from Rf7, it is a direct check from Ne7</t>
  </si>
  <si>
    <t>It is not a double check, as Rf7 does not attack the black Kg8</t>
  </si>
  <si>
    <t>The black king has no squares</t>
  </si>
  <si>
    <t>Black king can move to h8</t>
  </si>
  <si>
    <t>Black's only legal reply is to capture the knight</t>
  </si>
  <si>
    <t>This is a typical decoy sacrifice, luring a black piece (the rook) onto a square where it becomes vulnerable.</t>
  </si>
  <si>
    <t>This is a typical deflection sacrifice, deflecting the black Re8 from the defence of the backrank</t>
  </si>
  <si>
    <t>The Re7 is not vulnerable</t>
  </si>
  <si>
    <t>1... Rxe7</t>
  </si>
  <si>
    <t>It is not forced, Kh8 or Qe7 can be played. Qe7 is actually the better move</t>
  </si>
  <si>
    <t>Black must capture the knight to get out of double check.</t>
  </si>
  <si>
    <t>There was no double check on the board, just a simple direct check</t>
  </si>
  <si>
    <t>2. Qa8+</t>
  </si>
  <si>
    <t>The key is to see that the rook on e7 is now pinned by the white rook on f7.</t>
  </si>
  <si>
    <t>The rook on e7 is not pinned by the white rook on f7, it can move just fine</t>
  </si>
  <si>
    <t>Therefore, the rook on e7 cannot legally capture the queen on a8, as it would expose its own king to check from the rook on f7</t>
  </si>
  <si>
    <t>Rxa8 is not a legal move</t>
  </si>
  <si>
    <t>Rf7 would not check the Kg8 if black moves the Rook from e7</t>
  </si>
  <si>
    <t>This is a classic example of exploiting a pin created by the previous sacrifice.</t>
  </si>
  <si>
    <t>The rook on e7 is not pinned</t>
  </si>
  <si>
    <t>2... Re8</t>
  </si>
  <si>
    <t>Black's only move</t>
  </si>
  <si>
    <t>Black has other equally bad moves available, like Qb8 or Bf8</t>
  </si>
  <si>
    <t>blocking the check with the now-unpinned rook (it moved from e7 back to e8).</t>
  </si>
  <si>
    <t>Re7 was not pinned</t>
  </si>
  <si>
    <t>3. Qxe8</t>
  </si>
  <si>
    <t>The queen captures the rook on e8, delivering checkmate.</t>
  </si>
  <si>
    <t>This is not checkmate, black can play Bf8</t>
  </si>
  <si>
    <t>The black king is trapped, with g8 and h8 being the only squares</t>
  </si>
  <si>
    <t>The black king itself is on g8</t>
  </si>
  <si>
    <t xml:space="preserve">g8 and h8 being the only squares, but they are covered by the white rook on f7 and the bishop on b2 respectively. </t>
  </si>
  <si>
    <t>Rf7 does not cover g8 square (or h8 for that matter)</t>
  </si>
  <si>
    <t>Bb2 does not cover h8 square (or g8 for that matter)</t>
  </si>
  <si>
    <t>The knight on g4 blocks the g8 escape square</t>
  </si>
  <si>
    <t>Ng4 is actually a black knight, not a white knight as implied</t>
  </si>
  <si>
    <t>Knight g4 does not block g8 square</t>
  </si>
  <si>
    <t>The entire sequence demonstrates the power of double check</t>
  </si>
  <si>
    <t>There is no double check in the sequence</t>
  </si>
  <si>
    <t xml:space="preserve">xploiting a subsequent absolute pin </t>
  </si>
  <si>
    <t>There is no absolute pin in the sequence</t>
  </si>
  <si>
    <t>1. g4</t>
  </si>
  <si>
    <t>White's immediate problem is Black's king being on f4</t>
  </si>
  <si>
    <t>Black's king being on f4 is white's opportunity, not white's problem</t>
  </si>
  <si>
    <t>Black's king being on f4, which is relatively exposed</t>
  </si>
  <si>
    <t>Black's king on f4 is as exposed as a king can be</t>
  </si>
  <si>
    <t>Black's king being on f4, which is relatively exposed but has the e5 pawn and g5 pawn as shields.</t>
  </si>
  <si>
    <t>Black's pawns on e5 and g5 are actual blockers of the king, creating a mating net</t>
  </si>
  <si>
    <t>The move g4 attacks the king directly</t>
  </si>
  <si>
    <t>g4 does not attack Kf4 directly</t>
  </si>
  <si>
    <t>The move g4 attacks the king directly, forcing it to move</t>
  </si>
  <si>
    <t>There is no legal king move available</t>
  </si>
  <si>
    <t>Crucially, it also opens the diagonal for the bishop on e1</t>
  </si>
  <si>
    <t>g2-g4 does not open up the e1-h4 diagonal</t>
  </si>
  <si>
    <t>This is a preparatory move that creates threats and opens lines</t>
  </si>
  <si>
    <t>This is a preparatory move that creates threats but does not open any lines</t>
  </si>
  <si>
    <t>In tactical puzzles, always look for moves that combine attack with the activation of your pieces.</t>
  </si>
  <si>
    <t>g2-g4 does not attack lead to activation of white's pieces</t>
  </si>
  <si>
    <t>1... Rd1</t>
  </si>
  <si>
    <t>Black's best reply.</t>
  </si>
  <si>
    <t>Any move that black makes is as good as 1... Rd1, as there is imminent mate in 1</t>
  </si>
  <si>
    <t>The king cannot stay on f4</t>
  </si>
  <si>
    <t>King is still on f4</t>
  </si>
  <si>
    <t>The king cannot stay on f4 (g4 attacks it)</t>
  </si>
  <si>
    <t>f4 pawn is not attacking the f4 king</t>
  </si>
  <si>
    <t>moving to e4 or f3 would be illegal (occupied by pawns)</t>
  </si>
  <si>
    <t>There is no pawn occupying e4 square. moving to e4 would be illegal because of the white pawn on f3 attacking the e4 square</t>
  </si>
  <si>
    <t>Moving to g3 looks attractive, but it leads to immediate disaster</t>
  </si>
  <si>
    <t>Kg3 is not a legal move</t>
  </si>
  <si>
    <t xml:space="preserve">1... Kg3? 2. Bh4+! Kxh4 3. Rf2! and the rook on e2 delivers a deadly discovered attack with the pawn on f3, threatening Rf4#. Black's king would have no escape from h4. </t>
  </si>
  <si>
    <t>Kg3 is not legal. Entire sequence makes no sense, after an illegal move</t>
  </si>
  <si>
    <t>Therefore, Black tries to counterattack by pinning White's rook on e2 with Rd1, hoping to distract White or create a perpetual threat.</t>
  </si>
  <si>
    <t>Rd1 does not pin white's rook on e2.</t>
  </si>
  <si>
    <t>2. Bg3#</t>
  </si>
  <si>
    <t>The bishop, now unimpeded by the pawn on g2 (which moved on the first move)</t>
  </si>
  <si>
    <t>The g2 pawn did not impede the Bishop on e1 before g2-g4</t>
  </si>
  <si>
    <t>It cannot capture the bishop because the pawn on g4 protects it.</t>
  </si>
  <si>
    <t>Pawn g4 does not protect Bishop g3</t>
  </si>
  <si>
    <t>It cannot move to e4 (blocked by its own e5 pawn)</t>
  </si>
  <si>
    <t>or e3 (blocked by its own pawn on d3)</t>
  </si>
  <si>
    <t>e3 pawn cannot block d3 square as it sits on e3, not on d3</t>
  </si>
  <si>
    <t>using a pawn move to both attack the king and open a vital diagonal for a bishop</t>
  </si>
  <si>
    <t>g2-g4 did not open up diagonal for Be1</t>
  </si>
  <si>
    <t>1... Ra4</t>
  </si>
  <si>
    <t>White's rook on d4</t>
  </si>
  <si>
    <t>White's rook is on e4</t>
  </si>
  <si>
    <t>White's rook on d4 is defending the pawn on a3</t>
  </si>
  <si>
    <t>Even if a rook was on d4, it would not defend the a3 pawn</t>
  </si>
  <si>
    <t>White's rook on d4 is defending the pawn on a3 and is also pinned (though not absolutely) by the bishop on g3.</t>
  </si>
  <si>
    <t>Even if a rook was on d4, it would not be pinned by Bg3</t>
  </si>
  <si>
    <t>The immediate idea is to attack the defender of the a3-pawn.</t>
  </si>
  <si>
    <t>Ra4 does not attack any defender of the a3 pawn. The pawn is undefended</t>
  </si>
  <si>
    <t>After White's rook moves, the d4-pawn will be left undefended.</t>
  </si>
  <si>
    <t>There is a bishop, and not a pawn, on d4</t>
  </si>
  <si>
    <t>This is a classic example of overloading a piece (the Rd4) and exploiting a pin.</t>
  </si>
  <si>
    <t>There is a bishop, and not a rook, on d4</t>
  </si>
  <si>
    <t>This is an example of exploiting a pin (Bd4 is pinned) but not of overloading a piece</t>
  </si>
  <si>
    <t>2. Re3</t>
  </si>
  <si>
    <t>However, this walks right into Black's tactical follow-up, as the rook abandons the defense of the d4-pawn.</t>
  </si>
  <si>
    <t>2... Rxd4</t>
  </si>
  <si>
    <t>Winning a pawn.</t>
  </si>
  <si>
    <t>It wins a bishop, as there was a bishop and not a pawn on d4</t>
  </si>
  <si>
    <t>White's rook on e3 is pinned to the king by the bishop on g3</t>
  </si>
  <si>
    <t>White's rook on e3 is not pinned by the bishop on g3</t>
  </si>
  <si>
    <t>3. Rxd4?? is illegal due to 3... Bxe1</t>
  </si>
  <si>
    <t>3. Rxd4 is not a legal move</t>
  </si>
  <si>
    <t>Black has cleanly won a pawn</t>
  </si>
  <si>
    <t>Black has cleanly won a bishop</t>
  </si>
  <si>
    <t>The lesson: look for moves that attack multiple weaknesses, exploit pins, and overloaded defenders.</t>
  </si>
  <si>
    <t>There is no overloaded defender in this puzzle</t>
  </si>
  <si>
    <t>8/5p2/1r2p1k1/p2pKn1p/P4P1P/1P4P1/2PB4/4R3 w - - 0 2</t>
  </si>
  <si>
    <t>1... Nf5</t>
  </si>
  <si>
    <t>The knight on e7 has few good squares</t>
  </si>
  <si>
    <t>Knight on e7 has multiple good squares like f5, c6</t>
  </si>
  <si>
    <t>but f5 is a critical attacking move</t>
  </si>
  <si>
    <t>Nf5 is a critical quiet move</t>
  </si>
  <si>
    <t>it opens the way for the pawn on g6 to support a future ...f6+</t>
  </si>
  <si>
    <t>Even if a pawn was on g6, it would not support the f6 square</t>
  </si>
  <si>
    <t>Note that other moves like 2.Kd6 or 2.Kf6 are impossible due to the knight on f5</t>
  </si>
  <si>
    <t>Kf6 is impossible because of black King on g6, not because of the black Knight on f5</t>
  </si>
  <si>
    <t>Moves like 2.Rg1 or 2.h5 also fail to address the core threat.</t>
  </si>
  <si>
    <t>2. h5 is not a legal move</t>
  </si>
  <si>
    <t>2... f6#</t>
  </si>
  <si>
    <t>The black knight on f5 covers the escape squares e3 and g3</t>
  </si>
  <si>
    <t>The White king is on e5, he cannot escape to e3 or g3</t>
  </si>
  <si>
    <t>The pawn on f6 covers e5 and g5</t>
  </si>
  <si>
    <t>The White king is on e5, he cannot escape to g5</t>
  </si>
  <si>
    <t>1. g5</t>
  </si>
  <si>
    <t>Firstly, it attacks Black's bishop on d5, forcing it to move</t>
  </si>
  <si>
    <t>g4-g5 does not attack the bishop on d5</t>
  </si>
  <si>
    <t>Bd5 is not forced to move</t>
  </si>
  <si>
    <t>it opens the long diagonal a1-h8 for the bishop on f4</t>
  </si>
  <si>
    <t>g4-g5 does not open the a1-h8 long diagonal</t>
  </si>
  <si>
    <t>Always look for pawn moves that open lines for your pieces, especially in the vicinity of the enemy king.</t>
  </si>
  <si>
    <t>g4-g5 did not open any line for white's pieces</t>
  </si>
  <si>
    <t>g4-g5 is not in the vicinity of black's king on c8</t>
  </si>
  <si>
    <t>1... Bf3</t>
  </si>
  <si>
    <t>Black's only reasonable move.</t>
  </si>
  <si>
    <t>Qd7 is a better move</t>
  </si>
  <si>
    <t>Retreating the bishop to e6 would block the queen's defense of c7</t>
  </si>
  <si>
    <t>Retreating the bishop to e6 would keep the Queen's defense of c7</t>
  </si>
  <si>
    <t>moving it elsewhere loses the bishop.</t>
  </si>
  <si>
    <t>Black can move the bishop to many squares where it would not be lost, for example c4</t>
  </si>
  <si>
    <t>2. g6</t>
  </si>
  <si>
    <t>The pin of the queen against the king is becoming a major theme.</t>
  </si>
  <si>
    <t>The queen is not pinned to the king</t>
  </si>
  <si>
    <t>2... Qd7</t>
  </si>
  <si>
    <t>Black brings the queen back to defend the critical c7-pawn</t>
  </si>
  <si>
    <t>The queen was already defending the c7 pawn, the defense is maintained</t>
  </si>
  <si>
    <t>the critical c7-pawn, which is now vulnerable due to the open diagonal for White's bishop.</t>
  </si>
  <si>
    <t>The c7 pawn was vulnerable since the beginning, there is no new open diagonal for white's bishop</t>
  </si>
  <si>
    <t>3. Qxc7+</t>
  </si>
  <si>
    <t>White sacrifices the queen</t>
  </si>
  <si>
    <t>White sacrifices the bishop, not the queen</t>
  </si>
  <si>
    <t>exploit the pinned black queen.</t>
  </si>
  <si>
    <t>Black queen is not pinned</t>
  </si>
  <si>
    <t>Black's queen on d7 is overloaded, having to defend both the rook on a8 (indirectly via the king) and now its own king from check</t>
  </si>
  <si>
    <t>There is no rook on a8</t>
  </si>
  <si>
    <t>Qd7 would not defend Ra8 even if a rook was indeed on a8</t>
  </si>
  <si>
    <t>defend both the rook on a8 (indirectly via the king) and now its own king from check.</t>
  </si>
  <si>
    <t>Qd7 does not defend own king from check</t>
  </si>
  <si>
    <t>4. Bxc7</t>
  </si>
  <si>
    <t>picking up the rook on a8 next.</t>
  </si>
  <si>
    <t>The sequence transforms a material deficit into a decisive advantage.</t>
  </si>
  <si>
    <t>There was no material deficit involved</t>
  </si>
  <si>
    <t>4... Kxc7</t>
  </si>
  <si>
    <t>Again forced.</t>
  </si>
  <si>
    <t>Kxc7 is not a forced move, nor is it the best move: Be4 is the best move</t>
  </si>
  <si>
    <t>5. gxh7</t>
  </si>
  <si>
    <t>The pawn, having marched from g2 to g6</t>
  </si>
  <si>
    <t>The pawn was initially on g4, not on g2</t>
  </si>
  <si>
    <t>Black has no defense, as the king is too far away.</t>
  </si>
  <si>
    <t>Black has no defense as the king is too far away and the bishop cannot control the queening square h8</t>
  </si>
  <si>
    <t>tactical ideas like pins</t>
  </si>
  <si>
    <t>There was no pin involved at any moment in the puzzle</t>
  </si>
  <si>
    <t>The initial pawn moves (g5, g6) were not just aggressive; they were strategically necessary to open lines</t>
  </si>
  <si>
    <t>The pawn moves' idea was to deflect the queen from defending c7</t>
  </si>
  <si>
    <t>DEEPSEEK</t>
  </si>
  <si>
    <t>Kimi K2.5</t>
  </si>
  <si>
    <t>They share the long diagonal b6-c5-d4-e3-f2</t>
  </si>
  <si>
    <t>They share the diagonal a7-b6-c5-d4-e3-f2-g1</t>
  </si>
  <si>
    <t>The only legal move that saves the queen is to capture the bishop</t>
  </si>
  <si>
    <t>Capturing the bishop does not save the queen</t>
  </si>
  <si>
    <t>Forced Reply</t>
  </si>
  <si>
    <t>The move is not forced</t>
  </si>
  <si>
    <t>Now that the white queen has moved onto the shared diagonal</t>
  </si>
  <si>
    <t>The white queen was already on the shared diagonal</t>
  </si>
  <si>
    <t>The d5 pawn is the critical blockader preventing White's e-pawn from advancing</t>
  </si>
  <si>
    <t>Pawn e6 is the critical blockader preventing White's e-pawn from advancing</t>
  </si>
  <si>
    <t>20... exd5</t>
  </si>
  <si>
    <t>If black tries to decline with Qd8</t>
  </si>
  <si>
    <t>Qd8 is not a legal move, as there is a friendly king on d8</t>
  </si>
  <si>
    <t>If black tries to decline with [...] Qc5</t>
  </si>
  <si>
    <t>Qc5 makes no sense after Nxd5</t>
  </si>
  <si>
    <t>The recapture also opens up the e-file</t>
  </si>
  <si>
    <t>After exd5, the e-file is not open</t>
  </si>
  <si>
    <t>The e-pawn surges forward with tempo, attacking the bishop on d7</t>
  </si>
  <si>
    <t>The e-pawn surges forward with tempo, attacking the bishop on d7 and performing a discovery attack on the Rh8</t>
  </si>
  <si>
    <t>Black attempt to blockade the e file</t>
  </si>
  <si>
    <t>The reason for moving Re8 is to get out of the Bb2 line of attack</t>
  </si>
  <si>
    <t>The wedge on e6 severely restricts the dark-squared bishop</t>
  </si>
  <si>
    <t>The wedge on e7 severely restricts the light squared bishop</t>
  </si>
  <si>
    <t>The wedge on e6 [...] pins the d7-bishop to the king</t>
  </si>
  <si>
    <t>The bishop on d7 is not pinned</t>
  </si>
  <si>
    <t>Alternatives like 21...Bxe6 lose to 22. Qxe6</t>
  </si>
  <si>
    <t>after 21... Bxe6, Qf3 takes on e6 is not a legal move</t>
  </si>
  <si>
    <t>The decisive follow-up</t>
  </si>
  <si>
    <t>This is not the decisive move, but Nxd5 or e6 were</t>
  </si>
  <si>
    <t>eliminating the key defender on d7 with check</t>
  </si>
  <si>
    <t>exd7 does not check the Kd8</t>
  </si>
  <si>
    <t>the newly opened d-file.</t>
  </si>
  <si>
    <t>The newly opened e file</t>
  </si>
  <si>
    <t>Black's king is somewhat exposed behind only the g7-pawn</t>
  </si>
  <si>
    <t>Pawn f7 also shields black king</t>
  </si>
  <si>
    <t>The black rook on d7 is restricted</t>
  </si>
  <si>
    <t>The Rd7 sits on an open file</t>
  </si>
  <si>
    <t>Notice how the rook on d7 is already restricted - it has limited mobility on the 7th rank.</t>
  </si>
  <si>
    <t>The Rd7 is restricted on the 7th rank, but not on the d file. Also, this does not matter to the puzzle</t>
  </si>
  <si>
    <t>If Black declines with 1...Re7, then 2.Rxg7+!</t>
  </si>
  <si>
    <t>After Kg7, Rxg7 is not a legal move, as the rook is already on g7</t>
  </si>
  <si>
    <t>If Black declines with [...] 2.Rg6 maintains crushing pressure</t>
  </si>
  <si>
    <t>If black declines the sacrifice, Rg6 makes absolutely no sense</t>
  </si>
  <si>
    <t>The intermediate move</t>
  </si>
  <si>
    <t>This is not an intermediate move, it is the point of the sacrifice</t>
  </si>
  <si>
    <t>The intermediate move is a pawn fork</t>
  </si>
  <si>
    <t>The intermediate move is a discovered check</t>
  </si>
  <si>
    <t>The king was drawn to g7 specifically to block the 7th rank</t>
  </si>
  <si>
    <t>The king was drawn to g7 to perform a discovered check</t>
  </si>
  <si>
    <t>The only try to save the rook while escaping check</t>
  </si>
  <si>
    <t>Kf8 does not save or try to save the rook</t>
  </si>
  <si>
    <t>Other moves fail similarly: 2...Kh8 3.exd7 or 2...Kh7 3.exd7 leaves Black down material with no compensation</t>
  </si>
  <si>
    <t>2... Kh8 is not a legal move as the king would be in check from Bb2</t>
  </si>
  <si>
    <t>The king cannot capture on e6 because the pawn is protected by the knight on e4.</t>
  </si>
  <si>
    <t>2... Kxe6 is not a legal move, as the king sits on g7</t>
  </si>
  <si>
    <t>Ne4 does not defend pawn on e6</t>
  </si>
  <si>
    <t>Materially, White traded rooks but gained the g7-pawn, emerging up a pawn</t>
  </si>
  <si>
    <t>Through the tactic, white has gained a pawn, but he was already a pawn up so he is now two pawns up</t>
  </si>
  <si>
    <t>This pawn is worth more than a rook in the long run</t>
  </si>
  <si>
    <t>The d7 pawn being worth more than a rook is an overstatement, it is worth more like a minor piece</t>
  </si>
  <si>
    <t>A classic &lt;b&gt;deflection&lt;/b&gt; tactic</t>
  </si>
  <si>
    <t>A classic pin tactic</t>
  </si>
  <si>
    <t>The f6-knight is the sole defender of the d7-bishop</t>
  </si>
  <si>
    <t>Ke8 also defends Bd7</t>
  </si>
  <si>
    <t>Crucially, observe the long diagonal b5-e8</t>
  </si>
  <si>
    <t>Observe the diagonal a4-e8</t>
  </si>
  <si>
    <t>If Black tries 1...Kxd7??, then 2.Bxf6 wins a piece immediately.</t>
  </si>
  <si>
    <t>Kxd7 is not a legal move because the king would be in check from Bb5</t>
  </si>
  <si>
    <t>Even if Kd7 was a legal move, Bxf6 cannot be legal, as we have Be3 and Bb5 and neither can reach f6 the next move</t>
  </si>
  <si>
    <t>White gains the necessary tempo to save the b5-bishop next move (e.g., Ba4 or Bc4)</t>
  </si>
  <si>
    <t>Ba4 would not make any sense, as it would be undefeded and capturable by Ra5</t>
  </si>
  <si>
    <t>Bc4 would not be a legal move, as the Bishop is on d7</t>
  </si>
  <si>
    <t>having won a full piece (up a knight for a pawn)</t>
  </si>
  <si>
    <t>White has a pawn for the exchange</t>
  </si>
  <si>
    <t>Black is down two pawns</t>
  </si>
  <si>
    <t>Black is down one pawn</t>
  </si>
  <si>
    <t>Note that 1...Nh4 immediately fails to 2.Rxf5</t>
  </si>
  <si>
    <t>2. Rxf5 is not a legal move after 1... Nh4</t>
  </si>
  <si>
    <t>The only way to save the rook immediately</t>
  </si>
  <si>
    <t>3. Kf2 is equally good</t>
  </si>
  <si>
    <t>Kg3 does not save the rook</t>
  </si>
  <si>
    <t>3.Kf2 Nxf3+ leads to the same material loss after 4.Kxf3, though White has more options for the king.</t>
  </si>
  <si>
    <t>After either 3. Kf2 Nxf3 4. Kxf3 or 3. Kg3 Nxf3 4. Kxf3, the positions are identical</t>
  </si>
  <si>
    <t>exploiting the pin on the king's defense.</t>
  </si>
  <si>
    <t>Exploiting the fork on the king's defense</t>
  </si>
  <si>
    <t>With a Rook vs. Knight advantage and an exposed enemy king, Black has a decisive material edge and excellent winning chances.</t>
  </si>
  <si>
    <t>It is a rook versus knight+pawn advantage</t>
  </si>
  <si>
    <t>The king is not exposed, it is late endgame position</t>
  </si>
  <si>
    <t>the Black queen on h4 is currently undefended</t>
  </si>
  <si>
    <t>Qh4 is defended by Be7</t>
  </si>
  <si>
    <t>the queen's aggressive placement on h4 lacks any defensive support from the Black army</t>
  </si>
  <si>
    <t>White can exploit this immediately by attacking the queen with a sacrifice</t>
  </si>
  <si>
    <t>1. Rd4 is not a sacrifice</t>
  </si>
  <si>
    <t>A classic decoy sacrifice</t>
  </si>
  <si>
    <t>This is not a sacrifice</t>
  </si>
  <si>
    <t>KIMI</t>
  </si>
  <si>
    <t>By attacking the undefended queen with the rook</t>
  </si>
  <si>
    <t>The move embodies the principle of "attacking a loose piece with a sacrifice"</t>
  </si>
  <si>
    <t>1... Qg4</t>
  </si>
  <si>
    <t>allows Rxg4</t>
  </si>
  <si>
    <t>Qg4 is not a serious alternative, it should not be mentioned</t>
  </si>
  <si>
    <t>2. Rxg4 Bxg4</t>
  </si>
  <si>
    <t>Bxg4 is not a legal move after Qg4 Rxg4</t>
  </si>
  <si>
    <t>The bishop is tactically protected</t>
  </si>
  <si>
    <t>The bishop is undefended</t>
  </si>
  <si>
    <t>if Black attempts to recover material with Rxd4</t>
  </si>
  <si>
    <t>Rxd4 is not a legal move</t>
  </si>
  <si>
    <t>then Qxd4 explots the fact that White's queen now snaps off the unprotected d8 rook</t>
  </si>
  <si>
    <t>Qxd4 is not a legal move</t>
  </si>
  <si>
    <t>Qd4 is not attacking Rd8, because there is a Nd7 in-between</t>
  </si>
  <si>
    <t>Rd8 is protected by Be7 and by Ra8</t>
  </si>
  <si>
    <t>The key pattern here is the &lt;b&gt;overloaded defender&lt;/b&gt;</t>
  </si>
  <si>
    <t>Qe5 is not overloaded</t>
  </si>
  <si>
    <t>always scan for pieces performing multiple defensive duties—they are prime targets for tactical exploitation</t>
  </si>
  <si>
    <t>Qe5 defends only one piece</t>
  </si>
  <si>
    <t>This move also prepares to open the f-file for the black rook</t>
  </si>
  <si>
    <t>This is not the idea of f6</t>
  </si>
  <si>
    <t>2. Qf4</t>
  </si>
  <si>
    <t>Qf4 centralizes the queen</t>
  </si>
  <si>
    <t>The queen was centralized before</t>
  </si>
  <si>
    <t>The white king on d2 is too distant to help</t>
  </si>
  <si>
    <t>There is no point in mentioning such a fact</t>
  </si>
  <si>
    <t>2. Qd4</t>
  </si>
  <si>
    <t>If Qd4, Qxc5 is a blunder because the rook is still defended</t>
  </si>
  <si>
    <t>winning the exchange</t>
  </si>
  <si>
    <t>Winning the rook</t>
  </si>
  <si>
    <t>The material balance is now Queen and Rook versus Queen and two Rooks</t>
  </si>
  <si>
    <t>And a pawn up</t>
  </si>
  <si>
    <t>This position demonstrates the tactical motifs of overloading, discovered attack, and deflection.</t>
  </si>
  <si>
    <t>it is about deflecting the Be6 from attacking our queen</t>
  </si>
  <si>
    <t>The first step in solving such puzzles is to identify the geometry: notice that White's queen on b3 is aligned with the f7-square (a key weakness near the enemy king) along the b3-f7 diagona</t>
  </si>
  <si>
    <t>White queen is aligned with Be6, not pf7</t>
  </si>
  <si>
    <t>his diagonal is currently blocked by the knight on e3</t>
  </si>
  <si>
    <t>Ne3 does not block b3-f7 diagonal</t>
  </si>
  <si>
    <t>Furthermore, observe that Black's queen on d6 is defended only by the bishop on b4</t>
  </si>
  <si>
    <t>Qd6 is defennded by pc7 as well</t>
  </si>
  <si>
    <t>Crucially, this same b4-bishop also defends the f8-rook along the long diagonal (b4-f8), making it an overworked piece.</t>
  </si>
  <si>
    <t>Bb4 does not defend Rf8, as there is a queen inbetween</t>
  </si>
  <si>
    <t>The puzzle is definitely not about Bb4 or it being overworked</t>
  </si>
  <si>
    <t>Simultaneously, moving the knight from e3 opens the b3-f7 diagonal</t>
  </si>
  <si>
    <t>Nf5 does not open b3-f7 diagonal</t>
  </si>
  <si>
    <t>discovered attack</t>
  </si>
  <si>
    <t>no discovered attack involved</t>
  </si>
  <si>
    <t>A multi purpose knight sacrifice..</t>
  </si>
  <si>
    <t>This is about deflecting the Be6 attacker of our Qb3</t>
  </si>
  <si>
    <t>[ If 1. Rd6 ...] premature because Bxd6</t>
  </si>
  <si>
    <t>If Rd6, Bxb3</t>
  </si>
  <si>
    <t>Forced. Black must capture to stop the check</t>
  </si>
  <si>
    <t>Kh8 is also legal, so if Kg6 or Kg8</t>
  </si>
  <si>
    <t>By taking the knight, the e6-bishop abandons its defensive post, leaving the f7-square vulnerable to the queen on b3</t>
  </si>
  <si>
    <t>Note that pawn captures (gxf5 or exf5) are impossible.</t>
  </si>
  <si>
    <t>Not possible moves</t>
  </si>
  <si>
    <t>The tactical shot that exploits the overloaded defender</t>
  </si>
  <si>
    <t>Just a capture of hanging queen</t>
  </si>
  <si>
    <t>White captures the queen, deflecting the b4-bishop.</t>
  </si>
  <si>
    <t>It does not deflect the b4 bishop</t>
  </si>
  <si>
    <t>This wins because the bishop cannot fulfill both defensive duties—if it recaptures on d6, it abandons the defense of f8, allowing a mating net.</t>
  </si>
  <si>
    <t>if Bd6, it does not abandon f8</t>
  </si>
  <si>
    <t>2. Qxf7 is tempting but premature Kf8 survives</t>
  </si>
  <si>
    <t>Qf7 is not tempting</t>
  </si>
  <si>
    <t>After Qf7, Kf8 it not a legal move</t>
  </si>
  <si>
    <t>the black bishop on h5 seems undefended</t>
  </si>
  <si>
    <t>The black bishop on h5 IS undefended</t>
  </si>
  <si>
    <t>The key is to recognize why the immediate 1.Qh3 fails.</t>
  </si>
  <si>
    <t>Qh3 is not a legal move, as there is a friendly bishop on h3</t>
  </si>
  <si>
    <t>This is the key move—a removal of the guard tactic</t>
  </si>
  <si>
    <t>This is also about clearing the h3 square</t>
  </si>
  <si>
    <t>after the immediate 1.Qh3?</t>
  </si>
  <si>
    <t>1...Nxe4! attacking the queen</t>
  </si>
  <si>
    <t>Ne4 does not attack Qh3</t>
  </si>
  <si>
    <t>By capturing on d7, White deflects the knight away from the c5-square, thereby eliminating the ...Nxe4 defense permanently.</t>
  </si>
  <si>
    <t>Nxe4 makes no sense in any variation</t>
  </si>
  <si>
    <t>moving far away from the crucial e4 outpost</t>
  </si>
  <si>
    <t>e4 is not a crucial outpost, Nxe4 is just a blunder</t>
  </si>
  <si>
    <t>Notice that 1...Qxd7 allows the same motif: 2.Qh3</t>
  </si>
  <si>
    <t>After 1... Qxd7, Qh3 is a blunder, but Rxd7 wins</t>
  </si>
  <si>
    <t>1... Qxd7 [...] 2.Qh3 wins immediately since there's no knight to jump to e4.</t>
  </si>
  <si>
    <t>After Qxd7 and Qh3, Ne4 IS a legal move</t>
  </si>
  <si>
    <t>here is no longer any ...Nxe4 trick to worry about</t>
  </si>
  <si>
    <t>Nxe4 was no trick to worry about</t>
  </si>
  <si>
    <t>This puzzle beautifully illustrates the importance of identifying defensive resources—the ...Nxe4 counterattack</t>
  </si>
  <si>
    <t>Nxe4 was not a good move at all</t>
  </si>
  <si>
    <t>Accepting the sacrifice is natural, but White could also consider 2.Rxd4</t>
  </si>
  <si>
    <t>2. Rxd4 is not a legal move</t>
  </si>
  <si>
    <t>The intermediate check (Zwischenzug)</t>
  </si>
  <si>
    <t>this is not a zwischenzug, it is a natural recapture and double attack</t>
  </si>
  <si>
    <t>Rather than immediately capturing the rook</t>
  </si>
  <si>
    <t>Immediately capturing the rook is not a legal move</t>
  </si>
  <si>
    <t>3... Bxe5</t>
  </si>
  <si>
    <t>The pattern demonstrates the power of combining 'removal of the guard' (eliminating the blocking knight) with an intermediate check to maintain initiative while capturing material.</t>
  </si>
  <si>
    <t>there was no intermediary check anywhere in the puzzle</t>
  </si>
  <si>
    <t>The natural instinct might be to capture immediately with 1.Qxa5??,</t>
  </si>
  <si>
    <t>1. Qxa5 is nnot a legal move</t>
  </si>
  <si>
    <t>but this fails to 1...Bd7, attacking the queen and protecting the knight</t>
  </si>
  <si>
    <t>If a queen was on a5, Bd7 would nor be attacking the queen or defending the recently captured knight on a5</t>
  </si>
  <si>
    <t>A classic "check and capture" combination</t>
  </si>
  <si>
    <t>A classic double attack combination</t>
  </si>
  <si>
    <t>The only reasonable way to block the check</t>
  </si>
  <si>
    <t>c6 is also a reasonable way to block the check</t>
  </si>
  <si>
    <t>Moving the king to d8 forfeits castling rights and leaves the king exposed</t>
  </si>
  <si>
    <t>Kd8 is not a legal move, as there is a friendly queen on d8</t>
  </si>
  <si>
    <t>while 1...c6 allows 2.Qxa5 winning the knight anyway.</t>
  </si>
  <si>
    <t>after c6, Qxa5 is a total blunder as Qd8 defends a5</t>
  </si>
  <si>
    <t>1... Nc6</t>
  </si>
  <si>
    <t>d5-pawn controls c6, preventing the knight from moving there.</t>
  </si>
  <si>
    <t>despite the d5 pawn, Nc6 is still a legal move</t>
  </si>
  <si>
    <t>c5 allows ...Nxc5</t>
  </si>
  <si>
    <t>after Qc5, Nxc5 is not a legal move</t>
  </si>
  <si>
    <t>[Queen cannot move to] b8 (controlled by the rook)</t>
  </si>
  <si>
    <t>queen cannot move to b8 because there is a pawn on b7 standing in the way</t>
  </si>
  <si>
    <t>3. Qxa6</t>
  </si>
  <si>
    <t>Completely forced</t>
  </si>
  <si>
    <t>May be the best move but "completely forced" implies only legal move</t>
  </si>
  <si>
    <t>the black rook on b8 guards the h8-square, preventing the queen from delivering checkmate</t>
  </si>
  <si>
    <t>black roon on b8 does not defend h8, because there is a king in-between on f8</t>
  </si>
  <si>
    <t>Importantly, 1... Ke7 fails outright to 2. Nxc8#</t>
  </si>
  <si>
    <t>After Ke7, Nxc8 is not a legal move as there is a friendly rook on c8</t>
  </si>
  <si>
    <t>This is a deflection sacrifice</t>
  </si>
  <si>
    <t>This is a decoy/attraction/removing the defender sacrifice</t>
  </si>
  <si>
    <t>retreating the king leads to immediate mate.</t>
  </si>
  <si>
    <t>there is no legal move as a king retreat</t>
  </si>
  <si>
    <t>With the defender gone</t>
  </si>
  <si>
    <t>Rb8 was not defending the h8 square before</t>
  </si>
  <si>
    <t>This move also creates a battery effect with the knight, cutting off the king's escape routes along the 8th rank.</t>
  </si>
  <si>
    <t>The battery does control 8th rank squares but also does onlythe queen</t>
  </si>
  <si>
    <t>g7-square is blocked by the pawn on g6</t>
  </si>
  <si>
    <t>g7 square cannot be blocked by g6 pawn</t>
  </si>
  <si>
    <t>This is a smothered mate pattern where the king is suffocated by its own pieces.</t>
  </si>
  <si>
    <t>It's not a smothered mate</t>
  </si>
  <si>
    <t>The a2 pawn is the only barrier preventing Black's a8-rook from delivering a fatal blow.</t>
  </si>
  <si>
    <t>Na5 is also blocking Ra8 from delivering a fatal blow</t>
  </si>
  <si>
    <t>Note that 2.Kb1? fails to 2...Bxc3 winning the queen</t>
  </si>
  <si>
    <t>Kb1 is not a legal move</t>
  </si>
  <si>
    <t>2.Kd2? allows 2...Bxc3+ with the same result.</t>
  </si>
  <si>
    <t>Kd2 is not a legal move</t>
  </si>
  <si>
    <t>2... Ra1</t>
  </si>
  <si>
    <t>A classic rook sacrifice</t>
  </si>
  <si>
    <t>This move is not a sacrifice</t>
  </si>
  <si>
    <t>By sacrificing the exchange</t>
  </si>
  <si>
    <t>No exchange sacrifice here</t>
  </si>
  <si>
    <t>Observe that 3.Kb2? is met by the zwischenzug 3...Bxc3+!</t>
  </si>
  <si>
    <t>Kb2 is not a legal move</t>
  </si>
  <si>
    <t>3...Bxc3+! (discovered check) followed by capturing the queen.</t>
  </si>
  <si>
    <t>if Kb2 was really possible, Bxc3 would be a direct and not discovered check</t>
  </si>
  <si>
    <t>3. Nb1</t>
  </si>
  <si>
    <t>The knight must block to avoid immediate material loss</t>
  </si>
  <si>
    <t>The knight must block as it's the only legal move</t>
  </si>
  <si>
    <t>and b2 by the rook itself</t>
  </si>
  <si>
    <t>Kb2 is not a legal move because there is a friendly pawn on b2</t>
  </si>
  <si>
    <t>The Greek Gift sacrifice</t>
  </si>
  <si>
    <t>This is not a greek gift sacrifice</t>
  </si>
  <si>
    <t>Black cannot decline with 1...Kg8</t>
  </si>
  <si>
    <t>Kg8 is not a legal move as the king is already on g8</t>
  </si>
  <si>
    <t>Black cannot decline with 1...Kg8 because 2. Nxf7 wins</t>
  </si>
  <si>
    <t>There is no possible Nxf7 legal move in this scenario</t>
  </si>
  <si>
    <t>2. Qh5 threatens immediate mate on h7</t>
  </si>
  <si>
    <t>There is no possible Qh5 legal move in this scenario</t>
  </si>
  <si>
    <t>Accepting is forced</t>
  </si>
  <si>
    <t>Accepting is not forced, nor is it evidently the best move</t>
  </si>
  <si>
    <t>Critical intermediate check!</t>
  </si>
  <si>
    <t>It is not an intermediary move, it is a definitely ofensive double check move</t>
  </si>
  <si>
    <t>[White now threatens ...] Qh8#</t>
  </si>
  <si>
    <t>Qh8 would not be a mate, as Bxh8 is possible</t>
  </si>
  <si>
    <t>Notice how the bishop on d3 indirectly supports this by controlling the long diagonal and preventing ...Qd6 defensive ideas.</t>
  </si>
  <si>
    <t>b1-h7 is NOT a long diagonal</t>
  </si>
  <si>
    <t>Qd8 to d6 would n ot be a legal move as there is a bishop on d7</t>
  </si>
  <si>
    <t>3... fxg6</t>
  </si>
  <si>
    <t>If 3...Bf6, then 4. Qh7+ Kf8 5. Qh8+ Ke7 6. Qxg7# shows the power of the open file.</t>
  </si>
  <si>
    <t>After Bf6 Qh7, it is mate si Kf8 is not a legal move</t>
  </si>
  <si>
    <t>Maintaining the attack while targeting the f7 weakness and the rook on f8.</t>
  </si>
  <si>
    <t>Qg6 does not target Rf8</t>
  </si>
  <si>
    <t>A desperate blockade attempt. Black tries to close the h-file,</t>
  </si>
  <si>
    <t>Black tries to free up his f8 square for the king</t>
  </si>
  <si>
    <t>but this creates new vulnerabilities.</t>
  </si>
  <si>
    <t>No vulnerabilities created</t>
  </si>
  <si>
    <t>When the defender places pieces to block an open file, this tactical motif is often decisive.</t>
  </si>
  <si>
    <t>Opponent did not place pieces to block h file</t>
  </si>
  <si>
    <t>White removes the king's cover</t>
  </si>
  <si>
    <t>White attracts the king into the corner</t>
  </si>
  <si>
    <t>A classic back-rank finish</t>
  </si>
  <si>
    <t>This is not a backrank mate</t>
  </si>
  <si>
    <t>This puzzle demonstrates the power of the Greek Gift sacrifice</t>
  </si>
  <si>
    <t>It is not a greek gift sacrifice</t>
  </si>
  <si>
    <t>1. Ne7</t>
  </si>
  <si>
    <t>Black's king is trapped on the back rank by its own pawns (g7, h7).</t>
  </si>
  <si>
    <t>There is a bishop and not a pawn on g7</t>
  </si>
  <si>
    <t>rook on e8 is the sole defender of the critical e8-square</t>
  </si>
  <si>
    <t>Re8 is not a defender of the e8 square</t>
  </si>
  <si>
    <t>e8 is not a critical square</t>
  </si>
  <si>
    <t>White exploits this with a forcing move -- a check that compels the defender to abandon its post</t>
  </si>
  <si>
    <t>White forces black to capture, as Ne7 is a royal fork\</t>
  </si>
  <si>
    <t>If Kf8 Rxf7 wins the exchange</t>
  </si>
  <si>
    <t>Kf8 is not a legal move</t>
  </si>
  <si>
    <t>The queen check simultaneously attacks the king and threatens mate on e8.</t>
  </si>
  <si>
    <t>Qe8 mate is not a threat</t>
  </si>
  <si>
    <t>Other defenses fail by force: 2...Qf8 3.Qxf8+ Rxf8 4.Rxf8# (overloading the defender)</t>
  </si>
  <si>
    <t>Qf8 is not a legal move</t>
  </si>
  <si>
    <t>2...Kh7 3.Qxe8 and mate is unavoidable.</t>
  </si>
  <si>
    <t>Kh7 is not a legal move</t>
  </si>
  <si>
    <t>there is no piece on e8 to be captured by the queen</t>
  </si>
  <si>
    <t>The queen delivers the final blow on the weakened light squares</t>
  </si>
  <si>
    <t>the weakened light squares are not present, or important</t>
  </si>
  <si>
    <t>had Black played ...h6 or ...g6 earlier, the back-rank mating net would not exist.</t>
  </si>
  <si>
    <t>it opens the long diagonal</t>
  </si>
  <si>
    <t>g2-g4 does not open the long diagonal</t>
  </si>
  <si>
    <t>for the light-squared bishop</t>
  </si>
  <si>
    <t>there is no light squared bishop on the board</t>
  </si>
  <si>
    <t>and the white rook on e2 dominates the e-file, creating a perfect mating net.</t>
  </si>
  <si>
    <t>Re2 does not dominate e file, as it is blocked by the e3 pawn</t>
  </si>
  <si>
    <t>Black's only significant attempt at defense</t>
  </si>
  <si>
    <t>Many alternatives, all equally bad</t>
  </si>
  <si>
    <t>e4 is controlled by the rook on e2</t>
  </si>
  <si>
    <t>e4 is controlled by the pawn on f3. Re2 does not control e4</t>
  </si>
  <si>
    <t>In this position, Black is down a bishop</t>
  </si>
  <si>
    <t>must act energetically</t>
  </si>
  <si>
    <t>black must not act energetically</t>
  </si>
  <si>
    <t>The key tactical concept here is the "overloaded defender"</t>
  </si>
  <si>
    <t>key tactical concept is the pin</t>
  </si>
  <si>
    <t>White rook on e4 is the sole protector of both the bishop on d4 and the critical a3-pawn.</t>
  </si>
  <si>
    <t>the pawn on a3 is not defended by Re4</t>
  </si>
  <si>
    <t>A powerful intermediate move creating a deadly dual threat.</t>
  </si>
  <si>
    <t>A powerful waiting move, to put black in zugzwang</t>
  </si>
  <si>
    <t>First, the rook immediately attacks the bishop on d4</t>
  </si>
  <si>
    <t>The bishop on d4 was already attacked</t>
  </si>
  <si>
    <t>Black threatens ...Rxa3+, winning a pawn with check since the rook on a4 controls the a-file down to a1.</t>
  </si>
  <si>
    <t>the rook on a file attacks a3 but does not control a1</t>
  </si>
  <si>
    <t>If White saves the bishop with 2.Bc3 (or 2.Bc5, 2.Bb6, 2.Bf2), Black executes 2...Rxa3+! winning the pawn with check</t>
  </si>
  <si>
    <t>If white moves the bishop, Rxe4 wins</t>
  </si>
  <si>
    <t>After 3.Kg4</t>
  </si>
  <si>
    <t>Kg4 would not be a legal move</t>
  </si>
  <si>
    <t>If White ignores the threat with 2.g3</t>
  </si>
  <si>
    <t>g3 is not a legal move</t>
  </si>
  <si>
    <t>Therefore, White attempts to justify the bishop's placement by defending the a3-pawn from the side, hoping to maintain the blockade. However...</t>
  </si>
  <si>
    <t>This is not about the bishop's placement. White is in zugzwang</t>
  </si>
  <si>
    <t>The White rook was overloaded</t>
  </si>
  <si>
    <t>White was in zugzwang</t>
  </si>
  <si>
    <t>Zugzwang</t>
  </si>
  <si>
    <t>not a zugzwang</t>
  </si>
  <si>
    <t>and the e6-pawn prevents capture on f7</t>
  </si>
  <si>
    <t>the f7 pawn prevents capture on e6</t>
  </si>
  <si>
    <t>However, the king retains escape squares on d6 and d4</t>
  </si>
  <si>
    <t>Kd6 would not be a legal move</t>
  </si>
  <si>
    <t>1... f6 would be a grave error, allowing Kd6</t>
  </si>
  <si>
    <t>After f6, Kd6 is not a legal move</t>
  </si>
  <si>
    <t>White is in complete Zugzwang</t>
  </si>
  <si>
    <t>Black threatens ...Bg2+</t>
  </si>
  <si>
    <t>Bg2 would not check the Kh4</t>
  </si>
  <si>
    <t>White ignores the threatened check</t>
  </si>
  <si>
    <t>white blocks the threatened check on h5</t>
  </si>
  <si>
    <t>Here, 2...Bg2+ is met by 3.Kg3, and the queen must still flee from g6.</t>
  </si>
  <si>
    <t>3. Qxc7</t>
  </si>
  <si>
    <t>The decoy and deflection sacrifice</t>
  </si>
  <si>
    <t>The removal of the defender sacrifice</t>
  </si>
  <si>
    <t>White removes the queen from d7 (deflection)</t>
  </si>
  <si>
    <t>White removes the defender Qd7</t>
  </si>
  <si>
    <t>and simultaneously lures the black king to c7 (decoy)</t>
  </si>
  <si>
    <t>king is not lured to c7, it sits well on c7, even better than on c8</t>
  </si>
  <si>
    <t>Here, c7 is the perfect trap square because it is even further from the h-file.</t>
  </si>
  <si>
    <t>c8 or c7 are equal distance to h8 square</t>
  </si>
  <si>
    <t>3... Qxc7</t>
  </si>
  <si>
    <t>If 3...Kb8, then 4.Qb6</t>
  </si>
  <si>
    <t>Kb8 is not a legal move</t>
  </si>
  <si>
    <t>By capturing with check</t>
  </si>
  <si>
    <t>Bxc7 is not a check</t>
  </si>
  <si>
    <t>This is a "tempo" move</t>
  </si>
  <si>
    <t>this is not a tempo move</t>
  </si>
  <si>
    <t>Notice how the bishop sacrifice clears the way for the g-pawn while the king is busy.</t>
  </si>
  <si>
    <t>the sacrifice happened earlier, for different reasons</t>
  </si>
  <si>
    <t>From c7, it is seven squares away from h7,</t>
  </si>
  <si>
    <t>From c7 the kig is 5 squares away from h7</t>
  </si>
  <si>
    <t>The pawn promotes with checkmate or queen coming next move</t>
  </si>
  <si>
    <t>no promotion with checkmate</t>
  </si>
  <si>
    <t>1) Create passed pawns to stretch enemy defenses, 2) Use deflection to remove key defenders, 3) Decoy the enemy king to irrelevant squares, 4) Always calculate the resulting pawn race!</t>
  </si>
  <si>
    <t>Puzzle is not about those themes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</si>
</sst>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0" x14ac:knownFonts="1">
    <font>
      <sz val="10"/>
      <color rgb="FF000000"/>
      <name val="Arial"/>
      <charset val="1"/>
    </font>
    <font>
      <b/>
      <sz val="11"/>
      <color rgb="FFFFFFFF"/>
      <name val="Arial"/>
      <charset val="1"/>
    </font>
    <font>
      <b/>
      <sz val="10"/>
      <name val="Arial"/>
      <charset val="1"/>
    </font>
    <font>
      <b/>
      <sz val="10"/>
      <color rgb="FFFFFFFF"/>
      <name val="Arial"/>
      <charset val="1"/>
    </font>
    <font>
      <sz val="10"/>
      <name val="Arial"/>
      <charset val="1"/>
    </font>
    <font>
      <sz val="10"/>
      <color rgb="FF1155CC"/>
      <name val="Arial"/>
      <charset val="1"/>
    </font>
    <font>
      <b/>
      <sz val="10"/>
      <color rgb="FF000000"/>
      <name val="Arial"/>
      <charset val="1"/>
    </font>
    <font>
      <b/>
      <sz val="12"/>
      <color rgb="FFFFFFFF"/>
      <name val="Arial"/>
      <charset val="1"/>
    </font>
    <font>
      <sz val="9"/>
      <color rgb="FF888888"/>
      <name val="Arial"/>
      <charset val="1"/>
    </font>
    <font>
      <b/>
      <sz val="10"/>
      <color rgb="FF1155CC"/>
      <name val="Arial"/>
      <charset val="1"/>
    </font>
    <font>
      <b/>
      <sz val="10"/>
      <color rgb="FF404040"/>
      <name val="Arial"/>
      <charset val="1"/>
    </font>
    <font>
      <b/>
      <sz val="11"/>
      <color rgb="FF1155CC"/>
      <name val="Arial"/>
      <charset val="1"/>
    </font>
    <font>
      <sz val="9"/>
      <name val="Arial"/>
      <charset val="1"/>
    </font>
    <font>
      <sz val="10"/>
      <color theme="1"/>
      <name val="Arial"/>
      <charset val="1"/>
    </font>
    <font>
      <sz val="9"/>
      <name val="Arial"/>
      <family val="2"/>
    </font>
    <font>
      <b/>
      <sz val="10"/>
      <color rgb="FFFFFFFF"/>
      <name val="Arial"/>
      <family val="2"/>
    </font>
    <font>
      <u/>
      <sz val="10"/>
      <color theme="10"/>
      <name val="Arial"/>
      <charset val="1"/>
    </font>
    <font>
      <b/>
      <sz val="11"/>
      <color rgb="FFFFFFFF"/>
      <name val="Arial"/>
      <family val="2"/>
    </font>
    <font>
      <b/>
      <sz val="10"/>
      <color rgb="FF404040"/>
      <name val="Arial"/>
      <family val="2"/>
    </font>
    <font>
      <sz val="10"/>
      <name val="Arial"/>
      <family val="2"/>
    </font>
  </fonts>
  <fills count="12">
    <fill>
      <patternFill patternType="none"/>
    </fill>
    <fill>
      <patternFill patternType="gray125"/>
    </fill>
    <fill>
      <patternFill patternType="solid">
        <fgColor rgb="FF1F4E79"/>
        <bgColor rgb="FF003366"/>
      </patternFill>
    </fill>
    <fill>
      <patternFill patternType="solid">
        <fgColor rgb="FF2E75B6"/>
        <bgColor rgb="FF1155CC"/>
      </patternFill>
    </fill>
    <fill>
      <patternFill patternType="solid">
        <fgColor rgb="FFBDD7EE"/>
        <bgColor rgb="FF99CCFF"/>
      </patternFill>
    </fill>
    <fill>
      <patternFill patternType="solid">
        <fgColor rgb="FFF2F2F2"/>
        <bgColor rgb="FFEBF3FB"/>
      </patternFill>
    </fill>
    <fill>
      <patternFill patternType="solid">
        <fgColor rgb="FF70AD47"/>
        <bgColor rgb="FF92D050"/>
      </patternFill>
    </fill>
    <fill>
      <patternFill patternType="solid">
        <fgColor rgb="FF92D050"/>
        <bgColor rgb="FF70AD47"/>
      </patternFill>
    </fill>
    <fill>
      <patternFill patternType="solid">
        <fgColor rgb="FFFFB900"/>
        <bgColor rgb="FFFF9900"/>
      </patternFill>
    </fill>
    <fill>
      <patternFill patternType="solid">
        <fgColor rgb="FFFF6600"/>
        <bgColor rgb="FFFF9900"/>
      </patternFill>
    </fill>
    <fill>
      <patternFill patternType="solid">
        <fgColor rgb="FFFF0000"/>
        <bgColor rgb="FF8B0000"/>
      </patternFill>
    </fill>
    <fill>
      <patternFill patternType="solid">
        <fgColor rgb="FFEBF3FB"/>
        <b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16" fillId="0" borderId="0" applyNumberFormat="0" applyFill="0" applyBorder="0" applyAlignment="0" applyProtection="0"/>
  </cellStyleXfs>
  <cellXfs count="57">
    <xf numFmtId="0" fontId="0" fillId="0" borderId="0" xfId="0"/>
    <xf numFmtId="0" fontId="2" fillId="5" borderId="1" xfId="0" applyFont="1" applyFill="1" applyBorder="1" applyAlignment="1">
      <alignment horizontal="left" vertical="center"/>
    </xf>
    <xf numFmtId="0" fontId="2" fillId="0" borderId="1" xfId="0" applyFont="1" applyBorder="1" applyAlignment="1">
      <alignment horizontal="left" vertical="center"/>
    </xf>
    <xf numFmtId="0" fontId="3" fillId="6" borderId="1" xfId="0" applyFont="1" applyFill="1" applyBorder="1" applyAlignment="1">
      <alignment horizontal="center" vertical="center"/>
    </xf>
    <xf numFmtId="0" fontId="4" fillId="5" borderId="1" xfId="0" applyFont="1" applyFill="1" applyBorder="1" applyAlignment="1">
      <alignment horizontal="left" vertical="center"/>
    </xf>
    <xf numFmtId="0" fontId="3" fillId="7" borderId="1" xfId="0" applyFont="1" applyFill="1" applyBorder="1" applyAlignment="1">
      <alignment horizontal="center" vertical="center"/>
    </xf>
    <xf numFmtId="0" fontId="4" fillId="0" borderId="1" xfId="0" applyFont="1" applyBorder="1" applyAlignment="1">
      <alignment horizontal="left"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2" fontId="5"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0" fontId="2" fillId="11" borderId="1" xfId="0" applyFont="1" applyFill="1" applyBorder="1" applyAlignment="1">
      <alignment horizontal="center" vertical="center"/>
    </xf>
    <xf numFmtId="0" fontId="0" fillId="11" borderId="1" xfId="0" applyFill="1" applyBorder="1" applyAlignment="1">
      <alignment horizontal="center" vertical="center"/>
    </xf>
    <xf numFmtId="2" fontId="5" fillId="11" borderId="1" xfId="0" applyNumberFormat="1" applyFont="1" applyFill="1" applyBorder="1" applyAlignment="1">
      <alignment horizontal="center" vertical="center"/>
    </xf>
    <xf numFmtId="2" fontId="6" fillId="11"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8" fillId="11" borderId="1" xfId="0" applyFont="1" applyFill="1" applyBorder="1" applyAlignment="1">
      <alignment horizontal="center" vertical="center"/>
    </xf>
    <xf numFmtId="0" fontId="0" fillId="11" borderId="1" xfId="0" applyFill="1" applyBorder="1" applyAlignment="1">
      <alignment horizontal="left" vertical="center"/>
    </xf>
    <xf numFmtId="0" fontId="9" fillId="11" borderId="1" xfId="0" applyFont="1" applyFill="1" applyBorder="1" applyAlignment="1">
      <alignment horizontal="center" vertical="center"/>
    </xf>
    <xf numFmtId="164" fontId="0" fillId="11" borderId="1" xfId="0" applyNumberFormat="1" applyFill="1" applyBorder="1" applyAlignment="1">
      <alignment horizontal="center" vertical="center"/>
    </xf>
    <xf numFmtId="0" fontId="10" fillId="4"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0" borderId="1" xfId="0" applyFont="1" applyBorder="1" applyAlignment="1">
      <alignment horizontal="center" vertical="center"/>
    </xf>
    <xf numFmtId="0" fontId="9" fillId="0" borderId="1" xfId="0" applyFont="1" applyBorder="1" applyAlignment="1">
      <alignment horizontal="left" vertical="center"/>
    </xf>
    <xf numFmtId="165" fontId="11"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12" fillId="11" borderId="1" xfId="0" applyFont="1" applyFill="1" applyBorder="1" applyAlignment="1">
      <alignment vertical="center" wrapText="1"/>
    </xf>
    <xf numFmtId="0" fontId="12" fillId="0" borderId="1" xfId="0" applyFont="1" applyBorder="1" applyAlignment="1">
      <alignment vertical="center" wrapText="1"/>
    </xf>
    <xf numFmtId="0" fontId="13" fillId="0" borderId="0" xfId="0" applyFont="1"/>
    <xf numFmtId="0" fontId="13" fillId="0" borderId="0" xfId="0" applyFont="1" applyAlignment="1">
      <alignment wrapText="1"/>
    </xf>
    <xf numFmtId="0" fontId="14" fillId="11" borderId="1" xfId="0" applyFont="1" applyFill="1" applyBorder="1" applyAlignment="1">
      <alignment vertical="center" wrapText="1"/>
    </xf>
    <xf numFmtId="0" fontId="14" fillId="0" borderId="1" xfId="0" applyFont="1" applyBorder="1" applyAlignment="1">
      <alignment vertical="center" wrapText="1"/>
    </xf>
    <xf numFmtId="0" fontId="15" fillId="2"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5"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9" borderId="1" xfId="0" applyFont="1" applyFill="1" applyBorder="1" applyAlignment="1">
      <alignment horizontal="center" vertical="center"/>
    </xf>
    <xf numFmtId="0" fontId="15" fillId="10" borderId="1" xfId="0" applyFont="1" applyFill="1" applyBorder="1" applyAlignment="1">
      <alignment horizontal="center" vertical="center"/>
    </xf>
    <xf numFmtId="0" fontId="16" fillId="5" borderId="1" xfId="1" applyFill="1" applyBorder="1" applyAlignment="1">
      <alignment horizontal="left" vertical="center"/>
    </xf>
    <xf numFmtId="0" fontId="16" fillId="0" borderId="1" xfId="1" applyBorder="1" applyAlignment="1">
      <alignment horizontal="left" vertical="center"/>
    </xf>
    <xf numFmtId="0" fontId="7" fillId="2" borderId="2" xfId="0" applyFont="1" applyFill="1" applyBorder="1" applyAlignment="1">
      <alignment horizontal="center" vertical="center" wrapText="1"/>
    </xf>
    <xf numFmtId="0" fontId="3" fillId="3" borderId="1" xfId="0" applyFont="1" applyFill="1" applyBorder="1" applyAlignment="1">
      <alignment horizontal="left" vertical="center"/>
    </xf>
    <xf numFmtId="0" fontId="19"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17"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9"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2" borderId="1" xfId="0" applyFont="1" applyFill="1" applyBorder="1" applyAlignment="1">
      <alignment horizontal="right" vertical="center"/>
    </xf>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88888"/>
      <rgbColor rgb="FF9999FF"/>
      <rgbColor rgb="FF993366"/>
      <rgbColor rgb="FFFFEEEE"/>
      <rgbColor rgb="FFDFF0FF"/>
      <rgbColor rgb="FF660066"/>
      <rgbColor rgb="FFFF8080"/>
      <rgbColor rgb="FF1155CC"/>
      <rgbColor rgb="FFBDD7EE"/>
      <rgbColor rgb="FF000080"/>
      <rgbColor rgb="FFFF00FF"/>
      <rgbColor rgb="FFFFFF00"/>
      <rgbColor rgb="FF00FFFF"/>
      <rgbColor rgb="FF800080"/>
      <rgbColor rgb="FF800000"/>
      <rgbColor rgb="FF008080"/>
      <rgbColor rgb="FF0000FF"/>
      <rgbColor rgb="FF00CCFF"/>
      <rgbColor rgb="FFEBF3FB"/>
      <rgbColor rgb="FFF2F2F2"/>
      <rgbColor rgb="FFFFFF99"/>
      <rgbColor rgb="FF99CCFF"/>
      <rgbColor rgb="FFFF99CC"/>
      <rgbColor rgb="FFCC99FF"/>
      <rgbColor rgb="FFFFCC99"/>
      <rgbColor rgb="FF2E75B6"/>
      <rgbColor rgb="FF33CCCC"/>
      <rgbColor rgb="FF92D050"/>
      <rgbColor rgb="FFFFB900"/>
      <rgbColor rgb="FFFF9900"/>
      <rgbColor rgb="FFFF6600"/>
      <rgbColor rgb="FF666666"/>
      <rgbColor rgb="FF70AD47"/>
      <rgbColor rgb="FF003366"/>
      <rgbColor rgb="FF339966"/>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D29"/>
  <sheetViews>
    <sheetView showGridLines="0" tabSelected="1" zoomScaleNormal="100" workbookViewId="0">
      <pane ySplit="1" topLeftCell="A2" activePane="bottomLeft" state="frozen"/>
      <selection pane="bottomLeft" sqref="A1:C1"/>
    </sheetView>
  </sheetViews>
  <sheetFormatPr defaultColWidth="8.73046875" defaultRowHeight="12.75" x14ac:dyDescent="0.35"/>
  <cols>
    <col min="1" max="1" width="15.59765625" bestFit="1" customWidth="1"/>
    <col min="2" max="2" width="11.59765625" bestFit="1" customWidth="1"/>
    <col min="3" max="3" width="63.796875" bestFit="1" customWidth="1"/>
    <col min="4" max="4" width="24.265625" bestFit="1" customWidth="1"/>
  </cols>
  <sheetData>
    <row r="1" spans="1:3" ht="15" x14ac:dyDescent="0.35">
      <c r="A1" s="46" t="s">
        <v>563</v>
      </c>
      <c r="B1" s="46"/>
      <c r="C1" s="46"/>
    </row>
    <row r="2" spans="1:3" ht="13.15" x14ac:dyDescent="0.35">
      <c r="A2" s="47" t="s">
        <v>559</v>
      </c>
      <c r="B2" s="47"/>
      <c r="C2" s="47"/>
    </row>
    <row r="3" spans="1:3" ht="13.15" x14ac:dyDescent="0.35">
      <c r="A3" s="25" t="s">
        <v>15</v>
      </c>
      <c r="B3" s="25" t="s">
        <v>16</v>
      </c>
      <c r="C3" s="25" t="s">
        <v>17</v>
      </c>
    </row>
    <row r="4" spans="1:3" ht="13.9" x14ac:dyDescent="0.35">
      <c r="A4" s="1" t="s">
        <v>18</v>
      </c>
      <c r="B4" s="26">
        <v>8</v>
      </c>
      <c r="C4" s="4" t="s">
        <v>560</v>
      </c>
    </row>
    <row r="5" spans="1:3" ht="13.9" x14ac:dyDescent="0.35">
      <c r="A5" s="2" t="s">
        <v>19</v>
      </c>
      <c r="B5" s="27">
        <v>6</v>
      </c>
      <c r="C5" s="6" t="s">
        <v>561</v>
      </c>
    </row>
    <row r="6" spans="1:3" ht="13.9" x14ac:dyDescent="0.35">
      <c r="A6" s="1" t="s">
        <v>20</v>
      </c>
      <c r="B6" s="26">
        <v>5</v>
      </c>
      <c r="C6" s="4" t="s">
        <v>562</v>
      </c>
    </row>
    <row r="7" spans="1:3" ht="13.9" x14ac:dyDescent="0.35">
      <c r="A7" s="2" t="s">
        <v>21</v>
      </c>
      <c r="B7" s="27">
        <v>4</v>
      </c>
      <c r="C7" s="6" t="s">
        <v>22</v>
      </c>
    </row>
    <row r="8" spans="1:3" ht="13.9" x14ac:dyDescent="0.35">
      <c r="A8" s="1" t="s">
        <v>23</v>
      </c>
      <c r="B8" s="26">
        <v>3</v>
      </c>
      <c r="C8" s="4" t="s">
        <v>24</v>
      </c>
    </row>
    <row r="9" spans="1:3" ht="13.9" x14ac:dyDescent="0.35">
      <c r="A9" s="2" t="s">
        <v>25</v>
      </c>
      <c r="B9" s="27">
        <v>2</v>
      </c>
      <c r="C9" s="6" t="s">
        <v>26</v>
      </c>
    </row>
    <row r="10" spans="1:3" ht="13.9" x14ac:dyDescent="0.35">
      <c r="A10" s="1" t="s">
        <v>27</v>
      </c>
      <c r="B10" s="26">
        <v>1</v>
      </c>
      <c r="C10" s="4" t="s">
        <v>28</v>
      </c>
    </row>
    <row r="12" spans="1:3" ht="13.15" x14ac:dyDescent="0.35">
      <c r="A12" s="47" t="s">
        <v>29</v>
      </c>
      <c r="B12" s="47"/>
      <c r="C12" s="47"/>
    </row>
    <row r="13" spans="1:3" ht="13.15" x14ac:dyDescent="0.35">
      <c r="A13" s="25" t="s">
        <v>30</v>
      </c>
      <c r="B13" s="25" t="s">
        <v>31</v>
      </c>
      <c r="C13" s="25" t="s">
        <v>32</v>
      </c>
    </row>
    <row r="14" spans="1:3" ht="13.9" x14ac:dyDescent="0.35">
      <c r="A14" s="1" t="s">
        <v>33</v>
      </c>
      <c r="B14" s="26">
        <v>3</v>
      </c>
      <c r="C14" s="4" t="s">
        <v>564</v>
      </c>
    </row>
    <row r="15" spans="1:3" ht="13.9" x14ac:dyDescent="0.35">
      <c r="A15" s="2" t="s">
        <v>34</v>
      </c>
      <c r="B15" s="27">
        <v>2</v>
      </c>
      <c r="C15" s="6" t="s">
        <v>35</v>
      </c>
    </row>
    <row r="16" spans="1:3" ht="13.9" x14ac:dyDescent="0.35">
      <c r="A16" s="1" t="s">
        <v>36</v>
      </c>
      <c r="B16" s="26">
        <v>1</v>
      </c>
      <c r="C16" s="4" t="s">
        <v>37</v>
      </c>
    </row>
    <row r="18" spans="1:4" ht="13.15" x14ac:dyDescent="0.35">
      <c r="A18" s="47" t="s">
        <v>565</v>
      </c>
      <c r="B18" s="47"/>
      <c r="C18" s="47"/>
    </row>
    <row r="19" spans="1:4" ht="13.15" x14ac:dyDescent="0.35">
      <c r="A19" s="25" t="s">
        <v>38</v>
      </c>
      <c r="B19" s="25" t="s">
        <v>39</v>
      </c>
      <c r="C19" s="25" t="s">
        <v>40</v>
      </c>
    </row>
    <row r="20" spans="1:4" ht="25.5" x14ac:dyDescent="0.35">
      <c r="A20" s="28" t="s">
        <v>41</v>
      </c>
      <c r="B20" s="29">
        <v>0.7</v>
      </c>
      <c r="C20" s="30" t="s">
        <v>42</v>
      </c>
    </row>
    <row r="22" spans="1:4" ht="26.25" x14ac:dyDescent="0.35">
      <c r="A22" s="38" t="s">
        <v>1295</v>
      </c>
      <c r="B22" s="38" t="s">
        <v>1296</v>
      </c>
      <c r="C22" s="38" t="s">
        <v>1297</v>
      </c>
      <c r="D22" s="38" t="s">
        <v>1298</v>
      </c>
    </row>
    <row r="23" spans="1:4" ht="13.9" x14ac:dyDescent="0.35">
      <c r="A23" s="44" t="s">
        <v>1294</v>
      </c>
      <c r="B23" s="26" cm="1">
        <f t="array" aca="1" ref="B23" ca="1">ROUND(INDIRECT("'Puzzle Scores " &amp; A23 &amp; "'!D22"), 2)</f>
        <v>79.48</v>
      </c>
      <c r="C23" s="4">
        <f ca="1">COUNT(INDIRECT("'Calculations " &amp; A23 &amp; "'!B:B"))</f>
        <v>48</v>
      </c>
      <c r="D23" s="4" cm="1">
        <f t="array" aca="1" ref="D23" ca="1">ROUND(INDIRECT("'Puzzle Scores " &amp; A23 &amp; "'!C22"), 2)</f>
        <v>20.52</v>
      </c>
    </row>
    <row r="24" spans="1:4" ht="13.9" x14ac:dyDescent="0.35">
      <c r="A24" s="45" t="s">
        <v>1290</v>
      </c>
      <c r="B24" s="27" cm="1">
        <f t="array" aca="1" ref="B24" ca="1">ROUND(INDIRECT("'Puzzle Scores " &amp; A24 &amp; "'!D22"), 2)</f>
        <v>66.099999999999994</v>
      </c>
      <c r="C24" s="6">
        <f t="shared" ref="C24:C29" ca="1" si="0">COUNT(INDIRECT("'Calculations " &amp; A24 &amp; "'!B:B"))</f>
        <v>76</v>
      </c>
      <c r="D24" s="6" cm="1">
        <f t="array" aca="1" ref="D24" ca="1">ROUND(INDIRECT("'Puzzle Scores " &amp; A24 &amp; "'!C22"), 2)</f>
        <v>33.97</v>
      </c>
    </row>
    <row r="25" spans="1:4" ht="13.9" x14ac:dyDescent="0.35">
      <c r="A25" s="44" t="s">
        <v>1293</v>
      </c>
      <c r="B25" s="26" cm="1">
        <f t="array" aca="1" ref="B25" ca="1">ROUND(INDIRECT("'Puzzle Scores " &amp; A25 &amp; "'!D22"), 2)</f>
        <v>62.46</v>
      </c>
      <c r="C25" s="4">
        <f t="shared" ca="1" si="0"/>
        <v>114</v>
      </c>
      <c r="D25" s="4" cm="1">
        <f t="array" aca="1" ref="D25" ca="1">ROUND(INDIRECT("'Puzzle Scores " &amp; A25 &amp; "'!C22"), 2)</f>
        <v>37.54</v>
      </c>
    </row>
    <row r="26" spans="1:4" ht="13.9" x14ac:dyDescent="0.35">
      <c r="A26" s="45" t="s">
        <v>1292</v>
      </c>
      <c r="B26" s="27" cm="1">
        <f t="array" aca="1" ref="B26" ca="1">ROUND(INDIRECT("'Puzzle Scores " &amp; A26 &amp; "'!D22"), 2)</f>
        <v>54.85</v>
      </c>
      <c r="C26" s="6">
        <f t="shared" ca="1" si="0"/>
        <v>131</v>
      </c>
      <c r="D26" s="6" cm="1">
        <f t="array" aca="1" ref="D26" ca="1">ROUND(INDIRECT("'Puzzle Scores " &amp; A26 &amp; "'!C22"), 2)</f>
        <v>45.43</v>
      </c>
    </row>
    <row r="27" spans="1:4" ht="13.9" x14ac:dyDescent="0.35">
      <c r="A27" s="44" t="s">
        <v>1291</v>
      </c>
      <c r="B27" s="26" cm="1">
        <f t="array" aca="1" ref="B27" ca="1">ROUND(INDIRECT("'Puzzle Scores " &amp; A27 &amp; "'!D22"), 2)</f>
        <v>35.99</v>
      </c>
      <c r="C27" s="4">
        <f t="shared" ca="1" si="0"/>
        <v>223</v>
      </c>
      <c r="D27" s="4" cm="1">
        <f t="array" aca="1" ref="D27" ca="1">ROUND(INDIRECT("'Puzzle Scores " &amp; A27 &amp; "'!C22"), 2)</f>
        <v>68.88</v>
      </c>
    </row>
    <row r="28" spans="1:4" ht="13.9" x14ac:dyDescent="0.35">
      <c r="A28" s="45" t="s">
        <v>2222</v>
      </c>
      <c r="B28" s="27" cm="1">
        <f t="array" aca="1" ref="B28" ca="1">ROUND(INDIRECT("'Puzzle Scores " &amp; A28 &amp; "'!D22"), 2)</f>
        <v>6.99</v>
      </c>
      <c r="C28" s="6">
        <f t="shared" ca="1" si="0"/>
        <v>191</v>
      </c>
      <c r="D28" s="6" cm="1">
        <f t="array" aca="1" ref="D28" ca="1">ROUND(INDIRECT("'Puzzle Scores " &amp; A28 &amp; "'!C22"), 2)</f>
        <v>152.09</v>
      </c>
    </row>
    <row r="29" spans="1:4" ht="13.9" x14ac:dyDescent="0.35">
      <c r="A29" s="44" t="s">
        <v>2125</v>
      </c>
      <c r="B29" s="26" cm="1">
        <f t="array" aca="1" ref="B29" ca="1">ROUND(INDIRECT("'Puzzle Scores " &amp; A29 &amp; "'!D22"), 2)</f>
        <v>2.17</v>
      </c>
      <c r="C29" s="4">
        <f t="shared" ca="1" si="0"/>
        <v>358</v>
      </c>
      <c r="D29" s="4" cm="1">
        <f t="array" aca="1" ref="D29" ca="1">ROUND(INDIRECT("'Puzzle Scores " &amp; A29 &amp; "'!C22"), 2)</f>
        <v>284.48</v>
      </c>
    </row>
  </sheetData>
  <autoFilter ref="A22:D27" xr:uid="{00000000-0001-0000-0300-000000000000}">
    <sortState xmlns:xlrd2="http://schemas.microsoft.com/office/spreadsheetml/2017/richdata2" ref="A23:D29">
      <sortCondition descending="1" ref="B22:B27"/>
    </sortState>
  </autoFilter>
  <mergeCells count="4">
    <mergeCell ref="A1:C1"/>
    <mergeCell ref="A2:C2"/>
    <mergeCell ref="A12:C12"/>
    <mergeCell ref="A18:C18"/>
  </mergeCells>
  <hyperlinks>
    <hyperlink ref="A23" location="'Puzzle Scores GEMINI'!A1" display="GEMINI" xr:uid="{7E98AB12-C8D2-4621-90E6-30E3779DEC5B}"/>
    <hyperlink ref="A24" location="'Puzzle Scores GPT'!A1" display="GPT" xr:uid="{95D73C1B-2BA1-4F86-ACC5-43862C863468}"/>
    <hyperlink ref="A25" location="'Puzzle Scores QWEN'!A1" display="QWEN" xr:uid="{21406FD8-6E88-4FEE-BAC5-698E2865FBB3}"/>
    <hyperlink ref="A26" location="'Puzzle Scores LLAMA'!A1" display="LLAMA" xr:uid="{A971DF95-46EA-49F5-B0EC-27BEF63500F0}"/>
    <hyperlink ref="A27" location="'Puzzle Scores OPUS'!A1" display="OPUS" xr:uid="{151038AB-3E0D-4FB5-B544-588B4A7B5933}"/>
    <hyperlink ref="A29" location="'Puzzle Scores DEEPSEEK'!A1" display="DEEPSEEK" xr:uid="{2DBD0D1C-623E-435E-9C99-B2031790BE1F}"/>
    <hyperlink ref="A28" location="'Puzzle Scores KIMI'!A1" display="KIMI" xr:uid="{C37FD00D-2D76-4DE3-9858-CA7FDBAAA0BB}"/>
  </hyperlink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B2:I7"/>
  <sheetViews>
    <sheetView showGridLines="0" zoomScaleNormal="100" workbookViewId="0"/>
  </sheetViews>
  <sheetFormatPr defaultColWidth="8.73046875" defaultRowHeight="12.75" x14ac:dyDescent="0.35"/>
  <cols>
    <col min="1" max="1" width="3" customWidth="1"/>
    <col min="2" max="3" width="16" customWidth="1"/>
    <col min="4" max="4" width="22" customWidth="1"/>
    <col min="5" max="6" width="16" customWidth="1"/>
    <col min="7" max="7" width="26" customWidth="1"/>
    <col min="8" max="9" width="16" customWidth="1"/>
  </cols>
  <sheetData>
    <row r="2" spans="2:9" ht="13.9" x14ac:dyDescent="0.35">
      <c r="B2" s="51" t="s">
        <v>1299</v>
      </c>
      <c r="C2" s="52"/>
      <c r="D2" s="52"/>
      <c r="E2" s="52"/>
      <c r="F2" s="52"/>
      <c r="G2" s="52"/>
      <c r="H2" s="52"/>
      <c r="I2" s="52"/>
    </row>
    <row r="3" spans="2:9" ht="13.15" x14ac:dyDescent="0.35">
      <c r="B3" s="3" t="s">
        <v>566</v>
      </c>
      <c r="C3" s="39" t="s">
        <v>1300</v>
      </c>
      <c r="D3" s="48" t="s">
        <v>1304</v>
      </c>
      <c r="E3" s="49"/>
      <c r="F3" s="49"/>
      <c r="G3" s="49"/>
      <c r="H3" s="49"/>
      <c r="I3" s="50"/>
    </row>
    <row r="4" spans="2:9" ht="13.15" x14ac:dyDescent="0.35">
      <c r="B4" s="5" t="s">
        <v>567</v>
      </c>
      <c r="C4" s="40" t="s">
        <v>1301</v>
      </c>
      <c r="D4" s="53" t="s">
        <v>1305</v>
      </c>
      <c r="E4" s="54"/>
      <c r="F4" s="54"/>
      <c r="G4" s="54"/>
      <c r="H4" s="54"/>
      <c r="I4" s="55"/>
    </row>
    <row r="5" spans="2:9" ht="13.15" x14ac:dyDescent="0.35">
      <c r="B5" s="7" t="s">
        <v>568</v>
      </c>
      <c r="C5" s="41" t="s">
        <v>1302</v>
      </c>
      <c r="D5" s="48" t="s">
        <v>1306</v>
      </c>
      <c r="E5" s="49"/>
      <c r="F5" s="49"/>
      <c r="G5" s="49"/>
      <c r="H5" s="49"/>
      <c r="I5" s="50"/>
    </row>
    <row r="6" spans="2:9" ht="13.15" x14ac:dyDescent="0.35">
      <c r="B6" s="8" t="s">
        <v>569</v>
      </c>
      <c r="C6" s="42" t="s">
        <v>1303</v>
      </c>
      <c r="D6" s="53" t="s">
        <v>1307</v>
      </c>
      <c r="E6" s="54"/>
      <c r="F6" s="54"/>
      <c r="G6" s="54"/>
      <c r="H6" s="54"/>
      <c r="I6" s="55"/>
    </row>
    <row r="7" spans="2:9" ht="13.15" x14ac:dyDescent="0.35">
      <c r="B7" s="9" t="s">
        <v>570</v>
      </c>
      <c r="C7" s="43" t="s">
        <v>0</v>
      </c>
      <c r="D7" s="48" t="s">
        <v>1308</v>
      </c>
      <c r="E7" s="49"/>
      <c r="F7" s="49"/>
      <c r="G7" s="49"/>
      <c r="H7" s="49"/>
      <c r="I7" s="50"/>
    </row>
  </sheetData>
  <mergeCells count="6">
    <mergeCell ref="D7:I7"/>
    <mergeCell ref="B2:I2"/>
    <mergeCell ref="D3:I3"/>
    <mergeCell ref="D4:I4"/>
    <mergeCell ref="D5:I5"/>
    <mergeCell ref="D6:I6"/>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H989"/>
  <sheetViews>
    <sheetView zoomScaleNormal="100" workbookViewId="0">
      <pane ySplit="1" topLeftCell="A121" activePane="bottomLeft" state="frozen"/>
      <selection pane="bottomLeft"/>
    </sheetView>
  </sheetViews>
  <sheetFormatPr defaultColWidth="12.59765625" defaultRowHeight="12.75" x14ac:dyDescent="0.35"/>
  <cols>
    <col min="1" max="1" width="10.6640625" bestFit="1" customWidth="1"/>
    <col min="2" max="2" width="13.46484375" bestFit="1" customWidth="1"/>
    <col min="3" max="3" width="50" customWidth="1"/>
    <col min="4" max="4" width="10.19921875" bestFit="1" customWidth="1"/>
    <col min="5" max="5" width="120.9296875" bestFit="1" customWidth="1"/>
    <col min="6" max="6" width="21.3984375" bestFit="1" customWidth="1"/>
    <col min="7" max="7" width="68.3984375"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51</v>
      </c>
      <c r="B2" s="31">
        <v>1</v>
      </c>
      <c r="C2" s="31" t="s">
        <v>52</v>
      </c>
      <c r="D2" s="31"/>
      <c r="E2" s="31" t="s">
        <v>53</v>
      </c>
      <c r="F2" s="31" t="s">
        <v>19</v>
      </c>
      <c r="G2" s="31" t="s">
        <v>54</v>
      </c>
      <c r="H2" s="31" t="s">
        <v>33</v>
      </c>
    </row>
    <row r="3" spans="1:8" ht="23.25" x14ac:dyDescent="0.35">
      <c r="A3" s="32" t="s">
        <v>51</v>
      </c>
      <c r="B3" s="32">
        <v>1</v>
      </c>
      <c r="C3" s="32" t="s">
        <v>52</v>
      </c>
      <c r="D3" s="32" t="s">
        <v>55</v>
      </c>
      <c r="E3" s="32" t="s">
        <v>56</v>
      </c>
      <c r="F3" s="32" t="s">
        <v>25</v>
      </c>
      <c r="G3" s="32" t="s">
        <v>57</v>
      </c>
      <c r="H3" s="32" t="s">
        <v>33</v>
      </c>
    </row>
    <row r="4" spans="1:8" ht="23.25" x14ac:dyDescent="0.35">
      <c r="A4" s="31" t="s">
        <v>51</v>
      </c>
      <c r="B4" s="31">
        <v>1</v>
      </c>
      <c r="C4" s="31" t="s">
        <v>52</v>
      </c>
      <c r="D4" s="31" t="s">
        <v>55</v>
      </c>
      <c r="E4" s="31" t="s">
        <v>58</v>
      </c>
      <c r="F4" s="31" t="s">
        <v>25</v>
      </c>
      <c r="G4" s="31" t="s">
        <v>59</v>
      </c>
      <c r="H4" s="31" t="s">
        <v>60</v>
      </c>
    </row>
    <row r="5" spans="1:8" ht="23.25" x14ac:dyDescent="0.35">
      <c r="A5" s="32" t="s">
        <v>51</v>
      </c>
      <c r="B5" s="32">
        <v>2</v>
      </c>
      <c r="C5" s="32" t="s">
        <v>61</v>
      </c>
      <c r="D5" s="32"/>
      <c r="E5" s="32" t="s">
        <v>62</v>
      </c>
      <c r="F5" s="32" t="s">
        <v>21</v>
      </c>
      <c r="G5" s="32"/>
      <c r="H5" s="32" t="s">
        <v>33</v>
      </c>
    </row>
    <row r="6" spans="1:8" ht="23.25" x14ac:dyDescent="0.35">
      <c r="A6" s="31" t="s">
        <v>51</v>
      </c>
      <c r="B6" s="31">
        <v>2</v>
      </c>
      <c r="C6" s="31" t="s">
        <v>61</v>
      </c>
      <c r="D6" s="31"/>
      <c r="E6" s="31" t="s">
        <v>63</v>
      </c>
      <c r="F6" s="31" t="s">
        <v>25</v>
      </c>
      <c r="G6" s="31" t="s">
        <v>64</v>
      </c>
      <c r="H6" s="31" t="s">
        <v>34</v>
      </c>
    </row>
    <row r="7" spans="1:8" ht="23.25" x14ac:dyDescent="0.35">
      <c r="A7" s="32" t="s">
        <v>51</v>
      </c>
      <c r="B7" s="32">
        <v>2</v>
      </c>
      <c r="C7" s="32" t="s">
        <v>61</v>
      </c>
      <c r="D7" s="32" t="s">
        <v>65</v>
      </c>
      <c r="E7" s="32" t="s">
        <v>66</v>
      </c>
      <c r="F7" s="32" t="s">
        <v>23</v>
      </c>
      <c r="G7" s="32" t="s">
        <v>67</v>
      </c>
      <c r="H7" s="32" t="s">
        <v>34</v>
      </c>
    </row>
    <row r="8" spans="1:8" ht="23.25" x14ac:dyDescent="0.35">
      <c r="A8" s="31" t="s">
        <v>51</v>
      </c>
      <c r="B8" s="31">
        <v>2</v>
      </c>
      <c r="C8" s="31" t="s">
        <v>61</v>
      </c>
      <c r="D8" s="31" t="s">
        <v>68</v>
      </c>
      <c r="E8" s="31" t="s">
        <v>69</v>
      </c>
      <c r="F8" s="31" t="s">
        <v>18</v>
      </c>
      <c r="G8" s="31" t="s">
        <v>70</v>
      </c>
      <c r="H8" s="31" t="s">
        <v>60</v>
      </c>
    </row>
    <row r="9" spans="1:8" ht="23.25" x14ac:dyDescent="0.35">
      <c r="A9" s="32" t="s">
        <v>51</v>
      </c>
      <c r="B9" s="32">
        <v>2</v>
      </c>
      <c r="C9" s="32" t="s">
        <v>61</v>
      </c>
      <c r="D9" s="32" t="s">
        <v>71</v>
      </c>
      <c r="E9" s="32" t="s">
        <v>72</v>
      </c>
      <c r="F9" s="32" t="s">
        <v>25</v>
      </c>
      <c r="G9" s="32" t="s">
        <v>73</v>
      </c>
      <c r="H9" s="32" t="s">
        <v>33</v>
      </c>
    </row>
    <row r="10" spans="1:8" ht="23.25" x14ac:dyDescent="0.35">
      <c r="A10" s="31" t="s">
        <v>51</v>
      </c>
      <c r="B10" s="31">
        <v>2</v>
      </c>
      <c r="C10" s="31" t="s">
        <v>61</v>
      </c>
      <c r="D10" s="31" t="s">
        <v>71</v>
      </c>
      <c r="E10" s="31" t="s">
        <v>74</v>
      </c>
      <c r="F10" s="31" t="s">
        <v>25</v>
      </c>
      <c r="G10" s="31" t="s">
        <v>75</v>
      </c>
      <c r="H10" s="31" t="s">
        <v>33</v>
      </c>
    </row>
    <row r="11" spans="1:8" ht="23.25" x14ac:dyDescent="0.35">
      <c r="A11" s="32" t="s">
        <v>51</v>
      </c>
      <c r="B11" s="32">
        <v>2</v>
      </c>
      <c r="C11" s="32" t="s">
        <v>61</v>
      </c>
      <c r="D11" s="32" t="s">
        <v>71</v>
      </c>
      <c r="E11" s="32" t="s">
        <v>76</v>
      </c>
      <c r="F11" s="32" t="s">
        <v>23</v>
      </c>
      <c r="G11" s="32" t="s">
        <v>77</v>
      </c>
      <c r="H11" s="32" t="s">
        <v>34</v>
      </c>
    </row>
    <row r="12" spans="1:8" ht="23.25" x14ac:dyDescent="0.35">
      <c r="A12" s="31" t="s">
        <v>51</v>
      </c>
      <c r="B12" s="31">
        <v>2</v>
      </c>
      <c r="C12" s="31" t="s">
        <v>61</v>
      </c>
      <c r="D12" s="31" t="s">
        <v>78</v>
      </c>
      <c r="E12" s="31" t="s">
        <v>79</v>
      </c>
      <c r="F12" s="31" t="s">
        <v>25</v>
      </c>
      <c r="G12" s="31" t="s">
        <v>80</v>
      </c>
      <c r="H12" s="31" t="s">
        <v>33</v>
      </c>
    </row>
    <row r="13" spans="1:8" ht="23.25" x14ac:dyDescent="0.35">
      <c r="A13" s="32" t="s">
        <v>51</v>
      </c>
      <c r="B13" s="32">
        <v>2</v>
      </c>
      <c r="C13" s="32" t="s">
        <v>61</v>
      </c>
      <c r="D13" s="32" t="s">
        <v>81</v>
      </c>
      <c r="E13" s="32" t="s">
        <v>82</v>
      </c>
      <c r="F13" s="32" t="s">
        <v>19</v>
      </c>
      <c r="G13" s="32" t="s">
        <v>83</v>
      </c>
      <c r="H13" s="32" t="s">
        <v>33</v>
      </c>
    </row>
    <row r="14" spans="1:8" ht="23.25" x14ac:dyDescent="0.35">
      <c r="A14" s="31" t="s">
        <v>51</v>
      </c>
      <c r="B14" s="31">
        <v>2</v>
      </c>
      <c r="C14" s="31" t="s">
        <v>61</v>
      </c>
      <c r="D14" s="31" t="s">
        <v>81</v>
      </c>
      <c r="E14" s="31" t="s">
        <v>84</v>
      </c>
      <c r="F14" s="31" t="s">
        <v>18</v>
      </c>
      <c r="G14" s="31" t="s">
        <v>85</v>
      </c>
      <c r="H14" s="31" t="s">
        <v>60</v>
      </c>
    </row>
    <row r="15" spans="1:8" ht="23.25" x14ac:dyDescent="0.35">
      <c r="A15" s="32" t="s">
        <v>51</v>
      </c>
      <c r="B15" s="32">
        <v>2</v>
      </c>
      <c r="C15" s="32" t="s">
        <v>61</v>
      </c>
      <c r="D15" s="32" t="s">
        <v>86</v>
      </c>
      <c r="E15" s="32" t="s">
        <v>87</v>
      </c>
      <c r="F15" s="32" t="s">
        <v>23</v>
      </c>
      <c r="G15" s="32" t="s">
        <v>77</v>
      </c>
      <c r="H15" s="32" t="s">
        <v>33</v>
      </c>
    </row>
    <row r="16" spans="1:8" ht="23.25" x14ac:dyDescent="0.35">
      <c r="A16" s="31" t="s">
        <v>51</v>
      </c>
      <c r="B16" s="31">
        <v>2</v>
      </c>
      <c r="C16" s="31" t="s">
        <v>61</v>
      </c>
      <c r="D16" s="31"/>
      <c r="E16" s="31" t="s">
        <v>88</v>
      </c>
      <c r="F16" s="31" t="s">
        <v>21</v>
      </c>
      <c r="G16" s="31" t="s">
        <v>89</v>
      </c>
      <c r="H16" s="31" t="s">
        <v>34</v>
      </c>
    </row>
    <row r="17" spans="1:8" ht="23.25" x14ac:dyDescent="0.35">
      <c r="A17" s="32" t="s">
        <v>51</v>
      </c>
      <c r="B17" s="32">
        <v>2</v>
      </c>
      <c r="C17" s="32" t="s">
        <v>61</v>
      </c>
      <c r="D17" s="32"/>
      <c r="E17" s="32" t="s">
        <v>90</v>
      </c>
      <c r="F17" s="32" t="s">
        <v>25</v>
      </c>
      <c r="G17" s="32" t="s">
        <v>91</v>
      </c>
      <c r="H17" s="32" t="s">
        <v>33</v>
      </c>
    </row>
    <row r="18" spans="1:8" x14ac:dyDescent="0.35">
      <c r="A18" s="31" t="s">
        <v>51</v>
      </c>
      <c r="B18" s="31">
        <v>3</v>
      </c>
      <c r="C18" s="31" t="s">
        <v>92</v>
      </c>
      <c r="D18" s="31"/>
      <c r="E18" s="31" t="s">
        <v>93</v>
      </c>
      <c r="F18" s="31" t="s">
        <v>19</v>
      </c>
      <c r="G18" s="31" t="s">
        <v>94</v>
      </c>
      <c r="H18" s="31" t="s">
        <v>33</v>
      </c>
    </row>
    <row r="19" spans="1:8" x14ac:dyDescent="0.35">
      <c r="A19" s="32" t="s">
        <v>51</v>
      </c>
      <c r="B19" s="32">
        <v>3</v>
      </c>
      <c r="C19" s="32" t="s">
        <v>92</v>
      </c>
      <c r="D19" s="32"/>
      <c r="E19" s="32" t="s">
        <v>95</v>
      </c>
      <c r="F19" s="32" t="s">
        <v>19</v>
      </c>
      <c r="G19" s="32" t="s">
        <v>96</v>
      </c>
      <c r="H19" s="32" t="s">
        <v>33</v>
      </c>
    </row>
    <row r="20" spans="1:8" x14ac:dyDescent="0.35">
      <c r="A20" s="31" t="s">
        <v>51</v>
      </c>
      <c r="B20" s="31">
        <v>3</v>
      </c>
      <c r="C20" s="31" t="s">
        <v>92</v>
      </c>
      <c r="D20" s="31"/>
      <c r="E20" s="31" t="s">
        <v>97</v>
      </c>
      <c r="F20" s="31" t="s">
        <v>23</v>
      </c>
      <c r="G20" s="31" t="s">
        <v>98</v>
      </c>
      <c r="H20" s="31" t="s">
        <v>33</v>
      </c>
    </row>
    <row r="21" spans="1:8" x14ac:dyDescent="0.35">
      <c r="A21" s="32" t="s">
        <v>51</v>
      </c>
      <c r="B21" s="32">
        <v>3</v>
      </c>
      <c r="C21" s="32" t="s">
        <v>92</v>
      </c>
      <c r="D21" s="32"/>
      <c r="E21" s="32" t="s">
        <v>99</v>
      </c>
      <c r="F21" s="32" t="s">
        <v>25</v>
      </c>
      <c r="G21" s="32" t="s">
        <v>100</v>
      </c>
      <c r="H21" s="32" t="s">
        <v>60</v>
      </c>
    </row>
    <row r="22" spans="1:8" x14ac:dyDescent="0.35">
      <c r="A22" s="31" t="s">
        <v>51</v>
      </c>
      <c r="B22" s="31">
        <v>3</v>
      </c>
      <c r="C22" s="31" t="s">
        <v>92</v>
      </c>
      <c r="D22" s="31"/>
      <c r="E22" s="31" t="s">
        <v>101</v>
      </c>
      <c r="F22" s="31" t="s">
        <v>25</v>
      </c>
      <c r="G22" s="31" t="s">
        <v>102</v>
      </c>
      <c r="H22" s="31" t="s">
        <v>34</v>
      </c>
    </row>
    <row r="23" spans="1:8" x14ac:dyDescent="0.35">
      <c r="A23" s="32" t="s">
        <v>51</v>
      </c>
      <c r="B23" s="32">
        <v>3</v>
      </c>
      <c r="C23" s="32" t="s">
        <v>92</v>
      </c>
      <c r="D23" s="32" t="s">
        <v>103</v>
      </c>
      <c r="E23" s="32" t="s">
        <v>104</v>
      </c>
      <c r="F23" s="32" t="s">
        <v>20</v>
      </c>
      <c r="G23" s="32" t="s">
        <v>105</v>
      </c>
      <c r="H23" s="32" t="s">
        <v>34</v>
      </c>
    </row>
    <row r="24" spans="1:8" ht="23.25" x14ac:dyDescent="0.35">
      <c r="A24" s="31" t="s">
        <v>51</v>
      </c>
      <c r="B24" s="31">
        <v>3</v>
      </c>
      <c r="C24" s="31" t="s">
        <v>92</v>
      </c>
      <c r="D24" s="31" t="s">
        <v>103</v>
      </c>
      <c r="E24" s="31" t="s">
        <v>106</v>
      </c>
      <c r="F24" s="31" t="s">
        <v>23</v>
      </c>
      <c r="G24" s="31" t="s">
        <v>107</v>
      </c>
      <c r="H24" s="31" t="s">
        <v>34</v>
      </c>
    </row>
    <row r="25" spans="1:8" x14ac:dyDescent="0.35">
      <c r="A25" s="32" t="s">
        <v>51</v>
      </c>
      <c r="B25" s="32">
        <v>3</v>
      </c>
      <c r="C25" s="32" t="s">
        <v>92</v>
      </c>
      <c r="D25" s="32" t="s">
        <v>103</v>
      </c>
      <c r="E25" s="32" t="s">
        <v>108</v>
      </c>
      <c r="F25" s="32" t="s">
        <v>19</v>
      </c>
      <c r="G25" s="32" t="s">
        <v>109</v>
      </c>
      <c r="H25" s="32" t="s">
        <v>60</v>
      </c>
    </row>
    <row r="26" spans="1:8" ht="23.25" x14ac:dyDescent="0.35">
      <c r="A26" s="31" t="s">
        <v>51</v>
      </c>
      <c r="B26" s="31">
        <v>3</v>
      </c>
      <c r="C26" s="31" t="s">
        <v>92</v>
      </c>
      <c r="D26" s="31" t="s">
        <v>110</v>
      </c>
      <c r="E26" s="31" t="s">
        <v>111</v>
      </c>
      <c r="F26" s="31" t="s">
        <v>25</v>
      </c>
      <c r="G26" s="31" t="s">
        <v>112</v>
      </c>
      <c r="H26" s="31" t="s">
        <v>33</v>
      </c>
    </row>
    <row r="27" spans="1:8" x14ac:dyDescent="0.35">
      <c r="A27" s="32" t="s">
        <v>51</v>
      </c>
      <c r="B27" s="32">
        <v>3</v>
      </c>
      <c r="C27" s="32" t="s">
        <v>92</v>
      </c>
      <c r="D27" s="32" t="s">
        <v>113</v>
      </c>
      <c r="E27" s="32"/>
      <c r="F27" s="32" t="s">
        <v>25</v>
      </c>
      <c r="G27" s="32" t="s">
        <v>114</v>
      </c>
      <c r="H27" s="32" t="s">
        <v>34</v>
      </c>
    </row>
    <row r="28" spans="1:8" x14ac:dyDescent="0.35">
      <c r="A28" s="31" t="s">
        <v>51</v>
      </c>
      <c r="B28" s="31">
        <v>3</v>
      </c>
      <c r="C28" s="31" t="s">
        <v>92</v>
      </c>
      <c r="D28" s="31" t="s">
        <v>115</v>
      </c>
      <c r="E28" s="31"/>
      <c r="F28" s="31" t="s">
        <v>25</v>
      </c>
      <c r="G28" s="31" t="s">
        <v>114</v>
      </c>
      <c r="H28" s="31" t="s">
        <v>34</v>
      </c>
    </row>
    <row r="29" spans="1:8" x14ac:dyDescent="0.35">
      <c r="A29" s="32" t="s">
        <v>51</v>
      </c>
      <c r="B29" s="32">
        <v>3</v>
      </c>
      <c r="C29" s="32" t="s">
        <v>92</v>
      </c>
      <c r="D29" s="32" t="s">
        <v>116</v>
      </c>
      <c r="E29" s="32"/>
      <c r="F29" s="32" t="s">
        <v>25</v>
      </c>
      <c r="G29" s="32" t="s">
        <v>114</v>
      </c>
      <c r="H29" s="32" t="s">
        <v>34</v>
      </c>
    </row>
    <row r="30" spans="1:8" x14ac:dyDescent="0.35">
      <c r="A30" s="31" t="s">
        <v>51</v>
      </c>
      <c r="B30" s="31">
        <v>3</v>
      </c>
      <c r="C30" s="31" t="s">
        <v>92</v>
      </c>
      <c r="D30" s="31" t="s">
        <v>116</v>
      </c>
      <c r="E30" s="31" t="s">
        <v>117</v>
      </c>
      <c r="F30" s="31" t="s">
        <v>20</v>
      </c>
      <c r="G30" s="31" t="s">
        <v>118</v>
      </c>
      <c r="H30" s="31" t="s">
        <v>34</v>
      </c>
    </row>
    <row r="31" spans="1:8" ht="23.25" x14ac:dyDescent="0.35">
      <c r="A31" s="32" t="s">
        <v>51</v>
      </c>
      <c r="B31" s="32">
        <v>3</v>
      </c>
      <c r="C31" s="32" t="s">
        <v>92</v>
      </c>
      <c r="D31" s="32" t="s">
        <v>119</v>
      </c>
      <c r="E31" s="32" t="s">
        <v>120</v>
      </c>
      <c r="F31" s="32" t="s">
        <v>25</v>
      </c>
      <c r="G31" s="32" t="s">
        <v>121</v>
      </c>
      <c r="H31" s="32" t="s">
        <v>33</v>
      </c>
    </row>
    <row r="32" spans="1:8" x14ac:dyDescent="0.35">
      <c r="A32" s="31" t="s">
        <v>51</v>
      </c>
      <c r="B32" s="31">
        <v>3</v>
      </c>
      <c r="C32" s="31" t="s">
        <v>92</v>
      </c>
      <c r="D32" s="31" t="s">
        <v>119</v>
      </c>
      <c r="E32" s="31" t="s">
        <v>122</v>
      </c>
      <c r="F32" s="31" t="s">
        <v>19</v>
      </c>
      <c r="G32" s="31" t="s">
        <v>123</v>
      </c>
      <c r="H32" s="31" t="s">
        <v>33</v>
      </c>
    </row>
    <row r="33" spans="1:8" x14ac:dyDescent="0.35">
      <c r="A33" s="32" t="s">
        <v>51</v>
      </c>
      <c r="B33" s="32">
        <v>3</v>
      </c>
      <c r="C33" s="32" t="s">
        <v>92</v>
      </c>
      <c r="D33" s="32" t="s">
        <v>124</v>
      </c>
      <c r="E33" s="32" t="s">
        <v>125</v>
      </c>
      <c r="F33" s="32" t="s">
        <v>18</v>
      </c>
      <c r="G33" s="32" t="s">
        <v>126</v>
      </c>
      <c r="H33" s="32" t="s">
        <v>34</v>
      </c>
    </row>
    <row r="34" spans="1:8" x14ac:dyDescent="0.35">
      <c r="A34" s="31" t="s">
        <v>51</v>
      </c>
      <c r="B34" s="31">
        <v>3</v>
      </c>
      <c r="C34" s="31" t="s">
        <v>92</v>
      </c>
      <c r="D34" s="31" t="s">
        <v>124</v>
      </c>
      <c r="E34" s="31" t="s">
        <v>127</v>
      </c>
      <c r="F34" s="31" t="s">
        <v>18</v>
      </c>
      <c r="G34" s="31" t="s">
        <v>128</v>
      </c>
      <c r="H34" s="31" t="s">
        <v>33</v>
      </c>
    </row>
    <row r="35" spans="1:8" x14ac:dyDescent="0.35">
      <c r="A35" s="32" t="s">
        <v>51</v>
      </c>
      <c r="B35" s="32">
        <v>3</v>
      </c>
      <c r="C35" s="32" t="s">
        <v>92</v>
      </c>
      <c r="D35" s="32" t="s">
        <v>124</v>
      </c>
      <c r="E35" s="32" t="s">
        <v>129</v>
      </c>
      <c r="F35" s="32" t="s">
        <v>21</v>
      </c>
      <c r="G35" s="32" t="s">
        <v>130</v>
      </c>
      <c r="H35" s="32" t="s">
        <v>33</v>
      </c>
    </row>
    <row r="36" spans="1:8" x14ac:dyDescent="0.35">
      <c r="A36" s="31" t="s">
        <v>51</v>
      </c>
      <c r="B36" s="31">
        <v>3</v>
      </c>
      <c r="C36" s="31" t="s">
        <v>92</v>
      </c>
      <c r="D36" s="31" t="s">
        <v>81</v>
      </c>
      <c r="E36" s="31" t="s">
        <v>131</v>
      </c>
      <c r="F36" s="31" t="s">
        <v>19</v>
      </c>
      <c r="G36" s="31" t="s">
        <v>132</v>
      </c>
      <c r="H36" s="31" t="s">
        <v>33</v>
      </c>
    </row>
    <row r="37" spans="1:8" x14ac:dyDescent="0.35">
      <c r="A37" s="32" t="s">
        <v>51</v>
      </c>
      <c r="B37" s="32">
        <v>3</v>
      </c>
      <c r="C37" s="32" t="s">
        <v>92</v>
      </c>
      <c r="D37" s="32" t="s">
        <v>81</v>
      </c>
      <c r="E37" s="32" t="s">
        <v>133</v>
      </c>
      <c r="F37" s="32" t="s">
        <v>19</v>
      </c>
      <c r="G37" s="32" t="s">
        <v>134</v>
      </c>
      <c r="H37" s="32" t="s">
        <v>33</v>
      </c>
    </row>
    <row r="38" spans="1:8" x14ac:dyDescent="0.35">
      <c r="A38" s="31" t="s">
        <v>51</v>
      </c>
      <c r="B38" s="31">
        <v>3</v>
      </c>
      <c r="C38" s="31" t="s">
        <v>92</v>
      </c>
      <c r="D38" s="31" t="s">
        <v>81</v>
      </c>
      <c r="E38" s="31" t="s">
        <v>135</v>
      </c>
      <c r="F38" s="31" t="s">
        <v>20</v>
      </c>
      <c r="G38" s="31" t="s">
        <v>136</v>
      </c>
      <c r="H38" s="31" t="s">
        <v>33</v>
      </c>
    </row>
    <row r="39" spans="1:8" x14ac:dyDescent="0.35">
      <c r="A39" s="32" t="s">
        <v>51</v>
      </c>
      <c r="B39" s="32">
        <v>3</v>
      </c>
      <c r="C39" s="32" t="s">
        <v>92</v>
      </c>
      <c r="D39" s="32" t="s">
        <v>81</v>
      </c>
      <c r="E39" s="32" t="s">
        <v>137</v>
      </c>
      <c r="F39" s="32" t="s">
        <v>20</v>
      </c>
      <c r="G39" s="32" t="s">
        <v>138</v>
      </c>
      <c r="H39" s="32" t="s">
        <v>33</v>
      </c>
    </row>
    <row r="40" spans="1:8" x14ac:dyDescent="0.35">
      <c r="A40" s="31" t="s">
        <v>51</v>
      </c>
      <c r="B40" s="31">
        <v>5</v>
      </c>
      <c r="C40" s="31" t="s">
        <v>139</v>
      </c>
      <c r="D40" s="31" t="s">
        <v>140</v>
      </c>
      <c r="E40" s="31" t="s">
        <v>141</v>
      </c>
      <c r="F40" s="31" t="s">
        <v>18</v>
      </c>
      <c r="G40" s="31" t="s">
        <v>142</v>
      </c>
      <c r="H40" s="31" t="s">
        <v>60</v>
      </c>
    </row>
    <row r="41" spans="1:8" ht="23.25" x14ac:dyDescent="0.35">
      <c r="A41" s="32" t="s">
        <v>51</v>
      </c>
      <c r="B41" s="32">
        <v>5</v>
      </c>
      <c r="C41" s="32" t="s">
        <v>139</v>
      </c>
      <c r="D41" s="32" t="s">
        <v>143</v>
      </c>
      <c r="E41" s="32" t="s">
        <v>144</v>
      </c>
      <c r="F41" s="32" t="s">
        <v>25</v>
      </c>
      <c r="G41" s="32" t="s">
        <v>145</v>
      </c>
      <c r="H41" s="32" t="s">
        <v>60</v>
      </c>
    </row>
    <row r="42" spans="1:8" x14ac:dyDescent="0.35">
      <c r="A42" s="31" t="s">
        <v>51</v>
      </c>
      <c r="B42" s="31">
        <v>5</v>
      </c>
      <c r="C42" s="31" t="s">
        <v>139</v>
      </c>
      <c r="D42" s="31" t="s">
        <v>146</v>
      </c>
      <c r="E42" s="31" t="s">
        <v>147</v>
      </c>
      <c r="F42" s="31" t="s">
        <v>18</v>
      </c>
      <c r="G42" s="31" t="s">
        <v>148</v>
      </c>
      <c r="H42" s="31" t="s">
        <v>33</v>
      </c>
    </row>
    <row r="43" spans="1:8" x14ac:dyDescent="0.35">
      <c r="A43" s="32" t="s">
        <v>51</v>
      </c>
      <c r="B43" s="32">
        <v>5</v>
      </c>
      <c r="C43" s="32" t="s">
        <v>139</v>
      </c>
      <c r="D43" s="32" t="s">
        <v>146</v>
      </c>
      <c r="E43" s="32" t="s">
        <v>149</v>
      </c>
      <c r="F43" s="32" t="s">
        <v>21</v>
      </c>
      <c r="G43" s="32" t="s">
        <v>150</v>
      </c>
      <c r="H43" s="32" t="s">
        <v>34</v>
      </c>
    </row>
    <row r="44" spans="1:8" x14ac:dyDescent="0.35">
      <c r="A44" s="31" t="s">
        <v>51</v>
      </c>
      <c r="B44" s="31">
        <v>5</v>
      </c>
      <c r="C44" s="31" t="s">
        <v>139</v>
      </c>
      <c r="D44" s="31" t="s">
        <v>151</v>
      </c>
      <c r="E44" s="31" t="s">
        <v>152</v>
      </c>
      <c r="F44" s="31" t="s">
        <v>20</v>
      </c>
      <c r="G44" s="31" t="s">
        <v>153</v>
      </c>
      <c r="H44" s="31" t="s">
        <v>33</v>
      </c>
    </row>
    <row r="45" spans="1:8" ht="23.25" x14ac:dyDescent="0.35">
      <c r="A45" s="32" t="s">
        <v>51</v>
      </c>
      <c r="B45" s="32">
        <v>5</v>
      </c>
      <c r="C45" s="32" t="s">
        <v>139</v>
      </c>
      <c r="D45" s="32" t="s">
        <v>151</v>
      </c>
      <c r="E45" s="32" t="s">
        <v>154</v>
      </c>
      <c r="F45" s="32" t="s">
        <v>25</v>
      </c>
      <c r="G45" s="32" t="s">
        <v>155</v>
      </c>
      <c r="H45" s="32" t="s">
        <v>34</v>
      </c>
    </row>
    <row r="46" spans="1:8" x14ac:dyDescent="0.35">
      <c r="A46" s="31" t="s">
        <v>51</v>
      </c>
      <c r="B46" s="31">
        <v>5</v>
      </c>
      <c r="C46" s="31" t="s">
        <v>139</v>
      </c>
      <c r="D46" s="31" t="s">
        <v>151</v>
      </c>
      <c r="E46" s="31" t="s">
        <v>156</v>
      </c>
      <c r="F46" s="31" t="s">
        <v>20</v>
      </c>
      <c r="G46" s="31" t="s">
        <v>157</v>
      </c>
      <c r="H46" s="31" t="s">
        <v>33</v>
      </c>
    </row>
    <row r="47" spans="1:8" x14ac:dyDescent="0.35">
      <c r="A47" s="32" t="s">
        <v>51</v>
      </c>
      <c r="B47" s="32">
        <v>5</v>
      </c>
      <c r="C47" s="32" t="s">
        <v>139</v>
      </c>
      <c r="D47" s="32" t="s">
        <v>158</v>
      </c>
      <c r="E47" s="32" t="s">
        <v>159</v>
      </c>
      <c r="F47" s="32" t="s">
        <v>20</v>
      </c>
      <c r="G47" s="32" t="s">
        <v>160</v>
      </c>
      <c r="H47" s="32" t="s">
        <v>33</v>
      </c>
    </row>
    <row r="48" spans="1:8" ht="23.25" x14ac:dyDescent="0.35">
      <c r="A48" s="31" t="s">
        <v>51</v>
      </c>
      <c r="B48" s="31">
        <v>6</v>
      </c>
      <c r="C48" s="31" t="s">
        <v>161</v>
      </c>
      <c r="D48" s="31"/>
      <c r="E48" s="31" t="s">
        <v>162</v>
      </c>
      <c r="F48" s="31" t="s">
        <v>25</v>
      </c>
      <c r="G48" s="31" t="s">
        <v>163</v>
      </c>
      <c r="H48" s="31" t="s">
        <v>33</v>
      </c>
    </row>
    <row r="49" spans="1:8" ht="23.25" x14ac:dyDescent="0.35">
      <c r="A49" s="32" t="s">
        <v>51</v>
      </c>
      <c r="B49" s="32">
        <v>6</v>
      </c>
      <c r="C49" s="32" t="s">
        <v>161</v>
      </c>
      <c r="D49" s="32"/>
      <c r="E49" s="32" t="s">
        <v>164</v>
      </c>
      <c r="F49" s="32" t="s">
        <v>25</v>
      </c>
      <c r="G49" s="32" t="s">
        <v>165</v>
      </c>
      <c r="H49" s="32" t="s">
        <v>33</v>
      </c>
    </row>
    <row r="50" spans="1:8" ht="23.25" x14ac:dyDescent="0.35">
      <c r="A50" s="31" t="s">
        <v>51</v>
      </c>
      <c r="B50" s="31">
        <v>6</v>
      </c>
      <c r="C50" s="31" t="s">
        <v>161</v>
      </c>
      <c r="D50" s="31"/>
      <c r="E50" s="31" t="s">
        <v>166</v>
      </c>
      <c r="F50" s="31" t="s">
        <v>25</v>
      </c>
      <c r="G50" s="31" t="s">
        <v>167</v>
      </c>
      <c r="H50" s="31" t="s">
        <v>33</v>
      </c>
    </row>
    <row r="51" spans="1:8" ht="23.25" x14ac:dyDescent="0.35">
      <c r="A51" s="32" t="s">
        <v>51</v>
      </c>
      <c r="B51" s="32">
        <v>6</v>
      </c>
      <c r="C51" s="32" t="s">
        <v>161</v>
      </c>
      <c r="D51" s="32" t="s">
        <v>168</v>
      </c>
      <c r="E51" s="32" t="s">
        <v>169</v>
      </c>
      <c r="F51" s="32" t="s">
        <v>25</v>
      </c>
      <c r="G51" s="32" t="s">
        <v>170</v>
      </c>
      <c r="H51" s="32" t="s">
        <v>33</v>
      </c>
    </row>
    <row r="52" spans="1:8" ht="23.25" x14ac:dyDescent="0.35">
      <c r="A52" s="31" t="s">
        <v>51</v>
      </c>
      <c r="B52" s="31">
        <v>6</v>
      </c>
      <c r="C52" s="31" t="s">
        <v>161</v>
      </c>
      <c r="D52" s="31" t="s">
        <v>168</v>
      </c>
      <c r="E52" s="31" t="s">
        <v>171</v>
      </c>
      <c r="F52" s="31" t="s">
        <v>25</v>
      </c>
      <c r="G52" s="31" t="s">
        <v>172</v>
      </c>
      <c r="H52" s="31" t="s">
        <v>33</v>
      </c>
    </row>
    <row r="53" spans="1:8" ht="23.25" x14ac:dyDescent="0.35">
      <c r="A53" s="32" t="s">
        <v>51</v>
      </c>
      <c r="B53" s="32">
        <v>6</v>
      </c>
      <c r="C53" s="32" t="s">
        <v>161</v>
      </c>
      <c r="D53" s="32" t="s">
        <v>168</v>
      </c>
      <c r="E53" s="32" t="s">
        <v>173</v>
      </c>
      <c r="F53" s="32" t="s">
        <v>25</v>
      </c>
      <c r="G53" s="32" t="s">
        <v>174</v>
      </c>
      <c r="H53" s="32" t="s">
        <v>33</v>
      </c>
    </row>
    <row r="54" spans="1:8" ht="23.25" x14ac:dyDescent="0.35">
      <c r="A54" s="31" t="s">
        <v>51</v>
      </c>
      <c r="B54" s="31">
        <v>6</v>
      </c>
      <c r="C54" s="31" t="s">
        <v>161</v>
      </c>
      <c r="D54" s="31" t="s">
        <v>168</v>
      </c>
      <c r="E54" s="31" t="s">
        <v>175</v>
      </c>
      <c r="F54" s="31" t="s">
        <v>25</v>
      </c>
      <c r="G54" s="31" t="s">
        <v>176</v>
      </c>
      <c r="H54" s="31" t="s">
        <v>34</v>
      </c>
    </row>
    <row r="55" spans="1:8" ht="23.25" x14ac:dyDescent="0.35">
      <c r="A55" s="32" t="s">
        <v>51</v>
      </c>
      <c r="B55" s="32">
        <v>6</v>
      </c>
      <c r="C55" s="32" t="s">
        <v>161</v>
      </c>
      <c r="D55" s="32" t="s">
        <v>168</v>
      </c>
      <c r="E55" s="32" t="s">
        <v>177</v>
      </c>
      <c r="F55" s="32" t="s">
        <v>25</v>
      </c>
      <c r="G55" s="32" t="s">
        <v>178</v>
      </c>
      <c r="H55" s="32" t="s">
        <v>34</v>
      </c>
    </row>
    <row r="56" spans="1:8" ht="23.25" x14ac:dyDescent="0.35">
      <c r="A56" s="31" t="s">
        <v>51</v>
      </c>
      <c r="B56" s="31">
        <v>6</v>
      </c>
      <c r="C56" s="31" t="s">
        <v>161</v>
      </c>
      <c r="D56" s="31" t="s">
        <v>168</v>
      </c>
      <c r="E56" s="31" t="s">
        <v>179</v>
      </c>
      <c r="F56" s="31" t="s">
        <v>25</v>
      </c>
      <c r="G56" s="31" t="s">
        <v>178</v>
      </c>
      <c r="H56" s="31" t="s">
        <v>60</v>
      </c>
    </row>
    <row r="57" spans="1:8" ht="23.25" x14ac:dyDescent="0.35">
      <c r="A57" s="32" t="s">
        <v>51</v>
      </c>
      <c r="B57" s="32">
        <v>6</v>
      </c>
      <c r="C57" s="32" t="s">
        <v>161</v>
      </c>
      <c r="D57" s="32" t="s">
        <v>168</v>
      </c>
      <c r="E57" s="32" t="s">
        <v>180</v>
      </c>
      <c r="F57" s="32" t="s">
        <v>18</v>
      </c>
      <c r="G57" s="32" t="s">
        <v>181</v>
      </c>
      <c r="H57" s="32" t="s">
        <v>34</v>
      </c>
    </row>
    <row r="58" spans="1:8" ht="23.25" x14ac:dyDescent="0.35">
      <c r="A58" s="31" t="s">
        <v>51</v>
      </c>
      <c r="B58" s="31">
        <v>6</v>
      </c>
      <c r="C58" s="31" t="s">
        <v>161</v>
      </c>
      <c r="D58" s="31" t="s">
        <v>182</v>
      </c>
      <c r="E58" s="31" t="s">
        <v>183</v>
      </c>
      <c r="F58" s="31" t="s">
        <v>25</v>
      </c>
      <c r="G58" s="31" t="s">
        <v>184</v>
      </c>
      <c r="H58" s="31" t="s">
        <v>33</v>
      </c>
    </row>
    <row r="59" spans="1:8" ht="23.25" x14ac:dyDescent="0.35">
      <c r="A59" s="32" t="s">
        <v>51</v>
      </c>
      <c r="B59" s="32">
        <v>6</v>
      </c>
      <c r="C59" s="32" t="s">
        <v>161</v>
      </c>
      <c r="D59" s="32" t="s">
        <v>185</v>
      </c>
      <c r="E59" s="32" t="s">
        <v>186</v>
      </c>
      <c r="F59" s="32" t="s">
        <v>20</v>
      </c>
      <c r="G59" s="32" t="s">
        <v>187</v>
      </c>
      <c r="H59" s="32" t="s">
        <v>33</v>
      </c>
    </row>
    <row r="60" spans="1:8" ht="23.25" x14ac:dyDescent="0.35">
      <c r="A60" s="31" t="s">
        <v>51</v>
      </c>
      <c r="B60" s="31">
        <v>6</v>
      </c>
      <c r="C60" s="31" t="s">
        <v>161</v>
      </c>
      <c r="D60" s="31" t="s">
        <v>185</v>
      </c>
      <c r="E60" s="31" t="s">
        <v>188</v>
      </c>
      <c r="F60" s="31" t="s">
        <v>21</v>
      </c>
      <c r="G60" s="31" t="s">
        <v>189</v>
      </c>
      <c r="H60" s="31" t="s">
        <v>60</v>
      </c>
    </row>
    <row r="61" spans="1:8" ht="23.25" x14ac:dyDescent="0.35">
      <c r="A61" s="32" t="s">
        <v>51</v>
      </c>
      <c r="B61" s="32">
        <v>6</v>
      </c>
      <c r="C61" s="32" t="s">
        <v>161</v>
      </c>
      <c r="D61" s="32" t="s">
        <v>185</v>
      </c>
      <c r="E61" s="32" t="s">
        <v>190</v>
      </c>
      <c r="F61" s="32" t="s">
        <v>20</v>
      </c>
      <c r="G61" s="32" t="s">
        <v>191</v>
      </c>
      <c r="H61" s="32" t="s">
        <v>33</v>
      </c>
    </row>
    <row r="62" spans="1:8" ht="23.25" x14ac:dyDescent="0.35">
      <c r="A62" s="31" t="s">
        <v>51</v>
      </c>
      <c r="B62" s="31">
        <v>6</v>
      </c>
      <c r="C62" s="31" t="s">
        <v>161</v>
      </c>
      <c r="D62" s="31" t="s">
        <v>185</v>
      </c>
      <c r="E62" s="31" t="s">
        <v>192</v>
      </c>
      <c r="F62" s="31" t="s">
        <v>25</v>
      </c>
      <c r="G62" s="31" t="s">
        <v>193</v>
      </c>
      <c r="H62" s="31" t="s">
        <v>33</v>
      </c>
    </row>
    <row r="63" spans="1:8" ht="23.25" x14ac:dyDescent="0.35">
      <c r="A63" s="32" t="s">
        <v>51</v>
      </c>
      <c r="B63" s="32">
        <v>6</v>
      </c>
      <c r="C63" s="32" t="s">
        <v>161</v>
      </c>
      <c r="D63" s="32" t="s">
        <v>185</v>
      </c>
      <c r="E63" s="32" t="s">
        <v>194</v>
      </c>
      <c r="F63" s="32" t="s">
        <v>25</v>
      </c>
      <c r="G63" s="32" t="s">
        <v>195</v>
      </c>
      <c r="H63" s="32" t="s">
        <v>33</v>
      </c>
    </row>
    <row r="64" spans="1:8" ht="23.25" x14ac:dyDescent="0.35">
      <c r="A64" s="31" t="s">
        <v>51</v>
      </c>
      <c r="B64" s="31">
        <v>6</v>
      </c>
      <c r="C64" s="31" t="s">
        <v>161</v>
      </c>
      <c r="D64" s="31" t="s">
        <v>185</v>
      </c>
      <c r="E64" s="31" t="s">
        <v>196</v>
      </c>
      <c r="F64" s="31" t="s">
        <v>25</v>
      </c>
      <c r="G64" s="31" t="s">
        <v>197</v>
      </c>
      <c r="H64" s="31" t="s">
        <v>33</v>
      </c>
    </row>
    <row r="65" spans="1:8" x14ac:dyDescent="0.35">
      <c r="A65" s="32" t="s">
        <v>51</v>
      </c>
      <c r="B65" s="32">
        <v>7</v>
      </c>
      <c r="C65" s="32" t="s">
        <v>198</v>
      </c>
      <c r="D65" s="32"/>
      <c r="E65" s="32" t="s">
        <v>199</v>
      </c>
      <c r="F65" s="32" t="s">
        <v>25</v>
      </c>
      <c r="G65" s="32" t="s">
        <v>200</v>
      </c>
      <c r="H65" s="32" t="s">
        <v>34</v>
      </c>
    </row>
    <row r="66" spans="1:8" ht="23.25" x14ac:dyDescent="0.35">
      <c r="A66" s="31" t="s">
        <v>51</v>
      </c>
      <c r="B66" s="31">
        <v>7</v>
      </c>
      <c r="C66" s="31" t="s">
        <v>198</v>
      </c>
      <c r="D66" s="31" t="s">
        <v>201</v>
      </c>
      <c r="E66" s="31" t="s">
        <v>202</v>
      </c>
      <c r="F66" s="31" t="s">
        <v>25</v>
      </c>
      <c r="G66" s="31" t="s">
        <v>203</v>
      </c>
      <c r="H66" s="31" t="s">
        <v>33</v>
      </c>
    </row>
    <row r="67" spans="1:8" ht="23.25" x14ac:dyDescent="0.35">
      <c r="A67" s="32" t="s">
        <v>51</v>
      </c>
      <c r="B67" s="32">
        <v>7</v>
      </c>
      <c r="C67" s="32" t="s">
        <v>198</v>
      </c>
      <c r="D67" s="32" t="s">
        <v>204</v>
      </c>
      <c r="E67" s="32" t="s">
        <v>205</v>
      </c>
      <c r="F67" s="32" t="s">
        <v>25</v>
      </c>
      <c r="G67" s="32" t="s">
        <v>206</v>
      </c>
      <c r="H67" s="32" t="s">
        <v>33</v>
      </c>
    </row>
    <row r="68" spans="1:8" x14ac:dyDescent="0.35">
      <c r="A68" s="31" t="s">
        <v>51</v>
      </c>
      <c r="B68" s="31">
        <v>7</v>
      </c>
      <c r="C68" s="31" t="s">
        <v>198</v>
      </c>
      <c r="D68" s="31" t="s">
        <v>207</v>
      </c>
      <c r="E68" s="31" t="s">
        <v>208</v>
      </c>
      <c r="F68" s="31" t="s">
        <v>20</v>
      </c>
      <c r="G68" s="31" t="s">
        <v>209</v>
      </c>
      <c r="H68" s="31" t="s">
        <v>60</v>
      </c>
    </row>
    <row r="69" spans="1:8" ht="23.25" x14ac:dyDescent="0.35">
      <c r="A69" s="32" t="s">
        <v>51</v>
      </c>
      <c r="B69" s="32">
        <v>8</v>
      </c>
      <c r="C69" s="32" t="s">
        <v>210</v>
      </c>
      <c r="D69" s="32"/>
      <c r="E69" s="32" t="s">
        <v>211</v>
      </c>
      <c r="F69" s="32" t="s">
        <v>25</v>
      </c>
      <c r="G69" s="32" t="s">
        <v>212</v>
      </c>
      <c r="H69" s="32" t="s">
        <v>60</v>
      </c>
    </row>
    <row r="70" spans="1:8" x14ac:dyDescent="0.35">
      <c r="A70" s="31" t="s">
        <v>51</v>
      </c>
      <c r="B70" s="31">
        <v>8</v>
      </c>
      <c r="C70" s="31" t="s">
        <v>210</v>
      </c>
      <c r="D70" s="31"/>
      <c r="E70" s="31" t="s">
        <v>213</v>
      </c>
      <c r="F70" s="31" t="s">
        <v>21</v>
      </c>
      <c r="G70" s="31" t="s">
        <v>214</v>
      </c>
      <c r="H70" s="31" t="s">
        <v>33</v>
      </c>
    </row>
    <row r="71" spans="1:8" ht="23.25" x14ac:dyDescent="0.35">
      <c r="A71" s="32" t="s">
        <v>51</v>
      </c>
      <c r="B71" s="32">
        <v>8</v>
      </c>
      <c r="C71" s="32" t="s">
        <v>210</v>
      </c>
      <c r="D71" s="32"/>
      <c r="E71" s="32" t="s">
        <v>215</v>
      </c>
      <c r="F71" s="32" t="s">
        <v>25</v>
      </c>
      <c r="G71" s="32" t="s">
        <v>216</v>
      </c>
      <c r="H71" s="32" t="s">
        <v>34</v>
      </c>
    </row>
    <row r="72" spans="1:8" x14ac:dyDescent="0.35">
      <c r="A72" s="31" t="s">
        <v>51</v>
      </c>
      <c r="B72" s="31">
        <v>8</v>
      </c>
      <c r="C72" s="31" t="s">
        <v>210</v>
      </c>
      <c r="D72" s="31" t="s">
        <v>217</v>
      </c>
      <c r="E72" s="31" t="s">
        <v>218</v>
      </c>
      <c r="F72" s="31" t="s">
        <v>25</v>
      </c>
      <c r="G72" s="31" t="s">
        <v>219</v>
      </c>
      <c r="H72" s="31" t="s">
        <v>33</v>
      </c>
    </row>
    <row r="73" spans="1:8" x14ac:dyDescent="0.35">
      <c r="A73" s="32" t="s">
        <v>51</v>
      </c>
      <c r="B73" s="32">
        <v>8</v>
      </c>
      <c r="C73" s="32" t="s">
        <v>210</v>
      </c>
      <c r="D73" s="32" t="s">
        <v>217</v>
      </c>
      <c r="E73" s="32" t="s">
        <v>220</v>
      </c>
      <c r="F73" s="32" t="s">
        <v>25</v>
      </c>
      <c r="G73" s="32" t="s">
        <v>221</v>
      </c>
      <c r="H73" s="32" t="s">
        <v>33</v>
      </c>
    </row>
    <row r="74" spans="1:8" x14ac:dyDescent="0.35">
      <c r="A74" s="31" t="s">
        <v>51</v>
      </c>
      <c r="B74" s="31">
        <v>8</v>
      </c>
      <c r="C74" s="31" t="s">
        <v>210</v>
      </c>
      <c r="D74" s="31" t="s">
        <v>217</v>
      </c>
      <c r="E74" s="31" t="s">
        <v>222</v>
      </c>
      <c r="F74" s="31" t="s">
        <v>21</v>
      </c>
      <c r="G74" s="31" t="s">
        <v>214</v>
      </c>
      <c r="H74" s="31" t="s">
        <v>33</v>
      </c>
    </row>
    <row r="75" spans="1:8" ht="23.25" x14ac:dyDescent="0.35">
      <c r="A75" s="32" t="s">
        <v>51</v>
      </c>
      <c r="B75" s="32">
        <v>8</v>
      </c>
      <c r="C75" s="32" t="s">
        <v>210</v>
      </c>
      <c r="D75" s="32" t="s">
        <v>217</v>
      </c>
      <c r="E75" s="32" t="s">
        <v>223</v>
      </c>
      <c r="F75" s="32" t="s">
        <v>18</v>
      </c>
      <c r="G75" s="32" t="s">
        <v>224</v>
      </c>
      <c r="H75" s="32" t="s">
        <v>33</v>
      </c>
    </row>
    <row r="76" spans="1:8" ht="23.25" x14ac:dyDescent="0.35">
      <c r="A76" s="31" t="s">
        <v>51</v>
      </c>
      <c r="B76" s="31">
        <v>8</v>
      </c>
      <c r="C76" s="31" t="s">
        <v>210</v>
      </c>
      <c r="D76" s="31" t="s">
        <v>217</v>
      </c>
      <c r="E76" s="31" t="s">
        <v>225</v>
      </c>
      <c r="F76" s="31" t="s">
        <v>25</v>
      </c>
      <c r="G76" s="31" t="s">
        <v>226</v>
      </c>
      <c r="H76" s="31" t="s">
        <v>33</v>
      </c>
    </row>
    <row r="77" spans="1:8" ht="23.25" x14ac:dyDescent="0.35">
      <c r="A77" s="32" t="s">
        <v>51</v>
      </c>
      <c r="B77" s="32">
        <v>8</v>
      </c>
      <c r="C77" s="32" t="s">
        <v>210</v>
      </c>
      <c r="D77" s="32" t="s">
        <v>217</v>
      </c>
      <c r="E77" s="32" t="s">
        <v>227</v>
      </c>
      <c r="F77" s="32" t="s">
        <v>21</v>
      </c>
      <c r="G77" s="32" t="s">
        <v>228</v>
      </c>
      <c r="H77" s="32" t="s">
        <v>33</v>
      </c>
    </row>
    <row r="78" spans="1:8" ht="23.25" x14ac:dyDescent="0.35">
      <c r="A78" s="31" t="s">
        <v>51</v>
      </c>
      <c r="B78" s="31">
        <v>8</v>
      </c>
      <c r="C78" s="31" t="s">
        <v>210</v>
      </c>
      <c r="D78" s="31" t="s">
        <v>229</v>
      </c>
      <c r="E78" s="31" t="s">
        <v>230</v>
      </c>
      <c r="F78" s="31" t="s">
        <v>18</v>
      </c>
      <c r="G78" s="31" t="s">
        <v>231</v>
      </c>
      <c r="H78" s="31" t="s">
        <v>33</v>
      </c>
    </row>
    <row r="79" spans="1:8" ht="23.25" x14ac:dyDescent="0.35">
      <c r="A79" s="32" t="s">
        <v>51</v>
      </c>
      <c r="B79" s="32">
        <v>8</v>
      </c>
      <c r="C79" s="32" t="s">
        <v>210</v>
      </c>
      <c r="D79" s="32" t="s">
        <v>229</v>
      </c>
      <c r="E79" s="32" t="s">
        <v>232</v>
      </c>
      <c r="F79" s="32" t="s">
        <v>25</v>
      </c>
      <c r="G79" s="32" t="s">
        <v>233</v>
      </c>
      <c r="H79" s="32" t="s">
        <v>33</v>
      </c>
    </row>
    <row r="80" spans="1:8" x14ac:dyDescent="0.35">
      <c r="A80" s="31" t="s">
        <v>51</v>
      </c>
      <c r="B80" s="31">
        <v>8</v>
      </c>
      <c r="C80" s="31" t="s">
        <v>210</v>
      </c>
      <c r="D80" s="31" t="s">
        <v>229</v>
      </c>
      <c r="E80" s="31" t="s">
        <v>234</v>
      </c>
      <c r="F80" s="31" t="s">
        <v>21</v>
      </c>
      <c r="G80" s="31" t="s">
        <v>235</v>
      </c>
      <c r="H80" s="31" t="s">
        <v>33</v>
      </c>
    </row>
    <row r="81" spans="1:8" x14ac:dyDescent="0.35">
      <c r="A81" s="32" t="s">
        <v>51</v>
      </c>
      <c r="B81" s="32">
        <v>8</v>
      </c>
      <c r="C81" s="32" t="s">
        <v>210</v>
      </c>
      <c r="D81" s="32" t="s">
        <v>229</v>
      </c>
      <c r="E81" s="32" t="s">
        <v>236</v>
      </c>
      <c r="F81" s="32" t="s">
        <v>25</v>
      </c>
      <c r="G81" s="32" t="s">
        <v>237</v>
      </c>
      <c r="H81" s="32" t="s">
        <v>60</v>
      </c>
    </row>
    <row r="82" spans="1:8" ht="23.25" x14ac:dyDescent="0.35">
      <c r="A82" s="31" t="s">
        <v>51</v>
      </c>
      <c r="B82" s="31">
        <v>8</v>
      </c>
      <c r="C82" s="31" t="s">
        <v>210</v>
      </c>
      <c r="D82" s="31" t="s">
        <v>238</v>
      </c>
      <c r="E82" s="31" t="s">
        <v>239</v>
      </c>
      <c r="F82" s="31" t="s">
        <v>20</v>
      </c>
      <c r="G82" s="31" t="s">
        <v>240</v>
      </c>
      <c r="H82" s="31" t="s">
        <v>33</v>
      </c>
    </row>
    <row r="83" spans="1:8" ht="23.25" x14ac:dyDescent="0.35">
      <c r="A83" s="32" t="s">
        <v>51</v>
      </c>
      <c r="B83" s="32">
        <v>8</v>
      </c>
      <c r="C83" s="32" t="s">
        <v>210</v>
      </c>
      <c r="D83" s="32" t="s">
        <v>238</v>
      </c>
      <c r="E83" s="32" t="s">
        <v>241</v>
      </c>
      <c r="F83" s="32" t="s">
        <v>25</v>
      </c>
      <c r="G83" s="32" t="s">
        <v>242</v>
      </c>
      <c r="H83" s="32" t="s">
        <v>33</v>
      </c>
    </row>
    <row r="84" spans="1:8" x14ac:dyDescent="0.35">
      <c r="A84" s="31" t="s">
        <v>51</v>
      </c>
      <c r="B84" s="31">
        <v>8</v>
      </c>
      <c r="C84" s="31" t="s">
        <v>210</v>
      </c>
      <c r="D84" s="31" t="s">
        <v>238</v>
      </c>
      <c r="E84" s="31" t="s">
        <v>243</v>
      </c>
      <c r="F84" s="31" t="s">
        <v>21</v>
      </c>
      <c r="G84" s="31" t="s">
        <v>244</v>
      </c>
      <c r="H84" s="31" t="s">
        <v>33</v>
      </c>
    </row>
    <row r="85" spans="1:8" x14ac:dyDescent="0.35">
      <c r="A85" s="32" t="s">
        <v>51</v>
      </c>
      <c r="B85" s="32">
        <v>8</v>
      </c>
      <c r="C85" s="32" t="s">
        <v>210</v>
      </c>
      <c r="D85" s="32" t="s">
        <v>238</v>
      </c>
      <c r="E85" s="32" t="s">
        <v>245</v>
      </c>
      <c r="F85" s="32" t="s">
        <v>25</v>
      </c>
      <c r="G85" s="32" t="s">
        <v>246</v>
      </c>
      <c r="H85" s="32" t="s">
        <v>60</v>
      </c>
    </row>
    <row r="86" spans="1:8" x14ac:dyDescent="0.35">
      <c r="A86" s="31" t="s">
        <v>51</v>
      </c>
      <c r="B86" s="31">
        <v>8</v>
      </c>
      <c r="C86" s="31" t="s">
        <v>210</v>
      </c>
      <c r="D86" s="31" t="s">
        <v>238</v>
      </c>
      <c r="E86" s="31" t="s">
        <v>247</v>
      </c>
      <c r="F86" s="31" t="s">
        <v>25</v>
      </c>
      <c r="G86" s="31" t="s">
        <v>248</v>
      </c>
      <c r="H86" s="31" t="s">
        <v>60</v>
      </c>
    </row>
    <row r="87" spans="1:8" ht="23.25" x14ac:dyDescent="0.35">
      <c r="A87" s="32" t="s">
        <v>51</v>
      </c>
      <c r="B87" s="32">
        <v>9</v>
      </c>
      <c r="C87" s="32" t="s">
        <v>249</v>
      </c>
      <c r="D87" s="32"/>
      <c r="E87" s="32" t="s">
        <v>250</v>
      </c>
      <c r="F87" s="32" t="s">
        <v>23</v>
      </c>
      <c r="G87" s="32" t="s">
        <v>251</v>
      </c>
      <c r="H87" s="32" t="s">
        <v>33</v>
      </c>
    </row>
    <row r="88" spans="1:8" ht="23.25" x14ac:dyDescent="0.35">
      <c r="A88" s="31" t="s">
        <v>51</v>
      </c>
      <c r="B88" s="31">
        <v>9</v>
      </c>
      <c r="C88" s="31" t="s">
        <v>249</v>
      </c>
      <c r="D88" s="31"/>
      <c r="E88" s="31" t="s">
        <v>252</v>
      </c>
      <c r="F88" s="31" t="s">
        <v>23</v>
      </c>
      <c r="G88" s="31" t="s">
        <v>253</v>
      </c>
      <c r="H88" s="31" t="s">
        <v>33</v>
      </c>
    </row>
    <row r="89" spans="1:8" ht="23.25" x14ac:dyDescent="0.35">
      <c r="A89" s="32" t="s">
        <v>51</v>
      </c>
      <c r="B89" s="32">
        <v>9</v>
      </c>
      <c r="C89" s="32" t="s">
        <v>249</v>
      </c>
      <c r="D89" s="32"/>
      <c r="E89" s="32" t="s">
        <v>254</v>
      </c>
      <c r="F89" s="32" t="s">
        <v>25</v>
      </c>
      <c r="G89" s="32" t="s">
        <v>255</v>
      </c>
      <c r="H89" s="32" t="s">
        <v>33</v>
      </c>
    </row>
    <row r="90" spans="1:8" ht="23.25" x14ac:dyDescent="0.35">
      <c r="A90" s="31" t="s">
        <v>51</v>
      </c>
      <c r="B90" s="31">
        <v>9</v>
      </c>
      <c r="C90" s="31" t="s">
        <v>249</v>
      </c>
      <c r="D90" s="31"/>
      <c r="E90" s="31" t="s">
        <v>256</v>
      </c>
      <c r="F90" s="31" t="s">
        <v>25</v>
      </c>
      <c r="G90" s="31" t="s">
        <v>257</v>
      </c>
      <c r="H90" s="31" t="s">
        <v>60</v>
      </c>
    </row>
    <row r="91" spans="1:8" ht="23.25" x14ac:dyDescent="0.35">
      <c r="A91" s="32" t="s">
        <v>51</v>
      </c>
      <c r="B91" s="32">
        <v>9</v>
      </c>
      <c r="C91" s="32" t="s">
        <v>249</v>
      </c>
      <c r="D91" s="32" t="s">
        <v>258</v>
      </c>
      <c r="E91" s="32" t="s">
        <v>259</v>
      </c>
      <c r="F91" s="32" t="s">
        <v>25</v>
      </c>
      <c r="G91" s="32" t="s">
        <v>260</v>
      </c>
      <c r="H91" s="32" t="s">
        <v>33</v>
      </c>
    </row>
    <row r="92" spans="1:8" ht="23.25" x14ac:dyDescent="0.35">
      <c r="A92" s="31" t="s">
        <v>51</v>
      </c>
      <c r="B92" s="31">
        <v>9</v>
      </c>
      <c r="C92" s="31" t="s">
        <v>249</v>
      </c>
      <c r="D92" s="31" t="s">
        <v>261</v>
      </c>
      <c r="E92" s="31" t="s">
        <v>262</v>
      </c>
      <c r="F92" s="31" t="s">
        <v>25</v>
      </c>
      <c r="G92" s="31" t="s">
        <v>263</v>
      </c>
      <c r="H92" s="31" t="s">
        <v>33</v>
      </c>
    </row>
    <row r="93" spans="1:8" ht="23.25" x14ac:dyDescent="0.35">
      <c r="A93" s="32" t="s">
        <v>51</v>
      </c>
      <c r="B93" s="32">
        <v>9</v>
      </c>
      <c r="C93" s="32" t="s">
        <v>249</v>
      </c>
      <c r="D93" s="32" t="s">
        <v>261</v>
      </c>
      <c r="E93" s="32" t="s">
        <v>264</v>
      </c>
      <c r="F93" s="32" t="s">
        <v>21</v>
      </c>
      <c r="G93" s="32" t="s">
        <v>265</v>
      </c>
      <c r="H93" s="32" t="s">
        <v>33</v>
      </c>
    </row>
    <row r="94" spans="1:8" ht="23.25" x14ac:dyDescent="0.35">
      <c r="A94" s="31" t="s">
        <v>51</v>
      </c>
      <c r="B94" s="31">
        <v>9</v>
      </c>
      <c r="C94" s="31" t="s">
        <v>249</v>
      </c>
      <c r="D94" s="31" t="s">
        <v>261</v>
      </c>
      <c r="E94" s="31" t="s">
        <v>266</v>
      </c>
      <c r="F94" s="31" t="s">
        <v>21</v>
      </c>
      <c r="G94" s="31" t="s">
        <v>267</v>
      </c>
      <c r="H94" s="31" t="s">
        <v>33</v>
      </c>
    </row>
    <row r="95" spans="1:8" ht="23.25" x14ac:dyDescent="0.35">
      <c r="A95" s="32" t="s">
        <v>51</v>
      </c>
      <c r="B95" s="32">
        <v>9</v>
      </c>
      <c r="C95" s="32" t="s">
        <v>249</v>
      </c>
      <c r="D95" s="32" t="s">
        <v>268</v>
      </c>
      <c r="E95" s="32" t="s">
        <v>269</v>
      </c>
      <c r="F95" s="32" t="s">
        <v>25</v>
      </c>
      <c r="G95" s="32" t="s">
        <v>270</v>
      </c>
      <c r="H95" s="32" t="s">
        <v>33</v>
      </c>
    </row>
    <row r="96" spans="1:8" ht="23.25" x14ac:dyDescent="0.35">
      <c r="A96" s="31" t="s">
        <v>51</v>
      </c>
      <c r="B96" s="31">
        <v>9</v>
      </c>
      <c r="C96" s="31" t="s">
        <v>249</v>
      </c>
      <c r="D96" s="31" t="s">
        <v>268</v>
      </c>
      <c r="E96" s="31" t="s">
        <v>271</v>
      </c>
      <c r="F96" s="31" t="s">
        <v>25</v>
      </c>
      <c r="G96" s="31" t="s">
        <v>272</v>
      </c>
      <c r="H96" s="31" t="s">
        <v>33</v>
      </c>
    </row>
    <row r="97" spans="1:8" ht="23.25" x14ac:dyDescent="0.35">
      <c r="A97" s="32" t="s">
        <v>51</v>
      </c>
      <c r="B97" s="32">
        <v>9</v>
      </c>
      <c r="C97" s="32" t="s">
        <v>249</v>
      </c>
      <c r="D97" s="32" t="s">
        <v>268</v>
      </c>
      <c r="E97" s="32" t="s">
        <v>273</v>
      </c>
      <c r="F97" s="32" t="s">
        <v>23</v>
      </c>
      <c r="G97" s="32" t="s">
        <v>274</v>
      </c>
      <c r="H97" s="32" t="s">
        <v>34</v>
      </c>
    </row>
    <row r="98" spans="1:8" ht="23.25" x14ac:dyDescent="0.35">
      <c r="A98" s="31" t="s">
        <v>51</v>
      </c>
      <c r="B98" s="31">
        <v>9</v>
      </c>
      <c r="C98" s="31" t="s">
        <v>249</v>
      </c>
      <c r="D98" s="31" t="s">
        <v>275</v>
      </c>
      <c r="E98" s="31" t="s">
        <v>276</v>
      </c>
      <c r="F98" s="31" t="s">
        <v>25</v>
      </c>
      <c r="G98" s="31" t="s">
        <v>277</v>
      </c>
      <c r="H98" s="31" t="s">
        <v>33</v>
      </c>
    </row>
    <row r="99" spans="1:8" ht="23.25" x14ac:dyDescent="0.35">
      <c r="A99" s="32" t="s">
        <v>51</v>
      </c>
      <c r="B99" s="32">
        <v>9</v>
      </c>
      <c r="C99" s="32" t="s">
        <v>249</v>
      </c>
      <c r="D99" s="32" t="s">
        <v>275</v>
      </c>
      <c r="E99" s="32" t="s">
        <v>278</v>
      </c>
      <c r="F99" s="32" t="s">
        <v>25</v>
      </c>
      <c r="G99" s="32" t="s">
        <v>279</v>
      </c>
      <c r="H99" s="32" t="s">
        <v>60</v>
      </c>
    </row>
    <row r="100" spans="1:8" ht="23.25" x14ac:dyDescent="0.35">
      <c r="A100" s="31" t="s">
        <v>51</v>
      </c>
      <c r="B100" s="31">
        <v>9</v>
      </c>
      <c r="C100" s="31" t="s">
        <v>249</v>
      </c>
      <c r="D100" s="31" t="s">
        <v>280</v>
      </c>
      <c r="E100" s="31" t="s">
        <v>281</v>
      </c>
      <c r="F100" s="31" t="s">
        <v>25</v>
      </c>
      <c r="G100" s="31" t="s">
        <v>282</v>
      </c>
      <c r="H100" s="31" t="s">
        <v>60</v>
      </c>
    </row>
    <row r="101" spans="1:8" ht="23.25" x14ac:dyDescent="0.35">
      <c r="A101" s="32" t="s">
        <v>51</v>
      </c>
      <c r="B101" s="32">
        <v>10</v>
      </c>
      <c r="C101" s="32" t="s">
        <v>283</v>
      </c>
      <c r="D101" s="32" t="s">
        <v>284</v>
      </c>
      <c r="E101" s="32" t="s">
        <v>285</v>
      </c>
      <c r="F101" s="32" t="s">
        <v>21</v>
      </c>
      <c r="G101" s="32" t="s">
        <v>286</v>
      </c>
      <c r="H101" s="32" t="s">
        <v>34</v>
      </c>
    </row>
    <row r="102" spans="1:8" x14ac:dyDescent="0.35">
      <c r="A102" s="31" t="s">
        <v>51</v>
      </c>
      <c r="B102" s="31">
        <v>10</v>
      </c>
      <c r="C102" s="31" t="s">
        <v>283</v>
      </c>
      <c r="D102" s="31" t="s">
        <v>284</v>
      </c>
      <c r="E102" s="31" t="s">
        <v>287</v>
      </c>
      <c r="F102" s="31" t="s">
        <v>23</v>
      </c>
      <c r="G102" s="31" t="s">
        <v>288</v>
      </c>
      <c r="H102" s="31" t="s">
        <v>34</v>
      </c>
    </row>
    <row r="103" spans="1:8" ht="23.25" x14ac:dyDescent="0.35">
      <c r="A103" s="32" t="s">
        <v>51</v>
      </c>
      <c r="B103" s="32">
        <v>10</v>
      </c>
      <c r="C103" s="32" t="s">
        <v>283</v>
      </c>
      <c r="D103" s="32" t="s">
        <v>284</v>
      </c>
      <c r="E103" s="32" t="s">
        <v>289</v>
      </c>
      <c r="F103" s="32" t="s">
        <v>25</v>
      </c>
      <c r="G103" s="32" t="s">
        <v>290</v>
      </c>
      <c r="H103" s="32" t="s">
        <v>34</v>
      </c>
    </row>
    <row r="104" spans="1:8" x14ac:dyDescent="0.35">
      <c r="A104" s="31" t="s">
        <v>51</v>
      </c>
      <c r="B104" s="31">
        <v>10</v>
      </c>
      <c r="C104" s="31" t="s">
        <v>283</v>
      </c>
      <c r="D104" s="31" t="s">
        <v>284</v>
      </c>
      <c r="E104" s="31" t="s">
        <v>291</v>
      </c>
      <c r="F104" s="31" t="s">
        <v>23</v>
      </c>
      <c r="G104" s="31"/>
      <c r="H104" s="31" t="s">
        <v>33</v>
      </c>
    </row>
    <row r="105" spans="1:8" x14ac:dyDescent="0.35">
      <c r="A105" s="32" t="s">
        <v>51</v>
      </c>
      <c r="B105" s="32">
        <v>10</v>
      </c>
      <c r="C105" s="32" t="s">
        <v>283</v>
      </c>
      <c r="D105" s="32" t="s">
        <v>292</v>
      </c>
      <c r="E105" s="32" t="s">
        <v>293</v>
      </c>
      <c r="F105" s="32" t="s">
        <v>23</v>
      </c>
      <c r="G105" s="32" t="s">
        <v>294</v>
      </c>
      <c r="H105" s="32" t="s">
        <v>33</v>
      </c>
    </row>
    <row r="106" spans="1:8" x14ac:dyDescent="0.35">
      <c r="A106" s="31" t="s">
        <v>51</v>
      </c>
      <c r="B106" s="31">
        <v>10</v>
      </c>
      <c r="C106" s="31" t="s">
        <v>283</v>
      </c>
      <c r="D106" s="31" t="s">
        <v>295</v>
      </c>
      <c r="E106" s="31" t="s">
        <v>296</v>
      </c>
      <c r="F106" s="31" t="s">
        <v>19</v>
      </c>
      <c r="G106" s="31" t="s">
        <v>297</v>
      </c>
      <c r="H106" s="31" t="s">
        <v>33</v>
      </c>
    </row>
    <row r="107" spans="1:8" x14ac:dyDescent="0.35">
      <c r="A107" s="32" t="s">
        <v>51</v>
      </c>
      <c r="B107" s="32">
        <v>10</v>
      </c>
      <c r="C107" s="32" t="s">
        <v>283</v>
      </c>
      <c r="D107" s="32" t="s">
        <v>295</v>
      </c>
      <c r="E107" s="32" t="s">
        <v>298</v>
      </c>
      <c r="F107" s="32" t="s">
        <v>19</v>
      </c>
      <c r="G107" s="32" t="s">
        <v>299</v>
      </c>
      <c r="H107" s="32" t="s">
        <v>33</v>
      </c>
    </row>
    <row r="108" spans="1:8" x14ac:dyDescent="0.35">
      <c r="A108" s="31" t="s">
        <v>51</v>
      </c>
      <c r="B108" s="31">
        <v>10</v>
      </c>
      <c r="C108" s="31" t="s">
        <v>283</v>
      </c>
      <c r="D108" s="31" t="s">
        <v>295</v>
      </c>
      <c r="E108" s="31" t="s">
        <v>300</v>
      </c>
      <c r="F108" s="31" t="s">
        <v>25</v>
      </c>
      <c r="G108" s="31" t="s">
        <v>301</v>
      </c>
      <c r="H108" s="31" t="s">
        <v>33</v>
      </c>
    </row>
    <row r="109" spans="1:8" x14ac:dyDescent="0.35">
      <c r="A109" s="32" t="s">
        <v>51</v>
      </c>
      <c r="B109" s="32">
        <v>10</v>
      </c>
      <c r="C109" s="32" t="s">
        <v>283</v>
      </c>
      <c r="D109" s="32" t="s">
        <v>295</v>
      </c>
      <c r="E109" s="32" t="s">
        <v>302</v>
      </c>
      <c r="F109" s="32" t="s">
        <v>25</v>
      </c>
      <c r="G109" s="32" t="s">
        <v>303</v>
      </c>
      <c r="H109" s="32" t="s">
        <v>60</v>
      </c>
    </row>
    <row r="110" spans="1:8" ht="23.25" x14ac:dyDescent="0.35">
      <c r="A110" s="31" t="s">
        <v>51</v>
      </c>
      <c r="B110" s="31">
        <v>11</v>
      </c>
      <c r="C110" s="31" t="s">
        <v>304</v>
      </c>
      <c r="D110" s="31"/>
      <c r="E110" s="31" t="s">
        <v>305</v>
      </c>
      <c r="F110" s="31" t="s">
        <v>23</v>
      </c>
      <c r="G110" s="31" t="s">
        <v>306</v>
      </c>
      <c r="H110" s="31" t="s">
        <v>60</v>
      </c>
    </row>
    <row r="111" spans="1:8" ht="23.25" x14ac:dyDescent="0.35">
      <c r="A111" s="32" t="s">
        <v>51</v>
      </c>
      <c r="B111" s="32">
        <v>11</v>
      </c>
      <c r="C111" s="32" t="s">
        <v>304</v>
      </c>
      <c r="D111" s="32" t="s">
        <v>307</v>
      </c>
      <c r="E111" s="32" t="s">
        <v>308</v>
      </c>
      <c r="F111" s="32" t="s">
        <v>25</v>
      </c>
      <c r="G111" s="32" t="s">
        <v>309</v>
      </c>
      <c r="H111" s="32" t="s">
        <v>33</v>
      </c>
    </row>
    <row r="112" spans="1:8" ht="23.25" x14ac:dyDescent="0.35">
      <c r="A112" s="31" t="s">
        <v>51</v>
      </c>
      <c r="B112" s="31">
        <v>11</v>
      </c>
      <c r="C112" s="31" t="s">
        <v>304</v>
      </c>
      <c r="D112" s="31" t="s">
        <v>310</v>
      </c>
      <c r="E112" s="31" t="s">
        <v>311</v>
      </c>
      <c r="F112" s="31" t="s">
        <v>18</v>
      </c>
      <c r="G112" s="31" t="s">
        <v>312</v>
      </c>
      <c r="H112" s="31" t="s">
        <v>33</v>
      </c>
    </row>
    <row r="113" spans="1:8" x14ac:dyDescent="0.35">
      <c r="A113" s="32" t="s">
        <v>51</v>
      </c>
      <c r="B113" s="32">
        <v>12</v>
      </c>
      <c r="C113" s="32" t="s">
        <v>313</v>
      </c>
      <c r="D113" s="32"/>
      <c r="E113" s="32" t="s">
        <v>314</v>
      </c>
      <c r="F113" s="32" t="s">
        <v>25</v>
      </c>
      <c r="G113" s="32" t="s">
        <v>315</v>
      </c>
      <c r="H113" s="32" t="s">
        <v>60</v>
      </c>
    </row>
    <row r="114" spans="1:8" x14ac:dyDescent="0.35">
      <c r="A114" s="31" t="s">
        <v>51</v>
      </c>
      <c r="B114" s="31">
        <v>12</v>
      </c>
      <c r="C114" s="31" t="s">
        <v>313</v>
      </c>
      <c r="D114" s="31" t="s">
        <v>316</v>
      </c>
      <c r="E114" s="31" t="s">
        <v>317</v>
      </c>
      <c r="F114" s="31" t="s">
        <v>21</v>
      </c>
      <c r="G114" s="31" t="s">
        <v>318</v>
      </c>
      <c r="H114" s="31" t="s">
        <v>33</v>
      </c>
    </row>
    <row r="115" spans="1:8" x14ac:dyDescent="0.35">
      <c r="A115" s="32" t="s">
        <v>51</v>
      </c>
      <c r="B115" s="32">
        <v>12</v>
      </c>
      <c r="C115" s="32" t="s">
        <v>313</v>
      </c>
      <c r="D115" s="32" t="s">
        <v>319</v>
      </c>
      <c r="E115" s="32" t="s">
        <v>320</v>
      </c>
      <c r="F115" s="32" t="s">
        <v>21</v>
      </c>
      <c r="G115" s="32" t="s">
        <v>321</v>
      </c>
      <c r="H115" s="32" t="s">
        <v>33</v>
      </c>
    </row>
    <row r="116" spans="1:8" x14ac:dyDescent="0.35">
      <c r="A116" s="31" t="s">
        <v>51</v>
      </c>
      <c r="B116" s="31">
        <v>12</v>
      </c>
      <c r="C116" s="31" t="s">
        <v>313</v>
      </c>
      <c r="D116" s="31" t="s">
        <v>319</v>
      </c>
      <c r="E116" s="31" t="s">
        <v>322</v>
      </c>
      <c r="F116" s="31" t="s">
        <v>21</v>
      </c>
      <c r="G116" s="31" t="s">
        <v>323</v>
      </c>
      <c r="H116" s="31" t="s">
        <v>34</v>
      </c>
    </row>
    <row r="117" spans="1:8" x14ac:dyDescent="0.35">
      <c r="A117" s="32" t="s">
        <v>51</v>
      </c>
      <c r="B117" s="32">
        <v>12</v>
      </c>
      <c r="C117" s="32" t="s">
        <v>313</v>
      </c>
      <c r="D117" s="32" t="s">
        <v>324</v>
      </c>
      <c r="E117" s="32" t="s">
        <v>325</v>
      </c>
      <c r="F117" s="32" t="s">
        <v>25</v>
      </c>
      <c r="G117" s="32" t="s">
        <v>326</v>
      </c>
      <c r="H117" s="32" t="s">
        <v>34</v>
      </c>
    </row>
    <row r="118" spans="1:8" x14ac:dyDescent="0.35">
      <c r="A118" s="31" t="s">
        <v>51</v>
      </c>
      <c r="B118" s="31">
        <v>12</v>
      </c>
      <c r="C118" s="31" t="s">
        <v>313</v>
      </c>
      <c r="D118" s="31" t="s">
        <v>324</v>
      </c>
      <c r="E118" s="31" t="s">
        <v>327</v>
      </c>
      <c r="F118" s="31" t="s">
        <v>25</v>
      </c>
      <c r="G118" s="31" t="s">
        <v>328</v>
      </c>
      <c r="H118" s="31" t="s">
        <v>60</v>
      </c>
    </row>
    <row r="119" spans="1:8" ht="23.25" x14ac:dyDescent="0.35">
      <c r="A119" s="32" t="s">
        <v>51</v>
      </c>
      <c r="B119" s="32">
        <v>13</v>
      </c>
      <c r="C119" s="32" t="s">
        <v>329</v>
      </c>
      <c r="D119" s="32"/>
      <c r="E119" s="32" t="s">
        <v>330</v>
      </c>
      <c r="F119" s="32" t="s">
        <v>25</v>
      </c>
      <c r="G119" s="32" t="s">
        <v>331</v>
      </c>
      <c r="H119" s="32" t="s">
        <v>60</v>
      </c>
    </row>
    <row r="120" spans="1:8" x14ac:dyDescent="0.35">
      <c r="A120" s="31" t="s">
        <v>51</v>
      </c>
      <c r="B120" s="31">
        <v>13</v>
      </c>
      <c r="C120" s="31"/>
      <c r="D120" s="31"/>
      <c r="E120" s="31" t="s">
        <v>332</v>
      </c>
      <c r="F120" s="31" t="s">
        <v>18</v>
      </c>
      <c r="G120" s="31" t="s">
        <v>333</v>
      </c>
      <c r="H120" s="31" t="s">
        <v>33</v>
      </c>
    </row>
    <row r="121" spans="1:8" ht="23.25" x14ac:dyDescent="0.35">
      <c r="A121" s="32" t="s">
        <v>51</v>
      </c>
      <c r="B121" s="32">
        <v>13</v>
      </c>
      <c r="C121" s="32"/>
      <c r="D121" s="32"/>
      <c r="E121" s="32" t="s">
        <v>334</v>
      </c>
      <c r="F121" s="32" t="s">
        <v>21</v>
      </c>
      <c r="G121" s="32" t="s">
        <v>335</v>
      </c>
      <c r="H121" s="32" t="s">
        <v>33</v>
      </c>
    </row>
    <row r="122" spans="1:8" ht="23.25" x14ac:dyDescent="0.35">
      <c r="A122" s="31" t="s">
        <v>51</v>
      </c>
      <c r="B122" s="31">
        <v>13</v>
      </c>
      <c r="C122" s="31"/>
      <c r="D122" s="31"/>
      <c r="E122" s="31" t="s">
        <v>336</v>
      </c>
      <c r="F122" s="31" t="s">
        <v>25</v>
      </c>
      <c r="G122" s="31" t="s">
        <v>337</v>
      </c>
      <c r="H122" s="31" t="s">
        <v>60</v>
      </c>
    </row>
    <row r="123" spans="1:8" ht="23.25" x14ac:dyDescent="0.35">
      <c r="A123" s="32" t="s">
        <v>51</v>
      </c>
      <c r="B123" s="32">
        <v>13</v>
      </c>
      <c r="C123" s="32"/>
      <c r="D123" s="32" t="s">
        <v>338</v>
      </c>
      <c r="E123" s="32" t="s">
        <v>339</v>
      </c>
      <c r="F123" s="32" t="s">
        <v>25</v>
      </c>
      <c r="G123" s="32" t="s">
        <v>340</v>
      </c>
      <c r="H123" s="32" t="s">
        <v>33</v>
      </c>
    </row>
    <row r="124" spans="1:8" x14ac:dyDescent="0.35">
      <c r="A124" s="31" t="s">
        <v>51</v>
      </c>
      <c r="B124" s="31">
        <v>13</v>
      </c>
      <c r="C124" s="31"/>
      <c r="D124" s="31" t="s">
        <v>341</v>
      </c>
      <c r="E124" s="31" t="s">
        <v>342</v>
      </c>
      <c r="F124" s="31" t="s">
        <v>18</v>
      </c>
      <c r="G124" s="31" t="s">
        <v>343</v>
      </c>
      <c r="H124" s="31" t="s">
        <v>34</v>
      </c>
    </row>
    <row r="125" spans="1:8" x14ac:dyDescent="0.35">
      <c r="A125" s="32" t="s">
        <v>51</v>
      </c>
      <c r="B125" s="32">
        <v>13</v>
      </c>
      <c r="C125" s="32"/>
      <c r="D125" s="32" t="s">
        <v>341</v>
      </c>
      <c r="E125" s="32" t="s">
        <v>344</v>
      </c>
      <c r="F125" s="32" t="s">
        <v>18</v>
      </c>
      <c r="G125" s="32" t="s">
        <v>345</v>
      </c>
      <c r="H125" s="32" t="s">
        <v>33</v>
      </c>
    </row>
    <row r="126" spans="1:8" x14ac:dyDescent="0.35">
      <c r="A126" s="31" t="s">
        <v>51</v>
      </c>
      <c r="B126" s="31">
        <v>13</v>
      </c>
      <c r="C126" s="31"/>
      <c r="D126" s="31" t="s">
        <v>341</v>
      </c>
      <c r="E126" s="31" t="s">
        <v>346</v>
      </c>
      <c r="F126" s="31" t="s">
        <v>25</v>
      </c>
      <c r="G126" s="31" t="s">
        <v>347</v>
      </c>
      <c r="H126" s="31" t="s">
        <v>34</v>
      </c>
    </row>
    <row r="127" spans="1:8" x14ac:dyDescent="0.35">
      <c r="A127" s="32" t="s">
        <v>51</v>
      </c>
      <c r="B127" s="32">
        <v>13</v>
      </c>
      <c r="C127" s="32"/>
      <c r="D127" s="32" t="s">
        <v>348</v>
      </c>
      <c r="E127" s="32" t="s">
        <v>349</v>
      </c>
      <c r="F127" s="32" t="s">
        <v>21</v>
      </c>
      <c r="G127" s="32" t="s">
        <v>350</v>
      </c>
      <c r="H127" s="32" t="s">
        <v>33</v>
      </c>
    </row>
    <row r="128" spans="1:8" x14ac:dyDescent="0.35">
      <c r="A128" s="31" t="s">
        <v>51</v>
      </c>
      <c r="B128" s="31">
        <v>13</v>
      </c>
      <c r="C128" s="31"/>
      <c r="D128" s="31" t="s">
        <v>348</v>
      </c>
      <c r="E128" s="31" t="s">
        <v>351</v>
      </c>
      <c r="F128" s="31" t="s">
        <v>21</v>
      </c>
      <c r="G128" s="31" t="s">
        <v>350</v>
      </c>
      <c r="H128" s="31" t="s">
        <v>33</v>
      </c>
    </row>
    <row r="129" spans="1:8" x14ac:dyDescent="0.35">
      <c r="A129" s="32" t="s">
        <v>51</v>
      </c>
      <c r="B129" s="32">
        <v>13</v>
      </c>
      <c r="C129" s="32"/>
      <c r="D129" s="32" t="s">
        <v>352</v>
      </c>
      <c r="E129" s="32" t="s">
        <v>353</v>
      </c>
      <c r="F129" s="32" t="s">
        <v>25</v>
      </c>
      <c r="G129" s="32"/>
      <c r="H129" s="32" t="s">
        <v>33</v>
      </c>
    </row>
    <row r="130" spans="1:8" x14ac:dyDescent="0.35">
      <c r="A130" s="31" t="s">
        <v>51</v>
      </c>
      <c r="B130" s="31">
        <v>13</v>
      </c>
      <c r="C130" s="31"/>
      <c r="D130" s="31" t="s">
        <v>352</v>
      </c>
      <c r="E130" s="31" t="s">
        <v>354</v>
      </c>
      <c r="F130" s="31" t="s">
        <v>25</v>
      </c>
      <c r="G130" s="31"/>
      <c r="H130" s="31" t="s">
        <v>33</v>
      </c>
    </row>
    <row r="131" spans="1:8" x14ac:dyDescent="0.35">
      <c r="A131" s="32" t="s">
        <v>51</v>
      </c>
      <c r="B131" s="32">
        <v>13</v>
      </c>
      <c r="C131" s="32"/>
      <c r="D131" s="32" t="s">
        <v>352</v>
      </c>
      <c r="E131" s="32" t="s">
        <v>355</v>
      </c>
      <c r="F131" s="32" t="s">
        <v>25</v>
      </c>
      <c r="G131" s="32" t="s">
        <v>356</v>
      </c>
      <c r="H131" s="32" t="s">
        <v>60</v>
      </c>
    </row>
    <row r="132" spans="1:8" x14ac:dyDescent="0.35">
      <c r="A132" s="31" t="s">
        <v>51</v>
      </c>
      <c r="B132" s="31">
        <v>13</v>
      </c>
      <c r="C132" s="31"/>
      <c r="D132" s="31" t="s">
        <v>352</v>
      </c>
      <c r="E132" s="31" t="s">
        <v>357</v>
      </c>
      <c r="F132" s="31" t="s">
        <v>21</v>
      </c>
      <c r="G132" s="31" t="s">
        <v>358</v>
      </c>
      <c r="H132" s="31" t="s">
        <v>33</v>
      </c>
    </row>
    <row r="133" spans="1:8" x14ac:dyDescent="0.35">
      <c r="A133" s="32" t="s">
        <v>51</v>
      </c>
      <c r="B133" s="32">
        <v>13</v>
      </c>
      <c r="C133" s="32"/>
      <c r="D133" s="32" t="s">
        <v>352</v>
      </c>
      <c r="E133" s="32" t="s">
        <v>359</v>
      </c>
      <c r="F133" s="32" t="s">
        <v>25</v>
      </c>
      <c r="G133" s="32" t="s">
        <v>360</v>
      </c>
      <c r="H133" s="32" t="s">
        <v>60</v>
      </c>
    </row>
    <row r="134" spans="1:8" x14ac:dyDescent="0.35">
      <c r="A134" s="31" t="s">
        <v>51</v>
      </c>
      <c r="B134" s="31">
        <v>13</v>
      </c>
      <c r="C134" s="31"/>
      <c r="D134" s="31" t="s">
        <v>352</v>
      </c>
      <c r="E134" s="31" t="s">
        <v>361</v>
      </c>
      <c r="F134" s="31" t="s">
        <v>19</v>
      </c>
      <c r="G134" s="31" t="s">
        <v>362</v>
      </c>
      <c r="H134" s="31" t="s">
        <v>33</v>
      </c>
    </row>
    <row r="135" spans="1:8" x14ac:dyDescent="0.35">
      <c r="A135" s="32" t="s">
        <v>51</v>
      </c>
      <c r="B135" s="32">
        <v>13</v>
      </c>
      <c r="C135" s="32"/>
      <c r="D135" s="32" t="s">
        <v>352</v>
      </c>
      <c r="E135" s="32" t="s">
        <v>363</v>
      </c>
      <c r="F135" s="32" t="s">
        <v>25</v>
      </c>
      <c r="G135" s="32" t="s">
        <v>364</v>
      </c>
      <c r="H135" s="32" t="s">
        <v>33</v>
      </c>
    </row>
    <row r="136" spans="1:8" x14ac:dyDescent="0.35">
      <c r="A136" s="31" t="s">
        <v>51</v>
      </c>
      <c r="B136" s="31">
        <v>13</v>
      </c>
      <c r="C136" s="31"/>
      <c r="D136" s="31" t="s">
        <v>352</v>
      </c>
      <c r="E136" s="31" t="s">
        <v>365</v>
      </c>
      <c r="F136" s="31" t="s">
        <v>25</v>
      </c>
      <c r="G136" s="31" t="s">
        <v>366</v>
      </c>
      <c r="H136" s="31" t="s">
        <v>33</v>
      </c>
    </row>
    <row r="137" spans="1:8" ht="23.25" x14ac:dyDescent="0.35">
      <c r="A137" s="32" t="s">
        <v>51</v>
      </c>
      <c r="B137" s="32">
        <v>14</v>
      </c>
      <c r="C137" s="32" t="s">
        <v>367</v>
      </c>
      <c r="D137" s="32"/>
      <c r="E137" s="32" t="s">
        <v>368</v>
      </c>
      <c r="F137" s="32" t="s">
        <v>18</v>
      </c>
      <c r="G137" s="32" t="s">
        <v>369</v>
      </c>
      <c r="H137" s="32" t="s">
        <v>34</v>
      </c>
    </row>
    <row r="138" spans="1:8" x14ac:dyDescent="0.35">
      <c r="A138" s="31" t="s">
        <v>51</v>
      </c>
      <c r="B138" s="31">
        <v>14</v>
      </c>
      <c r="C138" s="31"/>
      <c r="D138" s="31"/>
      <c r="E138" s="31" t="s">
        <v>370</v>
      </c>
      <c r="F138" s="31" t="s">
        <v>25</v>
      </c>
      <c r="G138" s="31" t="s">
        <v>371</v>
      </c>
      <c r="H138" s="31" t="s">
        <v>60</v>
      </c>
    </row>
    <row r="139" spans="1:8" x14ac:dyDescent="0.35">
      <c r="A139" s="32" t="s">
        <v>51</v>
      </c>
      <c r="B139" s="32">
        <v>14</v>
      </c>
      <c r="C139" s="32"/>
      <c r="D139" s="32" t="s">
        <v>372</v>
      </c>
      <c r="E139" s="32" t="s">
        <v>373</v>
      </c>
      <c r="F139" s="32" t="s">
        <v>25</v>
      </c>
      <c r="G139" s="32" t="s">
        <v>374</v>
      </c>
      <c r="H139" s="32" t="s">
        <v>60</v>
      </c>
    </row>
    <row r="140" spans="1:8" x14ac:dyDescent="0.35">
      <c r="A140" s="31" t="s">
        <v>51</v>
      </c>
      <c r="B140" s="31">
        <v>14</v>
      </c>
      <c r="C140" s="31"/>
      <c r="D140" s="31" t="s">
        <v>372</v>
      </c>
      <c r="E140" s="31" t="s">
        <v>375</v>
      </c>
      <c r="F140" s="31" t="s">
        <v>25</v>
      </c>
      <c r="G140" s="31" t="s">
        <v>376</v>
      </c>
      <c r="H140" s="31" t="s">
        <v>60</v>
      </c>
    </row>
    <row r="141" spans="1:8" x14ac:dyDescent="0.35">
      <c r="A141" s="32" t="s">
        <v>51</v>
      </c>
      <c r="B141" s="32">
        <v>14</v>
      </c>
      <c r="C141" s="32"/>
      <c r="D141" s="32" t="s">
        <v>377</v>
      </c>
      <c r="E141" s="32" t="s">
        <v>378</v>
      </c>
      <c r="F141" s="32" t="s">
        <v>18</v>
      </c>
      <c r="G141" s="32" t="s">
        <v>379</v>
      </c>
      <c r="H141" s="32" t="s">
        <v>33</v>
      </c>
    </row>
    <row r="142" spans="1:8" x14ac:dyDescent="0.35">
      <c r="A142" s="31" t="s">
        <v>51</v>
      </c>
      <c r="B142" s="31">
        <v>14</v>
      </c>
      <c r="C142" s="31"/>
      <c r="D142" s="31" t="s">
        <v>377</v>
      </c>
      <c r="E142" s="31" t="s">
        <v>380</v>
      </c>
      <c r="F142" s="31" t="s">
        <v>23</v>
      </c>
      <c r="G142" s="31" t="s">
        <v>381</v>
      </c>
      <c r="H142" s="31" t="s">
        <v>33</v>
      </c>
    </row>
    <row r="143" spans="1:8" x14ac:dyDescent="0.35">
      <c r="A143" s="32" t="s">
        <v>51</v>
      </c>
      <c r="B143" s="32">
        <v>14</v>
      </c>
      <c r="C143" s="32"/>
      <c r="D143" s="32" t="s">
        <v>377</v>
      </c>
      <c r="E143" s="32" t="s">
        <v>382</v>
      </c>
      <c r="F143" s="32" t="s">
        <v>23</v>
      </c>
      <c r="G143" s="32" t="s">
        <v>381</v>
      </c>
      <c r="H143" s="32" t="s">
        <v>33</v>
      </c>
    </row>
    <row r="144" spans="1:8" ht="23.25" x14ac:dyDescent="0.35">
      <c r="A144" s="31" t="s">
        <v>51</v>
      </c>
      <c r="B144" s="31">
        <v>14</v>
      </c>
      <c r="C144" s="31"/>
      <c r="D144" s="31" t="s">
        <v>383</v>
      </c>
      <c r="E144" s="31" t="s">
        <v>384</v>
      </c>
      <c r="F144" s="31" t="s">
        <v>25</v>
      </c>
      <c r="G144" s="31"/>
      <c r="H144" s="31" t="s">
        <v>33</v>
      </c>
    </row>
    <row r="145" spans="1:8" x14ac:dyDescent="0.35">
      <c r="A145" s="32" t="s">
        <v>51</v>
      </c>
      <c r="B145" s="32">
        <v>14</v>
      </c>
      <c r="C145" s="32"/>
      <c r="D145" s="32" t="s">
        <v>385</v>
      </c>
      <c r="E145" s="32" t="s">
        <v>386</v>
      </c>
      <c r="F145" s="32" t="s">
        <v>18</v>
      </c>
      <c r="G145" s="32"/>
      <c r="H145" s="32" t="s">
        <v>33</v>
      </c>
    </row>
    <row r="146" spans="1:8" ht="23.25" x14ac:dyDescent="0.35">
      <c r="A146" s="31" t="s">
        <v>51</v>
      </c>
      <c r="B146" s="31">
        <v>15</v>
      </c>
      <c r="C146" s="31" t="s">
        <v>387</v>
      </c>
      <c r="D146" s="31" t="s">
        <v>388</v>
      </c>
      <c r="E146" s="31" t="s">
        <v>389</v>
      </c>
      <c r="F146" s="31" t="s">
        <v>23</v>
      </c>
      <c r="G146" s="31" t="s">
        <v>390</v>
      </c>
      <c r="H146" s="31" t="s">
        <v>34</v>
      </c>
    </row>
    <row r="147" spans="1:8" x14ac:dyDescent="0.35">
      <c r="A147" s="32" t="s">
        <v>51</v>
      </c>
      <c r="B147" s="32">
        <v>15</v>
      </c>
      <c r="C147" s="32"/>
      <c r="D147" s="32" t="s">
        <v>391</v>
      </c>
      <c r="E147" s="32" t="s">
        <v>392</v>
      </c>
      <c r="F147" s="32" t="s">
        <v>18</v>
      </c>
      <c r="G147" s="32" t="s">
        <v>393</v>
      </c>
      <c r="H147" s="32" t="s">
        <v>33</v>
      </c>
    </row>
    <row r="148" spans="1:8" x14ac:dyDescent="0.35">
      <c r="A148" s="31" t="s">
        <v>51</v>
      </c>
      <c r="B148" s="31">
        <v>15</v>
      </c>
      <c r="C148" s="31"/>
      <c r="D148" s="31" t="s">
        <v>394</v>
      </c>
      <c r="E148" s="31" t="s">
        <v>395</v>
      </c>
      <c r="F148" s="31" t="s">
        <v>18</v>
      </c>
      <c r="G148" s="31" t="s">
        <v>396</v>
      </c>
      <c r="H148" s="31" t="s">
        <v>33</v>
      </c>
    </row>
    <row r="149" spans="1:8" x14ac:dyDescent="0.35">
      <c r="A149" s="32" t="s">
        <v>51</v>
      </c>
      <c r="B149" s="32">
        <v>15</v>
      </c>
      <c r="C149" s="32"/>
      <c r="D149" s="32" t="s">
        <v>397</v>
      </c>
      <c r="E149" s="32" t="s">
        <v>398</v>
      </c>
      <c r="F149" s="32" t="s">
        <v>18</v>
      </c>
      <c r="G149" s="32" t="s">
        <v>399</v>
      </c>
      <c r="H149" s="32" t="s">
        <v>60</v>
      </c>
    </row>
    <row r="150" spans="1:8" x14ac:dyDescent="0.35">
      <c r="A150" s="31" t="s">
        <v>51</v>
      </c>
      <c r="B150" s="31">
        <v>15</v>
      </c>
      <c r="C150" s="31"/>
      <c r="D150" s="31" t="s">
        <v>400</v>
      </c>
      <c r="E150" s="31" t="s">
        <v>401</v>
      </c>
      <c r="F150" s="31" t="s">
        <v>23</v>
      </c>
      <c r="G150" s="31" t="s">
        <v>402</v>
      </c>
      <c r="H150" s="31" t="s">
        <v>34</v>
      </c>
    </row>
    <row r="151" spans="1:8" x14ac:dyDescent="0.35">
      <c r="A151" s="32" t="s">
        <v>51</v>
      </c>
      <c r="B151" s="32">
        <v>15</v>
      </c>
      <c r="C151" s="32"/>
      <c r="D151" s="32" t="s">
        <v>403</v>
      </c>
      <c r="E151" s="32" t="s">
        <v>404</v>
      </c>
      <c r="F151" s="32" t="s">
        <v>25</v>
      </c>
      <c r="G151" s="32" t="s">
        <v>405</v>
      </c>
      <c r="H151" s="32" t="s">
        <v>33</v>
      </c>
    </row>
    <row r="152" spans="1:8" x14ac:dyDescent="0.35">
      <c r="A152" s="31" t="s">
        <v>51</v>
      </c>
      <c r="B152" s="31">
        <v>15</v>
      </c>
      <c r="C152" s="31"/>
      <c r="D152" s="31" t="s">
        <v>406</v>
      </c>
      <c r="E152" s="31" t="s">
        <v>407</v>
      </c>
      <c r="F152" s="31" t="s">
        <v>23</v>
      </c>
      <c r="G152" s="31" t="s">
        <v>408</v>
      </c>
      <c r="H152" s="31" t="s">
        <v>33</v>
      </c>
    </row>
    <row r="153" spans="1:8" x14ac:dyDescent="0.35">
      <c r="A153" s="32" t="s">
        <v>51</v>
      </c>
      <c r="B153" s="32">
        <v>15</v>
      </c>
      <c r="C153" s="32"/>
      <c r="D153" s="32" t="s">
        <v>409</v>
      </c>
      <c r="E153" s="32" t="s">
        <v>410</v>
      </c>
      <c r="F153" s="32" t="s">
        <v>18</v>
      </c>
      <c r="G153" s="32" t="s">
        <v>411</v>
      </c>
      <c r="H153" s="32" t="s">
        <v>33</v>
      </c>
    </row>
    <row r="154" spans="1:8" x14ac:dyDescent="0.35">
      <c r="A154" s="31" t="s">
        <v>51</v>
      </c>
      <c r="B154" s="31">
        <v>15</v>
      </c>
      <c r="C154" s="31"/>
      <c r="D154" s="31" t="s">
        <v>412</v>
      </c>
      <c r="E154" s="31" t="s">
        <v>413</v>
      </c>
      <c r="F154" s="31" t="s">
        <v>18</v>
      </c>
      <c r="G154" s="31" t="s">
        <v>414</v>
      </c>
      <c r="H154" s="31" t="s">
        <v>33</v>
      </c>
    </row>
    <row r="155" spans="1:8" x14ac:dyDescent="0.35">
      <c r="A155" s="32" t="s">
        <v>51</v>
      </c>
      <c r="B155" s="32">
        <v>15</v>
      </c>
      <c r="C155" s="32"/>
      <c r="D155" s="32" t="s">
        <v>412</v>
      </c>
      <c r="E155" s="32" t="s">
        <v>415</v>
      </c>
      <c r="F155" s="32" t="s">
        <v>21</v>
      </c>
      <c r="G155" s="32" t="s">
        <v>416</v>
      </c>
      <c r="H155" s="32" t="s">
        <v>33</v>
      </c>
    </row>
    <row r="156" spans="1:8" ht="23.25" x14ac:dyDescent="0.35">
      <c r="A156" s="31" t="s">
        <v>51</v>
      </c>
      <c r="B156" s="31">
        <v>16</v>
      </c>
      <c r="C156" s="31" t="s">
        <v>417</v>
      </c>
      <c r="D156" s="31"/>
      <c r="E156" s="31" t="s">
        <v>418</v>
      </c>
      <c r="F156" s="31" t="s">
        <v>25</v>
      </c>
      <c r="G156" s="31" t="s">
        <v>419</v>
      </c>
      <c r="H156" s="31" t="s">
        <v>34</v>
      </c>
    </row>
    <row r="157" spans="1:8" ht="23.25" x14ac:dyDescent="0.35">
      <c r="A157" s="32" t="s">
        <v>51</v>
      </c>
      <c r="B157" s="32">
        <v>16</v>
      </c>
      <c r="C157" s="32"/>
      <c r="D157" s="32"/>
      <c r="E157" s="32" t="s">
        <v>420</v>
      </c>
      <c r="F157" s="32" t="s">
        <v>25</v>
      </c>
      <c r="G157" s="32" t="s">
        <v>421</v>
      </c>
      <c r="H157" s="32" t="s">
        <v>34</v>
      </c>
    </row>
    <row r="158" spans="1:8" x14ac:dyDescent="0.35">
      <c r="A158" s="31" t="s">
        <v>51</v>
      </c>
      <c r="B158" s="31">
        <v>16</v>
      </c>
      <c r="C158" s="31"/>
      <c r="D158" s="31" t="s">
        <v>422</v>
      </c>
      <c r="E158" s="31" t="s">
        <v>423</v>
      </c>
      <c r="F158" s="31" t="s">
        <v>21</v>
      </c>
      <c r="G158" s="31" t="s">
        <v>424</v>
      </c>
      <c r="H158" s="31" t="s">
        <v>33</v>
      </c>
    </row>
    <row r="159" spans="1:8" x14ac:dyDescent="0.35">
      <c r="A159" s="32" t="s">
        <v>51</v>
      </c>
      <c r="B159" s="32">
        <v>16</v>
      </c>
      <c r="C159" s="32"/>
      <c r="D159" s="32" t="s">
        <v>422</v>
      </c>
      <c r="E159" s="32" t="s">
        <v>425</v>
      </c>
      <c r="F159" s="32" t="s">
        <v>18</v>
      </c>
      <c r="G159" s="32"/>
      <c r="H159" s="32" t="s">
        <v>33</v>
      </c>
    </row>
    <row r="160" spans="1:8" x14ac:dyDescent="0.35">
      <c r="A160" s="31" t="s">
        <v>51</v>
      </c>
      <c r="B160" s="31">
        <v>16</v>
      </c>
      <c r="C160" s="31"/>
      <c r="D160" s="31" t="s">
        <v>422</v>
      </c>
      <c r="E160" s="31" t="s">
        <v>426</v>
      </c>
      <c r="F160" s="31" t="s">
        <v>18</v>
      </c>
      <c r="G160" s="31" t="s">
        <v>427</v>
      </c>
      <c r="H160" s="31" t="s">
        <v>33</v>
      </c>
    </row>
    <row r="161" spans="1:8" x14ac:dyDescent="0.35">
      <c r="A161" s="32" t="s">
        <v>51</v>
      </c>
      <c r="B161" s="32">
        <v>16</v>
      </c>
      <c r="C161" s="32"/>
      <c r="D161" s="32" t="s">
        <v>428</v>
      </c>
      <c r="E161" s="32" t="s">
        <v>429</v>
      </c>
      <c r="F161" s="32" t="s">
        <v>21</v>
      </c>
      <c r="G161" s="32" t="s">
        <v>430</v>
      </c>
      <c r="H161" s="32" t="s">
        <v>33</v>
      </c>
    </row>
    <row r="162" spans="1:8" x14ac:dyDescent="0.35">
      <c r="A162" s="31" t="s">
        <v>51</v>
      </c>
      <c r="B162" s="31">
        <v>16</v>
      </c>
      <c r="C162" s="31"/>
      <c r="D162" s="31" t="s">
        <v>431</v>
      </c>
      <c r="E162" s="31" t="s">
        <v>432</v>
      </c>
      <c r="F162" s="31" t="s">
        <v>23</v>
      </c>
      <c r="G162" s="31"/>
      <c r="H162" s="31" t="s">
        <v>33</v>
      </c>
    </row>
    <row r="163" spans="1:8" x14ac:dyDescent="0.35">
      <c r="A163" s="32" t="s">
        <v>51</v>
      </c>
      <c r="B163" s="32">
        <v>16</v>
      </c>
      <c r="C163" s="32"/>
      <c r="D163" s="32" t="s">
        <v>431</v>
      </c>
      <c r="E163" s="32" t="s">
        <v>433</v>
      </c>
      <c r="F163" s="32" t="s">
        <v>18</v>
      </c>
      <c r="G163" s="32" t="s">
        <v>434</v>
      </c>
      <c r="H163" s="32" t="s">
        <v>34</v>
      </c>
    </row>
    <row r="164" spans="1:8" x14ac:dyDescent="0.35">
      <c r="A164" s="31" t="s">
        <v>51</v>
      </c>
      <c r="B164" s="31">
        <v>16</v>
      </c>
      <c r="C164" s="31"/>
      <c r="D164" s="31" t="s">
        <v>78</v>
      </c>
      <c r="E164" s="31" t="s">
        <v>435</v>
      </c>
      <c r="F164" s="31" t="s">
        <v>18</v>
      </c>
      <c r="G164" s="31" t="s">
        <v>434</v>
      </c>
      <c r="H164" s="31" t="s">
        <v>34</v>
      </c>
    </row>
    <row r="165" spans="1:8" x14ac:dyDescent="0.35">
      <c r="A165" s="32" t="s">
        <v>51</v>
      </c>
      <c r="B165" s="32">
        <v>16</v>
      </c>
      <c r="C165" s="32"/>
      <c r="D165" s="32" t="s">
        <v>436</v>
      </c>
      <c r="E165" s="32" t="s">
        <v>437</v>
      </c>
      <c r="F165" s="32" t="s">
        <v>25</v>
      </c>
      <c r="G165" s="32" t="s">
        <v>438</v>
      </c>
      <c r="H165" s="32" t="s">
        <v>33</v>
      </c>
    </row>
    <row r="166" spans="1:8" ht="23.25" x14ac:dyDescent="0.35">
      <c r="A166" s="31" t="s">
        <v>51</v>
      </c>
      <c r="B166" s="31">
        <v>16</v>
      </c>
      <c r="C166" s="31"/>
      <c r="D166" s="31" t="s">
        <v>436</v>
      </c>
      <c r="E166" s="31" t="s">
        <v>439</v>
      </c>
      <c r="F166" s="31" t="s">
        <v>25</v>
      </c>
      <c r="G166" s="31" t="s">
        <v>438</v>
      </c>
      <c r="H166" s="31" t="s">
        <v>33</v>
      </c>
    </row>
    <row r="167" spans="1:8" x14ac:dyDescent="0.35">
      <c r="A167" s="32" t="s">
        <v>51</v>
      </c>
      <c r="B167" s="32">
        <v>16</v>
      </c>
      <c r="C167" s="32"/>
      <c r="D167" s="32" t="s">
        <v>436</v>
      </c>
      <c r="E167" s="32" t="s">
        <v>440</v>
      </c>
      <c r="F167" s="32" t="s">
        <v>19</v>
      </c>
      <c r="G167" s="32" t="s">
        <v>441</v>
      </c>
      <c r="H167" s="32" t="s">
        <v>33</v>
      </c>
    </row>
    <row r="168" spans="1:8" x14ac:dyDescent="0.35">
      <c r="A168" s="31" t="s">
        <v>51</v>
      </c>
      <c r="B168" s="31">
        <v>17</v>
      </c>
      <c r="C168" s="31" t="s">
        <v>442</v>
      </c>
      <c r="D168" s="31"/>
      <c r="E168" s="31" t="s">
        <v>443</v>
      </c>
      <c r="F168" s="31" t="s">
        <v>23</v>
      </c>
      <c r="G168" s="31"/>
      <c r="H168" s="31" t="s">
        <v>33</v>
      </c>
    </row>
    <row r="169" spans="1:8" x14ac:dyDescent="0.35">
      <c r="A169" s="32" t="s">
        <v>51</v>
      </c>
      <c r="B169" s="32">
        <v>17</v>
      </c>
      <c r="C169" s="32"/>
      <c r="D169" s="32"/>
      <c r="E169" s="32" t="s">
        <v>444</v>
      </c>
      <c r="F169" s="32" t="s">
        <v>25</v>
      </c>
      <c r="G169" s="32"/>
      <c r="H169" s="32" t="s">
        <v>33</v>
      </c>
    </row>
    <row r="170" spans="1:8" x14ac:dyDescent="0.35">
      <c r="A170" s="31" t="s">
        <v>51</v>
      </c>
      <c r="B170" s="31">
        <v>17</v>
      </c>
      <c r="C170" s="31"/>
      <c r="D170" s="31"/>
      <c r="E170" s="31" t="s">
        <v>445</v>
      </c>
      <c r="F170" s="31" t="s">
        <v>21</v>
      </c>
      <c r="G170" s="31" t="s">
        <v>446</v>
      </c>
      <c r="H170" s="31" t="s">
        <v>33</v>
      </c>
    </row>
    <row r="171" spans="1:8" x14ac:dyDescent="0.35">
      <c r="A171" s="32" t="s">
        <v>51</v>
      </c>
      <c r="B171" s="32">
        <v>17</v>
      </c>
      <c r="C171" s="32"/>
      <c r="D171" s="32"/>
      <c r="E171" s="32" t="s">
        <v>447</v>
      </c>
      <c r="F171" s="32" t="s">
        <v>25</v>
      </c>
      <c r="G171" s="32" t="s">
        <v>448</v>
      </c>
      <c r="H171" s="32" t="s">
        <v>33</v>
      </c>
    </row>
    <row r="172" spans="1:8" x14ac:dyDescent="0.35">
      <c r="A172" s="31" t="s">
        <v>51</v>
      </c>
      <c r="B172" s="31">
        <v>17</v>
      </c>
      <c r="C172" s="31"/>
      <c r="D172" s="31" t="s">
        <v>449</v>
      </c>
      <c r="E172" s="31" t="s">
        <v>450</v>
      </c>
      <c r="F172" s="31" t="s">
        <v>23</v>
      </c>
      <c r="G172" s="31" t="s">
        <v>451</v>
      </c>
      <c r="H172" s="31" t="s">
        <v>33</v>
      </c>
    </row>
    <row r="173" spans="1:8" x14ac:dyDescent="0.35">
      <c r="A173" s="32" t="s">
        <v>51</v>
      </c>
      <c r="B173" s="32">
        <v>17</v>
      </c>
      <c r="C173" s="32"/>
      <c r="D173" s="32" t="s">
        <v>449</v>
      </c>
      <c r="E173" s="32" t="s">
        <v>452</v>
      </c>
      <c r="F173" s="32" t="s">
        <v>21</v>
      </c>
      <c r="G173" s="32" t="s">
        <v>453</v>
      </c>
      <c r="H173" s="32" t="s">
        <v>33</v>
      </c>
    </row>
    <row r="174" spans="1:8" x14ac:dyDescent="0.35">
      <c r="A174" s="31" t="s">
        <v>51</v>
      </c>
      <c r="B174" s="31">
        <v>17</v>
      </c>
      <c r="C174" s="31"/>
      <c r="D174" s="31" t="s">
        <v>449</v>
      </c>
      <c r="E174" s="31" t="s">
        <v>454</v>
      </c>
      <c r="F174" s="31" t="s">
        <v>21</v>
      </c>
      <c r="G174" s="31" t="s">
        <v>455</v>
      </c>
      <c r="H174" s="31" t="s">
        <v>33</v>
      </c>
    </row>
    <row r="175" spans="1:8" x14ac:dyDescent="0.35">
      <c r="A175" s="32" t="s">
        <v>51</v>
      </c>
      <c r="B175" s="32">
        <v>17</v>
      </c>
      <c r="C175" s="32"/>
      <c r="D175" s="32" t="s">
        <v>449</v>
      </c>
      <c r="E175" s="32" t="s">
        <v>456</v>
      </c>
      <c r="F175" s="32" t="s">
        <v>25</v>
      </c>
      <c r="G175" s="32" t="s">
        <v>457</v>
      </c>
      <c r="H175" s="32" t="s">
        <v>33</v>
      </c>
    </row>
    <row r="176" spans="1:8" x14ac:dyDescent="0.35">
      <c r="A176" s="31" t="s">
        <v>51</v>
      </c>
      <c r="B176" s="31">
        <v>17</v>
      </c>
      <c r="C176" s="31"/>
      <c r="D176" s="31" t="s">
        <v>458</v>
      </c>
      <c r="E176" s="31" t="s">
        <v>459</v>
      </c>
      <c r="F176" s="31" t="s">
        <v>25</v>
      </c>
      <c r="G176" s="31" t="s">
        <v>460</v>
      </c>
      <c r="H176" s="31" t="s">
        <v>33</v>
      </c>
    </row>
    <row r="177" spans="1:8" x14ac:dyDescent="0.35">
      <c r="A177" s="32" t="s">
        <v>51</v>
      </c>
      <c r="B177" s="32">
        <v>17</v>
      </c>
      <c r="C177" s="32"/>
      <c r="D177" s="32" t="s">
        <v>458</v>
      </c>
      <c r="E177" s="32" t="s">
        <v>461</v>
      </c>
      <c r="F177" s="32" t="s">
        <v>25</v>
      </c>
      <c r="G177" s="32"/>
      <c r="H177" s="32" t="s">
        <v>33</v>
      </c>
    </row>
    <row r="178" spans="1:8" x14ac:dyDescent="0.35">
      <c r="A178" s="31" t="s">
        <v>51</v>
      </c>
      <c r="B178" s="31">
        <v>17</v>
      </c>
      <c r="C178" s="31"/>
      <c r="D178" s="31" t="s">
        <v>458</v>
      </c>
      <c r="E178" s="31" t="s">
        <v>462</v>
      </c>
      <c r="F178" s="31" t="s">
        <v>21</v>
      </c>
      <c r="G178" s="31" t="s">
        <v>463</v>
      </c>
      <c r="H178" s="31" t="s">
        <v>33</v>
      </c>
    </row>
    <row r="179" spans="1:8" x14ac:dyDescent="0.35">
      <c r="A179" s="32" t="s">
        <v>51</v>
      </c>
      <c r="B179" s="32">
        <v>17</v>
      </c>
      <c r="C179" s="32"/>
      <c r="D179" s="32" t="s">
        <v>464</v>
      </c>
      <c r="E179" s="32" t="s">
        <v>465</v>
      </c>
      <c r="F179" s="32" t="s">
        <v>21</v>
      </c>
      <c r="G179" s="32" t="s">
        <v>453</v>
      </c>
      <c r="H179" s="32" t="s">
        <v>33</v>
      </c>
    </row>
    <row r="180" spans="1:8" x14ac:dyDescent="0.35">
      <c r="A180" s="31" t="s">
        <v>51</v>
      </c>
      <c r="B180" s="31">
        <v>17</v>
      </c>
      <c r="C180" s="31"/>
      <c r="D180" s="31" t="s">
        <v>464</v>
      </c>
      <c r="E180" s="31" t="s">
        <v>466</v>
      </c>
      <c r="F180" s="31" t="s">
        <v>21</v>
      </c>
      <c r="G180" s="31" t="s">
        <v>467</v>
      </c>
      <c r="H180" s="31" t="s">
        <v>33</v>
      </c>
    </row>
    <row r="181" spans="1:8" x14ac:dyDescent="0.35">
      <c r="A181" s="32" t="s">
        <v>51</v>
      </c>
      <c r="B181" s="32">
        <v>17</v>
      </c>
      <c r="C181" s="32"/>
      <c r="D181" s="32" t="s">
        <v>464</v>
      </c>
      <c r="E181" s="32" t="s">
        <v>468</v>
      </c>
      <c r="F181" s="32" t="s">
        <v>21</v>
      </c>
      <c r="G181" s="32" t="s">
        <v>469</v>
      </c>
      <c r="H181" s="32" t="s">
        <v>33</v>
      </c>
    </row>
    <row r="182" spans="1:8" x14ac:dyDescent="0.35">
      <c r="A182" s="31" t="s">
        <v>51</v>
      </c>
      <c r="B182" s="31">
        <v>17</v>
      </c>
      <c r="C182" s="31"/>
      <c r="D182" s="31" t="s">
        <v>464</v>
      </c>
      <c r="E182" s="31" t="s">
        <v>470</v>
      </c>
      <c r="F182" s="31" t="s">
        <v>21</v>
      </c>
      <c r="G182" s="31" t="s">
        <v>463</v>
      </c>
      <c r="H182" s="31" t="s">
        <v>33</v>
      </c>
    </row>
    <row r="183" spans="1:8" x14ac:dyDescent="0.35">
      <c r="A183" s="32" t="s">
        <v>51</v>
      </c>
      <c r="B183" s="32">
        <v>17</v>
      </c>
      <c r="C183" s="32"/>
      <c r="D183" s="32" t="s">
        <v>464</v>
      </c>
      <c r="E183" s="32" t="s">
        <v>471</v>
      </c>
      <c r="F183" s="32" t="s">
        <v>25</v>
      </c>
      <c r="G183" s="32" t="s">
        <v>457</v>
      </c>
      <c r="H183" s="32" t="s">
        <v>34</v>
      </c>
    </row>
    <row r="184" spans="1:8" x14ac:dyDescent="0.35">
      <c r="A184" s="31" t="s">
        <v>51</v>
      </c>
      <c r="B184" s="31">
        <v>18</v>
      </c>
      <c r="C184" s="31" t="s">
        <v>472</v>
      </c>
      <c r="D184" s="31"/>
      <c r="E184" s="31" t="s">
        <v>473</v>
      </c>
      <c r="F184" s="31" t="s">
        <v>25</v>
      </c>
      <c r="G184" s="31" t="s">
        <v>474</v>
      </c>
      <c r="H184" s="31" t="s">
        <v>33</v>
      </c>
    </row>
    <row r="185" spans="1:8" x14ac:dyDescent="0.35">
      <c r="A185" s="32" t="s">
        <v>51</v>
      </c>
      <c r="B185" s="32">
        <v>18</v>
      </c>
      <c r="C185" s="32"/>
      <c r="D185" s="32" t="s">
        <v>475</v>
      </c>
      <c r="E185" s="32" t="s">
        <v>476</v>
      </c>
      <c r="F185" s="32" t="s">
        <v>25</v>
      </c>
      <c r="G185" s="32" t="s">
        <v>477</v>
      </c>
      <c r="H185" s="32" t="s">
        <v>34</v>
      </c>
    </row>
    <row r="186" spans="1:8" ht="23.25" x14ac:dyDescent="0.35">
      <c r="A186" s="31" t="s">
        <v>51</v>
      </c>
      <c r="B186" s="31">
        <v>18</v>
      </c>
      <c r="C186" s="31"/>
      <c r="D186" s="31" t="s">
        <v>478</v>
      </c>
      <c r="E186" s="31" t="s">
        <v>479</v>
      </c>
      <c r="F186" s="31" t="s">
        <v>25</v>
      </c>
      <c r="G186" s="31" t="s">
        <v>480</v>
      </c>
      <c r="H186" s="31" t="s">
        <v>33</v>
      </c>
    </row>
    <row r="187" spans="1:8" x14ac:dyDescent="0.35">
      <c r="A187" s="32" t="s">
        <v>51</v>
      </c>
      <c r="B187" s="32">
        <v>18</v>
      </c>
      <c r="C187" s="32"/>
      <c r="D187" s="32" t="s">
        <v>475</v>
      </c>
      <c r="E187" s="32" t="s">
        <v>481</v>
      </c>
      <c r="F187" s="32" t="s">
        <v>25</v>
      </c>
      <c r="G187" s="32" t="s">
        <v>482</v>
      </c>
      <c r="H187" s="32" t="s">
        <v>34</v>
      </c>
    </row>
    <row r="188" spans="1:8" x14ac:dyDescent="0.35">
      <c r="A188" s="31" t="s">
        <v>51</v>
      </c>
      <c r="B188" s="31">
        <v>18</v>
      </c>
      <c r="C188" s="31"/>
      <c r="D188" s="31" t="s">
        <v>483</v>
      </c>
      <c r="E188" s="31" t="s">
        <v>484</v>
      </c>
      <c r="F188" s="31" t="s">
        <v>23</v>
      </c>
      <c r="G188" s="31" t="s">
        <v>485</v>
      </c>
      <c r="H188" s="31" t="s">
        <v>33</v>
      </c>
    </row>
    <row r="189" spans="1:8" x14ac:dyDescent="0.35">
      <c r="A189" s="32" t="s">
        <v>51</v>
      </c>
      <c r="B189" s="32">
        <v>18</v>
      </c>
      <c r="C189" s="32"/>
      <c r="D189" s="32" t="s">
        <v>483</v>
      </c>
      <c r="E189" s="32" t="s">
        <v>486</v>
      </c>
      <c r="F189" s="32" t="s">
        <v>21</v>
      </c>
      <c r="G189" s="32" t="s">
        <v>487</v>
      </c>
      <c r="H189" s="32" t="s">
        <v>33</v>
      </c>
    </row>
    <row r="190" spans="1:8" x14ac:dyDescent="0.35">
      <c r="A190" s="31" t="s">
        <v>51</v>
      </c>
      <c r="B190" s="31">
        <v>18</v>
      </c>
      <c r="C190" s="31"/>
      <c r="D190" s="31" t="s">
        <v>483</v>
      </c>
      <c r="E190" s="31" t="s">
        <v>488</v>
      </c>
      <c r="F190" s="31" t="s">
        <v>21</v>
      </c>
      <c r="G190" s="31" t="s">
        <v>487</v>
      </c>
      <c r="H190" s="31" t="s">
        <v>33</v>
      </c>
    </row>
    <row r="191" spans="1:8" x14ac:dyDescent="0.35">
      <c r="A191" s="32" t="s">
        <v>51</v>
      </c>
      <c r="B191" s="32">
        <v>18</v>
      </c>
      <c r="C191" s="32"/>
      <c r="D191" s="32" t="s">
        <v>168</v>
      </c>
      <c r="E191" s="32" t="s">
        <v>489</v>
      </c>
      <c r="F191" s="32" t="s">
        <v>25</v>
      </c>
      <c r="G191" s="32" t="s">
        <v>490</v>
      </c>
      <c r="H191" s="32" t="s">
        <v>33</v>
      </c>
    </row>
    <row r="192" spans="1:8" x14ac:dyDescent="0.35">
      <c r="A192" s="31" t="s">
        <v>51</v>
      </c>
      <c r="B192" s="31">
        <v>18</v>
      </c>
      <c r="C192" s="31"/>
      <c r="D192" s="31" t="s">
        <v>168</v>
      </c>
      <c r="E192" s="31" t="s">
        <v>491</v>
      </c>
      <c r="F192" s="31" t="s">
        <v>25</v>
      </c>
      <c r="G192" s="31" t="s">
        <v>492</v>
      </c>
      <c r="H192" s="31" t="s">
        <v>34</v>
      </c>
    </row>
    <row r="193" spans="1:8" x14ac:dyDescent="0.35">
      <c r="A193" s="32" t="s">
        <v>51</v>
      </c>
      <c r="B193" s="32">
        <v>18</v>
      </c>
      <c r="C193" s="32"/>
      <c r="D193" s="32" t="s">
        <v>168</v>
      </c>
      <c r="E193" s="32" t="s">
        <v>493</v>
      </c>
      <c r="F193" s="32" t="s">
        <v>25</v>
      </c>
      <c r="G193" s="32" t="s">
        <v>490</v>
      </c>
      <c r="H193" s="32" t="s">
        <v>33</v>
      </c>
    </row>
    <row r="194" spans="1:8" x14ac:dyDescent="0.35">
      <c r="A194" s="31" t="s">
        <v>51</v>
      </c>
      <c r="B194" s="31">
        <v>18</v>
      </c>
      <c r="C194" s="31"/>
      <c r="D194" s="31" t="s">
        <v>168</v>
      </c>
      <c r="E194" s="31" t="s">
        <v>494</v>
      </c>
      <c r="F194" s="31" t="s">
        <v>25</v>
      </c>
      <c r="G194" s="31" t="s">
        <v>474</v>
      </c>
      <c r="H194" s="31" t="s">
        <v>33</v>
      </c>
    </row>
    <row r="195" spans="1:8" x14ac:dyDescent="0.35">
      <c r="A195" s="32" t="s">
        <v>51</v>
      </c>
      <c r="B195" s="32">
        <v>18</v>
      </c>
      <c r="C195" s="32"/>
      <c r="D195" s="32" t="s">
        <v>168</v>
      </c>
      <c r="E195" s="32" t="s">
        <v>495</v>
      </c>
      <c r="F195" s="32" t="s">
        <v>25</v>
      </c>
      <c r="G195" s="32" t="s">
        <v>474</v>
      </c>
      <c r="H195" s="32" t="s">
        <v>33</v>
      </c>
    </row>
    <row r="196" spans="1:8" x14ac:dyDescent="0.35">
      <c r="A196" s="31" t="s">
        <v>51</v>
      </c>
      <c r="B196" s="31">
        <v>19</v>
      </c>
      <c r="C196" s="31" t="s">
        <v>496</v>
      </c>
      <c r="D196" s="31"/>
      <c r="E196" s="31" t="s">
        <v>497</v>
      </c>
      <c r="F196" s="31" t="s">
        <v>21</v>
      </c>
      <c r="G196" s="31" t="s">
        <v>498</v>
      </c>
      <c r="H196" s="31" t="s">
        <v>34</v>
      </c>
    </row>
    <row r="197" spans="1:8" x14ac:dyDescent="0.35">
      <c r="A197" s="32" t="s">
        <v>51</v>
      </c>
      <c r="B197" s="32">
        <v>19</v>
      </c>
      <c r="C197" s="32"/>
      <c r="D197" s="32"/>
      <c r="E197" s="32" t="s">
        <v>499</v>
      </c>
      <c r="F197" s="32" t="s">
        <v>19</v>
      </c>
      <c r="G197" s="32" t="s">
        <v>500</v>
      </c>
      <c r="H197" s="32" t="s">
        <v>60</v>
      </c>
    </row>
    <row r="198" spans="1:8" x14ac:dyDescent="0.35">
      <c r="A198" s="31" t="s">
        <v>51</v>
      </c>
      <c r="B198" s="31">
        <v>19</v>
      </c>
      <c r="C198" s="31"/>
      <c r="D198" s="31"/>
      <c r="E198" s="31" t="s">
        <v>501</v>
      </c>
      <c r="F198" s="31" t="s">
        <v>25</v>
      </c>
      <c r="G198" s="31" t="s">
        <v>502</v>
      </c>
      <c r="H198" s="31" t="s">
        <v>60</v>
      </c>
    </row>
    <row r="199" spans="1:8" x14ac:dyDescent="0.35">
      <c r="A199" s="32" t="s">
        <v>51</v>
      </c>
      <c r="B199" s="32">
        <v>19</v>
      </c>
      <c r="C199" s="32"/>
      <c r="D199" s="32" t="s">
        <v>503</v>
      </c>
      <c r="E199" s="32" t="s">
        <v>504</v>
      </c>
      <c r="F199" s="32" t="s">
        <v>21</v>
      </c>
      <c r="G199" s="32" t="s">
        <v>505</v>
      </c>
      <c r="H199" s="32" t="s">
        <v>33</v>
      </c>
    </row>
    <row r="200" spans="1:8" x14ac:dyDescent="0.35">
      <c r="A200" s="31" t="s">
        <v>51</v>
      </c>
      <c r="B200" s="31">
        <v>19</v>
      </c>
      <c r="C200" s="31"/>
      <c r="D200" s="31" t="s">
        <v>503</v>
      </c>
      <c r="E200" s="31" t="s">
        <v>506</v>
      </c>
      <c r="F200" s="31" t="s">
        <v>23</v>
      </c>
      <c r="G200" s="31"/>
      <c r="H200" s="31" t="s">
        <v>33</v>
      </c>
    </row>
    <row r="201" spans="1:8" x14ac:dyDescent="0.35">
      <c r="A201" s="32" t="s">
        <v>51</v>
      </c>
      <c r="B201" s="32">
        <v>19</v>
      </c>
      <c r="C201" s="32"/>
      <c r="D201" s="32" t="s">
        <v>507</v>
      </c>
      <c r="E201" s="32" t="s">
        <v>508</v>
      </c>
      <c r="F201" s="32" t="s">
        <v>25</v>
      </c>
      <c r="G201" s="32" t="s">
        <v>509</v>
      </c>
      <c r="H201" s="32" t="s">
        <v>60</v>
      </c>
    </row>
    <row r="202" spans="1:8" x14ac:dyDescent="0.35">
      <c r="A202" s="31" t="s">
        <v>51</v>
      </c>
      <c r="B202" s="31">
        <v>19</v>
      </c>
      <c r="C202" s="31"/>
      <c r="D202" s="31" t="s">
        <v>510</v>
      </c>
      <c r="E202" s="31" t="s">
        <v>511</v>
      </c>
      <c r="F202" s="31" t="s">
        <v>23</v>
      </c>
      <c r="G202" s="31" t="b">
        <f>FALSE()</f>
        <v>0</v>
      </c>
      <c r="H202" s="31" t="s">
        <v>33</v>
      </c>
    </row>
    <row r="203" spans="1:8" x14ac:dyDescent="0.35">
      <c r="A203" s="32" t="s">
        <v>51</v>
      </c>
      <c r="B203" s="32">
        <v>19</v>
      </c>
      <c r="C203" s="32"/>
      <c r="D203" s="32" t="s">
        <v>510</v>
      </c>
      <c r="E203" s="32" t="s">
        <v>512</v>
      </c>
      <c r="F203" s="32" t="s">
        <v>25</v>
      </c>
      <c r="G203" s="32" t="s">
        <v>513</v>
      </c>
      <c r="H203" s="32" t="s">
        <v>60</v>
      </c>
    </row>
    <row r="204" spans="1:8" x14ac:dyDescent="0.35">
      <c r="A204" s="31" t="s">
        <v>51</v>
      </c>
      <c r="B204" s="31">
        <v>19</v>
      </c>
      <c r="C204" s="31"/>
      <c r="D204" s="31" t="s">
        <v>510</v>
      </c>
      <c r="E204" s="31" t="s">
        <v>514</v>
      </c>
      <c r="F204" s="31" t="s">
        <v>23</v>
      </c>
      <c r="G204" s="31" t="b">
        <f>FALSE()</f>
        <v>0</v>
      </c>
      <c r="H204" s="31" t="s">
        <v>33</v>
      </c>
    </row>
    <row r="205" spans="1:8" x14ac:dyDescent="0.35">
      <c r="A205" s="32" t="s">
        <v>51</v>
      </c>
      <c r="B205" s="32">
        <v>19</v>
      </c>
      <c r="C205" s="32"/>
      <c r="D205" s="32" t="s">
        <v>510</v>
      </c>
      <c r="E205" s="32" t="s">
        <v>515</v>
      </c>
      <c r="F205" s="32" t="s">
        <v>25</v>
      </c>
      <c r="G205" s="32" t="s">
        <v>513</v>
      </c>
      <c r="H205" s="32" t="s">
        <v>60</v>
      </c>
    </row>
    <row r="206" spans="1:8" x14ac:dyDescent="0.35">
      <c r="A206" s="31" t="s">
        <v>51</v>
      </c>
      <c r="B206" s="31">
        <v>19</v>
      </c>
      <c r="C206" s="31"/>
      <c r="D206" s="31" t="s">
        <v>510</v>
      </c>
      <c r="E206" s="31" t="s">
        <v>516</v>
      </c>
      <c r="F206" s="31" t="s">
        <v>21</v>
      </c>
      <c r="G206" s="31" t="s">
        <v>505</v>
      </c>
      <c r="H206" s="31" t="s">
        <v>33</v>
      </c>
    </row>
    <row r="207" spans="1:8" x14ac:dyDescent="0.35">
      <c r="A207" s="32" t="s">
        <v>51</v>
      </c>
      <c r="B207" s="32">
        <v>19</v>
      </c>
      <c r="C207" s="32"/>
      <c r="D207" s="32" t="s">
        <v>510</v>
      </c>
      <c r="E207" s="32" t="s">
        <v>517</v>
      </c>
      <c r="F207" s="32" t="s">
        <v>21</v>
      </c>
      <c r="G207" s="32" t="s">
        <v>518</v>
      </c>
      <c r="H207" s="32" t="s">
        <v>33</v>
      </c>
    </row>
    <row r="208" spans="1:8" x14ac:dyDescent="0.35">
      <c r="A208" s="31" t="s">
        <v>51</v>
      </c>
      <c r="B208" s="31">
        <v>20</v>
      </c>
      <c r="C208" s="31" t="s">
        <v>519</v>
      </c>
      <c r="D208" s="31"/>
      <c r="E208" s="31" t="s">
        <v>520</v>
      </c>
      <c r="F208" s="31" t="s">
        <v>25</v>
      </c>
      <c r="G208" s="31" t="s">
        <v>521</v>
      </c>
      <c r="H208" s="31" t="s">
        <v>34</v>
      </c>
    </row>
    <row r="209" spans="1:8" x14ac:dyDescent="0.35">
      <c r="A209" s="32" t="s">
        <v>51</v>
      </c>
      <c r="B209" s="32">
        <v>20</v>
      </c>
      <c r="C209" s="32"/>
      <c r="D209" s="32"/>
      <c r="E209" s="32" t="s">
        <v>522</v>
      </c>
      <c r="F209" s="32" t="s">
        <v>25</v>
      </c>
      <c r="G209" s="32" t="s">
        <v>523</v>
      </c>
      <c r="H209" s="32" t="s">
        <v>34</v>
      </c>
    </row>
    <row r="210" spans="1:8" x14ac:dyDescent="0.35">
      <c r="A210" s="31" t="s">
        <v>51</v>
      </c>
      <c r="B210" s="31">
        <v>20</v>
      </c>
      <c r="C210" s="31"/>
      <c r="D210" s="31" t="s">
        <v>524</v>
      </c>
      <c r="E210" s="31" t="s">
        <v>525</v>
      </c>
      <c r="F210" s="31" t="s">
        <v>23</v>
      </c>
      <c r="G210" s="31" t="s">
        <v>526</v>
      </c>
      <c r="H210" s="31" t="s">
        <v>33</v>
      </c>
    </row>
    <row r="211" spans="1:8" x14ac:dyDescent="0.35">
      <c r="A211" s="32" t="s">
        <v>51</v>
      </c>
      <c r="B211" s="32">
        <v>20</v>
      </c>
      <c r="C211" s="32"/>
      <c r="D211" s="32" t="s">
        <v>524</v>
      </c>
      <c r="E211" s="32" t="s">
        <v>527</v>
      </c>
      <c r="F211" s="32" t="s">
        <v>25</v>
      </c>
      <c r="G211" s="32" t="s">
        <v>528</v>
      </c>
      <c r="H211" s="32" t="s">
        <v>33</v>
      </c>
    </row>
    <row r="212" spans="1:8" x14ac:dyDescent="0.35">
      <c r="A212" s="31" t="s">
        <v>51</v>
      </c>
      <c r="B212" s="31">
        <v>20</v>
      </c>
      <c r="C212" s="31"/>
      <c r="D212" s="31" t="s">
        <v>529</v>
      </c>
      <c r="E212" s="31" t="s">
        <v>530</v>
      </c>
      <c r="F212" s="31" t="s">
        <v>20</v>
      </c>
      <c r="G212" s="31" t="s">
        <v>531</v>
      </c>
      <c r="H212" s="31" t="s">
        <v>34</v>
      </c>
    </row>
    <row r="213" spans="1:8" x14ac:dyDescent="0.35">
      <c r="A213" s="32" t="s">
        <v>51</v>
      </c>
      <c r="B213" s="32">
        <v>20</v>
      </c>
      <c r="C213" s="32"/>
      <c r="D213" s="32" t="s">
        <v>532</v>
      </c>
      <c r="E213" s="32" t="s">
        <v>533</v>
      </c>
      <c r="F213" s="32" t="s">
        <v>25</v>
      </c>
      <c r="G213" s="32" t="s">
        <v>534</v>
      </c>
      <c r="H213" s="32" t="s">
        <v>34</v>
      </c>
    </row>
    <row r="214" spans="1:8" x14ac:dyDescent="0.35">
      <c r="A214" s="31" t="s">
        <v>51</v>
      </c>
      <c r="B214" s="31">
        <v>4</v>
      </c>
      <c r="C214" s="31" t="s">
        <v>535</v>
      </c>
      <c r="D214" s="31"/>
      <c r="E214" s="31" t="s">
        <v>536</v>
      </c>
      <c r="F214" s="31" t="s">
        <v>25</v>
      </c>
      <c r="G214" s="31" t="s">
        <v>537</v>
      </c>
      <c r="H214" s="31" t="s">
        <v>60</v>
      </c>
    </row>
    <row r="215" spans="1:8" x14ac:dyDescent="0.35">
      <c r="A215" s="32" t="s">
        <v>51</v>
      </c>
      <c r="B215" s="32">
        <v>4</v>
      </c>
      <c r="C215" s="32"/>
      <c r="D215" s="32"/>
      <c r="E215" s="32" t="s">
        <v>538</v>
      </c>
      <c r="F215" s="32" t="s">
        <v>25</v>
      </c>
      <c r="G215" s="32" t="s">
        <v>539</v>
      </c>
      <c r="H215" s="32" t="s">
        <v>60</v>
      </c>
    </row>
    <row r="216" spans="1:8" ht="23.25" x14ac:dyDescent="0.35">
      <c r="A216" s="31" t="s">
        <v>51</v>
      </c>
      <c r="B216" s="31">
        <v>4</v>
      </c>
      <c r="C216" s="31"/>
      <c r="D216" s="31" t="s">
        <v>316</v>
      </c>
      <c r="E216" s="31" t="s">
        <v>540</v>
      </c>
      <c r="F216" s="31" t="s">
        <v>25</v>
      </c>
      <c r="G216" s="31" t="s">
        <v>541</v>
      </c>
      <c r="H216" s="31" t="s">
        <v>60</v>
      </c>
    </row>
    <row r="217" spans="1:8" x14ac:dyDescent="0.35">
      <c r="A217" s="32" t="s">
        <v>51</v>
      </c>
      <c r="B217" s="32">
        <v>4</v>
      </c>
      <c r="C217" s="32"/>
      <c r="D217" s="32" t="s">
        <v>261</v>
      </c>
      <c r="E217" s="32" t="s">
        <v>542</v>
      </c>
      <c r="F217" s="32" t="s">
        <v>21</v>
      </c>
      <c r="G217" s="32" t="s">
        <v>543</v>
      </c>
      <c r="H217" s="32" t="s">
        <v>33</v>
      </c>
    </row>
    <row r="218" spans="1:8" x14ac:dyDescent="0.35">
      <c r="A218" s="31" t="s">
        <v>51</v>
      </c>
      <c r="B218" s="31">
        <v>4</v>
      </c>
      <c r="C218" s="31"/>
      <c r="D218" s="31"/>
      <c r="E218" s="31" t="s">
        <v>544</v>
      </c>
      <c r="F218" s="31" t="s">
        <v>25</v>
      </c>
      <c r="G218" s="31" t="s">
        <v>545</v>
      </c>
      <c r="H218" s="31" t="s">
        <v>33</v>
      </c>
    </row>
    <row r="219" spans="1:8" x14ac:dyDescent="0.35">
      <c r="A219" s="32" t="s">
        <v>51</v>
      </c>
      <c r="B219" s="32">
        <v>4</v>
      </c>
      <c r="C219" s="32"/>
      <c r="D219" s="32"/>
      <c r="E219" s="32" t="s">
        <v>546</v>
      </c>
      <c r="F219" s="32" t="s">
        <v>25</v>
      </c>
      <c r="G219" s="32" t="s">
        <v>547</v>
      </c>
      <c r="H219" s="32" t="s">
        <v>60</v>
      </c>
    </row>
    <row r="220" spans="1:8" x14ac:dyDescent="0.35">
      <c r="A220" s="31" t="s">
        <v>51</v>
      </c>
      <c r="B220" s="31">
        <v>4</v>
      </c>
      <c r="C220" s="31"/>
      <c r="D220" s="31" t="s">
        <v>458</v>
      </c>
      <c r="E220" s="31" t="s">
        <v>548</v>
      </c>
      <c r="F220" s="31" t="s">
        <v>21</v>
      </c>
      <c r="G220" s="31" t="s">
        <v>549</v>
      </c>
      <c r="H220" s="31" t="s">
        <v>33</v>
      </c>
    </row>
    <row r="221" spans="1:8" x14ac:dyDescent="0.35">
      <c r="A221" s="32" t="s">
        <v>51</v>
      </c>
      <c r="B221" s="32">
        <v>4</v>
      </c>
      <c r="C221" s="32"/>
      <c r="D221" s="32" t="s">
        <v>550</v>
      </c>
      <c r="E221" s="32" t="s">
        <v>551</v>
      </c>
      <c r="F221" s="32" t="s">
        <v>25</v>
      </c>
      <c r="G221" s="32" t="s">
        <v>552</v>
      </c>
      <c r="H221" s="32" t="s">
        <v>34</v>
      </c>
    </row>
    <row r="222" spans="1:8" x14ac:dyDescent="0.35">
      <c r="A222" s="31" t="s">
        <v>51</v>
      </c>
      <c r="B222" s="31">
        <v>4</v>
      </c>
      <c r="C222" s="31"/>
      <c r="D222" s="31" t="s">
        <v>310</v>
      </c>
      <c r="E222" s="31" t="s">
        <v>553</v>
      </c>
      <c r="F222" s="31" t="s">
        <v>25</v>
      </c>
      <c r="G222" s="31" t="s">
        <v>554</v>
      </c>
      <c r="H222" s="31" t="s">
        <v>34</v>
      </c>
    </row>
    <row r="223" spans="1:8" x14ac:dyDescent="0.35">
      <c r="A223" s="32" t="s">
        <v>51</v>
      </c>
      <c r="B223" s="32">
        <v>4</v>
      </c>
      <c r="C223" s="32"/>
      <c r="D223" s="32" t="s">
        <v>310</v>
      </c>
      <c r="E223" s="32" t="s">
        <v>555</v>
      </c>
      <c r="F223" s="32" t="s">
        <v>20</v>
      </c>
      <c r="G223" s="32" t="s">
        <v>556</v>
      </c>
      <c r="H223" s="32" t="s">
        <v>33</v>
      </c>
    </row>
    <row r="224" spans="1:8" x14ac:dyDescent="0.35">
      <c r="A224" s="31" t="s">
        <v>51</v>
      </c>
      <c r="B224" s="31">
        <v>4</v>
      </c>
      <c r="C224" s="31"/>
      <c r="D224" s="31" t="s">
        <v>310</v>
      </c>
      <c r="E224" s="31" t="s">
        <v>557</v>
      </c>
      <c r="F224" s="31" t="s">
        <v>25</v>
      </c>
      <c r="G224" s="31" t="s">
        <v>558</v>
      </c>
      <c r="H224" s="31" t="s">
        <v>34</v>
      </c>
    </row>
    <row r="225" spans="1:6" x14ac:dyDescent="0.35">
      <c r="A225" s="33"/>
      <c r="E225" s="34"/>
      <c r="F225" s="33"/>
    </row>
    <row r="226" spans="1:6" x14ac:dyDescent="0.35">
      <c r="A226" s="33"/>
      <c r="E226" s="34"/>
      <c r="F226" s="33"/>
    </row>
    <row r="227" spans="1:6" x14ac:dyDescent="0.35">
      <c r="A227" s="33"/>
      <c r="E227" s="34"/>
      <c r="F227" s="33"/>
    </row>
    <row r="228" spans="1:6" x14ac:dyDescent="0.35">
      <c r="A228" s="33"/>
      <c r="E228" s="34"/>
      <c r="F228" s="33"/>
    </row>
    <row r="229" spans="1:6" x14ac:dyDescent="0.35">
      <c r="A229" s="33"/>
      <c r="E229" s="34"/>
      <c r="F229" s="33"/>
    </row>
    <row r="230" spans="1:6" x14ac:dyDescent="0.35">
      <c r="A230" s="33"/>
      <c r="E230" s="34"/>
      <c r="F230" s="33"/>
    </row>
    <row r="231" spans="1:6" x14ac:dyDescent="0.35">
      <c r="A231" s="33"/>
      <c r="E231" s="34"/>
      <c r="F231" s="33"/>
    </row>
    <row r="232" spans="1:6" x14ac:dyDescent="0.35">
      <c r="A232" s="33"/>
      <c r="E232" s="34"/>
      <c r="F232" s="33"/>
    </row>
    <row r="233" spans="1:6" x14ac:dyDescent="0.35">
      <c r="A233" s="33"/>
      <c r="E233" s="34"/>
      <c r="F233" s="33"/>
    </row>
    <row r="234" spans="1:6" x14ac:dyDescent="0.35">
      <c r="A234" s="33"/>
      <c r="E234" s="34"/>
      <c r="F234" s="33"/>
    </row>
    <row r="235" spans="1:6" x14ac:dyDescent="0.35">
      <c r="A235" s="33"/>
      <c r="E235" s="34"/>
      <c r="F235" s="33"/>
    </row>
    <row r="236" spans="1:6" x14ac:dyDescent="0.35">
      <c r="A236" s="33"/>
      <c r="E236" s="34"/>
      <c r="F236" s="33"/>
    </row>
    <row r="237" spans="1:6" x14ac:dyDescent="0.35">
      <c r="A237" s="33"/>
      <c r="E237" s="34"/>
      <c r="F237" s="33"/>
    </row>
    <row r="238" spans="1:6" x14ac:dyDescent="0.35">
      <c r="A238" s="33"/>
      <c r="E238" s="34"/>
      <c r="F238" s="33"/>
    </row>
    <row r="239" spans="1:6" x14ac:dyDescent="0.35">
      <c r="A239" s="33"/>
      <c r="E239" s="34"/>
      <c r="F239" s="33"/>
    </row>
    <row r="240" spans="1:6" x14ac:dyDescent="0.35">
      <c r="A240" s="33"/>
      <c r="E240" s="34"/>
      <c r="F240" s="33"/>
    </row>
    <row r="241" spans="1:6" x14ac:dyDescent="0.35">
      <c r="A241" s="33"/>
      <c r="E241" s="34"/>
      <c r="F241" s="33"/>
    </row>
    <row r="242" spans="1:6" x14ac:dyDescent="0.35">
      <c r="A242" s="33"/>
      <c r="E242" s="34"/>
      <c r="F242" s="33"/>
    </row>
    <row r="243" spans="1:6" x14ac:dyDescent="0.35">
      <c r="A243" s="33"/>
      <c r="E243" s="34"/>
      <c r="F243" s="33"/>
    </row>
    <row r="244" spans="1:6" x14ac:dyDescent="0.35">
      <c r="A244" s="33"/>
      <c r="E244" s="34"/>
      <c r="F244" s="33"/>
    </row>
    <row r="245" spans="1:6" x14ac:dyDescent="0.35">
      <c r="A245" s="33"/>
      <c r="E245" s="34"/>
      <c r="F245" s="33"/>
    </row>
    <row r="246" spans="1:6" x14ac:dyDescent="0.35">
      <c r="A246" s="33"/>
      <c r="E246" s="34"/>
      <c r="F246" s="33"/>
    </row>
    <row r="247" spans="1:6" x14ac:dyDescent="0.35">
      <c r="A247" s="33"/>
      <c r="E247" s="34"/>
      <c r="F247" s="33"/>
    </row>
    <row r="248" spans="1:6" x14ac:dyDescent="0.35">
      <c r="A248" s="33"/>
      <c r="E248" s="34"/>
      <c r="F248" s="33"/>
    </row>
    <row r="249" spans="1:6" x14ac:dyDescent="0.35">
      <c r="A249" s="33"/>
      <c r="E249" s="34"/>
      <c r="F249" s="33"/>
    </row>
    <row r="250" spans="1:6" x14ac:dyDescent="0.35">
      <c r="A250" s="33"/>
      <c r="E250" s="34"/>
      <c r="F250" s="33"/>
    </row>
    <row r="251" spans="1:6" x14ac:dyDescent="0.35">
      <c r="A251" s="33"/>
      <c r="E251" s="34"/>
      <c r="F251" s="33"/>
    </row>
    <row r="252" spans="1:6" x14ac:dyDescent="0.35">
      <c r="A252" s="33"/>
      <c r="E252" s="34"/>
      <c r="F252" s="33"/>
    </row>
    <row r="253" spans="1:6" x14ac:dyDescent="0.35">
      <c r="A253" s="33"/>
      <c r="E253" s="34"/>
      <c r="F253" s="33"/>
    </row>
    <row r="254" spans="1:6" x14ac:dyDescent="0.35">
      <c r="A254" s="33"/>
      <c r="E254" s="34"/>
      <c r="F254" s="33"/>
    </row>
    <row r="255" spans="1:6" x14ac:dyDescent="0.35">
      <c r="A255" s="33"/>
      <c r="E255" s="34"/>
      <c r="F255" s="33"/>
    </row>
    <row r="256" spans="1:6" x14ac:dyDescent="0.35">
      <c r="A256" s="33"/>
      <c r="E256" s="34"/>
      <c r="F256" s="33"/>
    </row>
    <row r="257" spans="1:6" x14ac:dyDescent="0.35">
      <c r="A257" s="33"/>
      <c r="E257" s="34"/>
      <c r="F257" s="33"/>
    </row>
    <row r="258" spans="1:6" x14ac:dyDescent="0.35">
      <c r="A258" s="33"/>
      <c r="E258" s="34"/>
      <c r="F258" s="33"/>
    </row>
    <row r="259" spans="1:6" x14ac:dyDescent="0.35">
      <c r="A259" s="33"/>
      <c r="E259" s="34"/>
      <c r="F259" s="33"/>
    </row>
    <row r="260" spans="1:6" x14ac:dyDescent="0.35">
      <c r="A260" s="33"/>
      <c r="E260" s="34"/>
      <c r="F260" s="33"/>
    </row>
    <row r="261" spans="1:6" x14ac:dyDescent="0.35">
      <c r="A261" s="33"/>
      <c r="E261" s="34"/>
      <c r="F261" s="33"/>
    </row>
    <row r="262" spans="1:6" x14ac:dyDescent="0.35">
      <c r="A262" s="33"/>
      <c r="E262" s="34"/>
      <c r="F262" s="33"/>
    </row>
    <row r="263" spans="1:6" x14ac:dyDescent="0.35">
      <c r="A263" s="33"/>
      <c r="E263" s="34"/>
      <c r="F263" s="33"/>
    </row>
    <row r="264" spans="1:6" x14ac:dyDescent="0.35">
      <c r="A264" s="33"/>
      <c r="E264" s="34"/>
      <c r="F264" s="33"/>
    </row>
    <row r="265" spans="1:6" x14ac:dyDescent="0.35">
      <c r="A265" s="33"/>
      <c r="E265" s="34"/>
      <c r="F265" s="33"/>
    </row>
    <row r="266" spans="1:6" x14ac:dyDescent="0.35">
      <c r="A266" s="33"/>
      <c r="E266" s="34"/>
      <c r="F266" s="33"/>
    </row>
    <row r="267" spans="1:6" x14ac:dyDescent="0.35">
      <c r="A267" s="33"/>
      <c r="E267" s="34"/>
      <c r="F267" s="33"/>
    </row>
    <row r="268" spans="1:6" x14ac:dyDescent="0.35">
      <c r="A268" s="33"/>
      <c r="E268" s="34"/>
      <c r="F268" s="33"/>
    </row>
    <row r="269" spans="1:6" x14ac:dyDescent="0.35">
      <c r="A269" s="33"/>
      <c r="E269" s="34"/>
      <c r="F269" s="33"/>
    </row>
    <row r="270" spans="1:6" x14ac:dyDescent="0.35">
      <c r="A270" s="33"/>
      <c r="E270" s="34"/>
      <c r="F270" s="33"/>
    </row>
    <row r="271" spans="1:6" x14ac:dyDescent="0.35">
      <c r="A271" s="33"/>
      <c r="E271" s="34"/>
      <c r="F271" s="33"/>
    </row>
    <row r="272" spans="1:6" x14ac:dyDescent="0.35">
      <c r="A272" s="33"/>
      <c r="E272" s="34"/>
      <c r="F272" s="33"/>
    </row>
    <row r="273" spans="1:6" x14ac:dyDescent="0.35">
      <c r="A273" s="33"/>
      <c r="E273" s="34"/>
      <c r="F273" s="33"/>
    </row>
    <row r="274" spans="1:6" x14ac:dyDescent="0.35">
      <c r="A274" s="33"/>
      <c r="E274" s="34"/>
      <c r="F274" s="33"/>
    </row>
    <row r="275" spans="1:6" x14ac:dyDescent="0.35">
      <c r="A275" s="33"/>
      <c r="E275" s="34"/>
      <c r="F275" s="33"/>
    </row>
    <row r="276" spans="1:6" x14ac:dyDescent="0.35">
      <c r="A276" s="33"/>
      <c r="E276" s="34"/>
      <c r="F276" s="33"/>
    </row>
    <row r="277" spans="1:6" x14ac:dyDescent="0.35">
      <c r="A277" s="33"/>
      <c r="E277" s="34"/>
      <c r="F277" s="33"/>
    </row>
    <row r="278" spans="1:6" x14ac:dyDescent="0.35">
      <c r="A278" s="33"/>
      <c r="E278" s="34"/>
      <c r="F278" s="33"/>
    </row>
    <row r="279" spans="1:6" x14ac:dyDescent="0.35">
      <c r="A279" s="33"/>
      <c r="E279" s="34"/>
      <c r="F279" s="33"/>
    </row>
    <row r="280" spans="1:6" x14ac:dyDescent="0.35">
      <c r="A280" s="33"/>
      <c r="E280" s="34"/>
      <c r="F280" s="33"/>
    </row>
    <row r="281" spans="1:6" x14ac:dyDescent="0.35">
      <c r="A281" s="33"/>
      <c r="E281" s="34"/>
      <c r="F281" s="33"/>
    </row>
    <row r="282" spans="1:6" x14ac:dyDescent="0.35">
      <c r="A282" s="33"/>
      <c r="E282" s="34"/>
      <c r="F282" s="33"/>
    </row>
    <row r="283" spans="1:6" x14ac:dyDescent="0.35">
      <c r="A283" s="33"/>
      <c r="E283" s="34"/>
      <c r="F283" s="33"/>
    </row>
    <row r="284" spans="1:6" x14ac:dyDescent="0.35">
      <c r="A284" s="33"/>
      <c r="E284" s="34"/>
      <c r="F284" s="33"/>
    </row>
    <row r="285" spans="1:6" x14ac:dyDescent="0.35">
      <c r="A285" s="33"/>
      <c r="E285" s="34"/>
      <c r="F285" s="33"/>
    </row>
    <row r="286" spans="1:6" x14ac:dyDescent="0.35">
      <c r="A286" s="33"/>
      <c r="E286" s="34"/>
      <c r="F286" s="33"/>
    </row>
    <row r="287" spans="1:6" x14ac:dyDescent="0.35">
      <c r="A287" s="33"/>
      <c r="E287" s="34"/>
      <c r="F287" s="33"/>
    </row>
    <row r="288" spans="1:6" x14ac:dyDescent="0.35">
      <c r="A288" s="33"/>
      <c r="E288" s="34"/>
      <c r="F288" s="33"/>
    </row>
    <row r="289" spans="1:6" x14ac:dyDescent="0.35">
      <c r="A289" s="33"/>
      <c r="E289" s="34"/>
      <c r="F289" s="33"/>
    </row>
    <row r="290" spans="1:6" x14ac:dyDescent="0.35">
      <c r="A290" s="33"/>
      <c r="E290" s="34"/>
      <c r="F290" s="33"/>
    </row>
    <row r="291" spans="1:6" x14ac:dyDescent="0.35">
      <c r="A291" s="33"/>
      <c r="E291" s="34"/>
      <c r="F291" s="33"/>
    </row>
    <row r="292" spans="1:6" x14ac:dyDescent="0.35">
      <c r="A292" s="33"/>
      <c r="E292" s="34"/>
      <c r="F292" s="33"/>
    </row>
    <row r="293" spans="1:6" x14ac:dyDescent="0.35">
      <c r="A293" s="33"/>
      <c r="E293" s="34"/>
      <c r="F293" s="33"/>
    </row>
    <row r="294" spans="1:6" x14ac:dyDescent="0.35">
      <c r="A294" s="33"/>
      <c r="E294" s="34"/>
      <c r="F294" s="33"/>
    </row>
    <row r="295" spans="1:6" x14ac:dyDescent="0.35">
      <c r="A295" s="33"/>
      <c r="E295" s="34"/>
      <c r="F295" s="33"/>
    </row>
    <row r="296" spans="1:6" x14ac:dyDescent="0.35">
      <c r="A296" s="33"/>
      <c r="E296" s="34"/>
      <c r="F296" s="33"/>
    </row>
    <row r="297" spans="1:6" x14ac:dyDescent="0.35">
      <c r="A297" s="33"/>
      <c r="E297" s="34"/>
      <c r="F297" s="33"/>
    </row>
    <row r="298" spans="1:6" x14ac:dyDescent="0.35">
      <c r="A298" s="33"/>
      <c r="E298" s="34"/>
      <c r="F298" s="33"/>
    </row>
    <row r="299" spans="1:6" x14ac:dyDescent="0.35">
      <c r="A299" s="33"/>
      <c r="E299" s="34"/>
      <c r="F299" s="33"/>
    </row>
    <row r="300" spans="1:6" x14ac:dyDescent="0.35">
      <c r="A300" s="33"/>
      <c r="E300" s="34"/>
      <c r="F300" s="33"/>
    </row>
    <row r="301" spans="1:6" x14ac:dyDescent="0.35">
      <c r="A301" s="33"/>
      <c r="E301" s="34"/>
      <c r="F301" s="33"/>
    </row>
    <row r="302" spans="1:6" x14ac:dyDescent="0.35">
      <c r="A302" s="33"/>
      <c r="E302" s="34"/>
      <c r="F302" s="33"/>
    </row>
    <row r="303" spans="1:6" x14ac:dyDescent="0.35">
      <c r="A303" s="33"/>
      <c r="E303" s="34"/>
      <c r="F303" s="33"/>
    </row>
    <row r="304" spans="1:6" x14ac:dyDescent="0.35">
      <c r="A304" s="33"/>
      <c r="E304" s="34"/>
      <c r="F304" s="33"/>
    </row>
    <row r="305" spans="1:6" x14ac:dyDescent="0.35">
      <c r="A305" s="33"/>
      <c r="E305" s="34"/>
      <c r="F305" s="33"/>
    </row>
    <row r="306" spans="1:6" x14ac:dyDescent="0.35">
      <c r="A306" s="33"/>
      <c r="E306" s="34"/>
      <c r="F306" s="33"/>
    </row>
    <row r="307" spans="1:6" x14ac:dyDescent="0.35">
      <c r="A307" s="33"/>
      <c r="E307" s="34"/>
      <c r="F307" s="33"/>
    </row>
    <row r="308" spans="1:6" x14ac:dyDescent="0.35">
      <c r="A308" s="33"/>
      <c r="E308" s="34"/>
      <c r="F308" s="33"/>
    </row>
    <row r="309" spans="1:6" x14ac:dyDescent="0.35">
      <c r="A309" s="33"/>
      <c r="E309" s="34"/>
      <c r="F309" s="33"/>
    </row>
    <row r="310" spans="1:6" x14ac:dyDescent="0.35">
      <c r="A310" s="33"/>
      <c r="E310" s="34"/>
      <c r="F310" s="33"/>
    </row>
    <row r="311" spans="1:6" x14ac:dyDescent="0.35">
      <c r="A311" s="33"/>
      <c r="E311" s="34"/>
      <c r="F311" s="33"/>
    </row>
    <row r="312" spans="1:6" x14ac:dyDescent="0.35">
      <c r="A312" s="33"/>
      <c r="E312" s="34"/>
      <c r="F312" s="33"/>
    </row>
    <row r="313" spans="1:6" x14ac:dyDescent="0.35">
      <c r="A313" s="33"/>
      <c r="E313" s="34"/>
      <c r="F313" s="33"/>
    </row>
    <row r="314" spans="1:6" x14ac:dyDescent="0.35">
      <c r="A314" s="33"/>
      <c r="E314" s="34"/>
      <c r="F314" s="33"/>
    </row>
    <row r="315" spans="1:6" x14ac:dyDescent="0.35">
      <c r="A315" s="33"/>
      <c r="E315" s="34"/>
      <c r="F315" s="33"/>
    </row>
    <row r="316" spans="1:6" x14ac:dyDescent="0.35">
      <c r="A316" s="33"/>
      <c r="E316" s="34"/>
      <c r="F316" s="33"/>
    </row>
    <row r="317" spans="1:6" x14ac:dyDescent="0.35">
      <c r="A317" s="33"/>
      <c r="E317" s="34"/>
      <c r="F317" s="33"/>
    </row>
    <row r="318" spans="1:6" x14ac:dyDescent="0.35">
      <c r="A318" s="33"/>
      <c r="E318" s="34"/>
      <c r="F318" s="33"/>
    </row>
    <row r="319" spans="1:6" x14ac:dyDescent="0.35">
      <c r="A319" s="33"/>
      <c r="E319" s="34"/>
      <c r="F319" s="33"/>
    </row>
    <row r="320" spans="1:6" x14ac:dyDescent="0.35">
      <c r="A320" s="33"/>
      <c r="E320" s="34"/>
      <c r="F320" s="33"/>
    </row>
    <row r="321" spans="1:6" x14ac:dyDescent="0.35">
      <c r="A321" s="33"/>
      <c r="E321" s="34"/>
      <c r="F321" s="33"/>
    </row>
    <row r="322" spans="1:6" x14ac:dyDescent="0.35">
      <c r="A322" s="33"/>
      <c r="E322" s="34"/>
      <c r="F322" s="33"/>
    </row>
    <row r="323" spans="1:6" x14ac:dyDescent="0.35">
      <c r="A323" s="33"/>
      <c r="E323" s="34"/>
      <c r="F323" s="33"/>
    </row>
    <row r="324" spans="1:6" x14ac:dyDescent="0.35">
      <c r="A324" s="33"/>
      <c r="E324" s="34"/>
      <c r="F324" s="33"/>
    </row>
    <row r="325" spans="1:6" x14ac:dyDescent="0.35">
      <c r="A325" s="33"/>
      <c r="E325" s="34"/>
      <c r="F325" s="33"/>
    </row>
    <row r="326" spans="1:6" x14ac:dyDescent="0.35">
      <c r="A326" s="33"/>
      <c r="E326" s="34"/>
      <c r="F326" s="33"/>
    </row>
    <row r="327" spans="1:6" x14ac:dyDescent="0.35">
      <c r="A327" s="33"/>
      <c r="E327" s="34"/>
      <c r="F327" s="33"/>
    </row>
    <row r="328" spans="1:6" x14ac:dyDescent="0.35">
      <c r="A328" s="33"/>
      <c r="E328" s="34"/>
      <c r="F328" s="33"/>
    </row>
    <row r="329" spans="1:6" x14ac:dyDescent="0.35">
      <c r="A329" s="33"/>
      <c r="E329" s="34"/>
      <c r="F329" s="33"/>
    </row>
    <row r="330" spans="1:6" x14ac:dyDescent="0.35">
      <c r="A330" s="33"/>
      <c r="E330" s="34"/>
      <c r="F330" s="33"/>
    </row>
    <row r="331" spans="1:6" x14ac:dyDescent="0.35">
      <c r="A331" s="33"/>
      <c r="E331" s="34"/>
      <c r="F331" s="33"/>
    </row>
    <row r="332" spans="1:6" x14ac:dyDescent="0.35">
      <c r="A332" s="33"/>
      <c r="E332" s="34"/>
      <c r="F332" s="33"/>
    </row>
    <row r="333" spans="1:6" x14ac:dyDescent="0.35">
      <c r="A333" s="33"/>
      <c r="E333" s="34"/>
      <c r="F333" s="33"/>
    </row>
    <row r="334" spans="1:6" x14ac:dyDescent="0.35">
      <c r="A334" s="33"/>
      <c r="E334" s="34"/>
      <c r="F334" s="33"/>
    </row>
    <row r="335" spans="1:6" x14ac:dyDescent="0.35">
      <c r="A335" s="33"/>
      <c r="E335" s="34"/>
      <c r="F335" s="33"/>
    </row>
    <row r="336" spans="1:6" x14ac:dyDescent="0.35">
      <c r="A336" s="33"/>
      <c r="E336" s="34"/>
      <c r="F336" s="33"/>
    </row>
    <row r="337" spans="1:6" x14ac:dyDescent="0.35">
      <c r="A337" s="33"/>
      <c r="E337" s="34"/>
      <c r="F337" s="33"/>
    </row>
    <row r="338" spans="1:6" x14ac:dyDescent="0.35">
      <c r="A338" s="33"/>
      <c r="E338" s="34"/>
      <c r="F338" s="33"/>
    </row>
    <row r="339" spans="1:6" x14ac:dyDescent="0.35">
      <c r="A339" s="33"/>
      <c r="E339" s="34"/>
      <c r="F339" s="33"/>
    </row>
    <row r="340" spans="1:6" x14ac:dyDescent="0.35">
      <c r="A340" s="33"/>
      <c r="E340" s="34"/>
      <c r="F340" s="33"/>
    </row>
    <row r="341" spans="1:6" x14ac:dyDescent="0.35">
      <c r="A341" s="33"/>
      <c r="E341" s="34"/>
      <c r="F341" s="33"/>
    </row>
    <row r="342" spans="1:6" x14ac:dyDescent="0.35">
      <c r="A342" s="33"/>
      <c r="E342" s="34"/>
      <c r="F342" s="33"/>
    </row>
    <row r="343" spans="1:6" x14ac:dyDescent="0.35">
      <c r="A343" s="33"/>
      <c r="E343" s="34"/>
      <c r="F343" s="33"/>
    </row>
    <row r="344" spans="1:6" x14ac:dyDescent="0.35">
      <c r="A344" s="33"/>
      <c r="E344" s="34"/>
      <c r="F344" s="33"/>
    </row>
    <row r="345" spans="1:6" x14ac:dyDescent="0.35">
      <c r="A345" s="33"/>
      <c r="E345" s="34"/>
      <c r="F345" s="33"/>
    </row>
    <row r="346" spans="1:6" x14ac:dyDescent="0.35">
      <c r="A346" s="33"/>
      <c r="E346" s="34"/>
      <c r="F346" s="33"/>
    </row>
    <row r="347" spans="1:6" x14ac:dyDescent="0.35">
      <c r="A347" s="33"/>
      <c r="E347" s="34"/>
      <c r="F347" s="33"/>
    </row>
    <row r="348" spans="1:6" x14ac:dyDescent="0.35">
      <c r="A348" s="33"/>
      <c r="E348" s="34"/>
      <c r="F348" s="33"/>
    </row>
    <row r="349" spans="1:6" x14ac:dyDescent="0.35">
      <c r="A349" s="33"/>
      <c r="E349" s="34"/>
      <c r="F349" s="33"/>
    </row>
    <row r="350" spans="1:6" x14ac:dyDescent="0.35">
      <c r="A350" s="33"/>
      <c r="E350" s="34"/>
      <c r="F350" s="33"/>
    </row>
    <row r="351" spans="1:6" x14ac:dyDescent="0.35">
      <c r="A351" s="33"/>
      <c r="E351" s="34"/>
      <c r="F351" s="33"/>
    </row>
    <row r="352" spans="1:6" x14ac:dyDescent="0.35">
      <c r="A352" s="33"/>
      <c r="E352" s="34"/>
      <c r="F352" s="33"/>
    </row>
    <row r="353" spans="1:6" x14ac:dyDescent="0.35">
      <c r="A353" s="33"/>
      <c r="E353" s="34"/>
      <c r="F353" s="33"/>
    </row>
    <row r="354" spans="1:6" x14ac:dyDescent="0.35">
      <c r="A354" s="33"/>
      <c r="E354" s="34"/>
      <c r="F354" s="33"/>
    </row>
    <row r="355" spans="1:6" x14ac:dyDescent="0.35">
      <c r="A355" s="33"/>
      <c r="E355" s="34"/>
      <c r="F355" s="33"/>
    </row>
    <row r="356" spans="1:6" x14ac:dyDescent="0.35">
      <c r="A356" s="33"/>
      <c r="E356" s="34"/>
      <c r="F356" s="33"/>
    </row>
    <row r="357" spans="1:6" x14ac:dyDescent="0.35">
      <c r="A357" s="33"/>
      <c r="E357" s="34"/>
      <c r="F357" s="33"/>
    </row>
    <row r="358" spans="1:6" x14ac:dyDescent="0.35">
      <c r="A358" s="33"/>
      <c r="E358" s="34"/>
      <c r="F358" s="33"/>
    </row>
    <row r="359" spans="1:6" x14ac:dyDescent="0.35">
      <c r="A359" s="33"/>
      <c r="E359" s="34"/>
      <c r="F359" s="33"/>
    </row>
    <row r="360" spans="1:6" x14ac:dyDescent="0.35">
      <c r="A360" s="33"/>
      <c r="E360" s="34"/>
      <c r="F360" s="33"/>
    </row>
    <row r="361" spans="1:6" x14ac:dyDescent="0.35">
      <c r="A361" s="33"/>
      <c r="E361" s="34"/>
      <c r="F361" s="33"/>
    </row>
    <row r="362" spans="1:6" x14ac:dyDescent="0.35">
      <c r="A362" s="33"/>
      <c r="E362" s="34"/>
      <c r="F362" s="33"/>
    </row>
    <row r="363" spans="1:6" x14ac:dyDescent="0.35">
      <c r="A363" s="33"/>
      <c r="E363" s="34"/>
      <c r="F363" s="33"/>
    </row>
    <row r="364" spans="1:6" x14ac:dyDescent="0.35">
      <c r="A364" s="33"/>
      <c r="E364" s="34"/>
      <c r="F364" s="33"/>
    </row>
    <row r="365" spans="1:6" x14ac:dyDescent="0.35">
      <c r="A365" s="33"/>
      <c r="E365" s="34"/>
      <c r="F365" s="33"/>
    </row>
    <row r="366" spans="1:6" x14ac:dyDescent="0.35">
      <c r="A366" s="33"/>
      <c r="E366" s="34"/>
      <c r="F366" s="33"/>
    </row>
    <row r="367" spans="1:6" x14ac:dyDescent="0.35">
      <c r="A367" s="33"/>
      <c r="E367" s="34"/>
      <c r="F367" s="33"/>
    </row>
    <row r="368" spans="1:6" x14ac:dyDescent="0.35">
      <c r="A368" s="33"/>
      <c r="E368" s="34"/>
      <c r="F368" s="33"/>
    </row>
    <row r="369" spans="1:6" x14ac:dyDescent="0.35">
      <c r="A369" s="33"/>
      <c r="E369" s="34"/>
      <c r="F369" s="33"/>
    </row>
    <row r="370" spans="1:6" x14ac:dyDescent="0.35">
      <c r="A370" s="33"/>
      <c r="E370" s="34"/>
      <c r="F370" s="33"/>
    </row>
    <row r="371" spans="1:6" x14ac:dyDescent="0.35">
      <c r="A371" s="33"/>
      <c r="E371" s="34"/>
      <c r="F371" s="33"/>
    </row>
    <row r="372" spans="1:6" x14ac:dyDescent="0.35">
      <c r="A372" s="33"/>
      <c r="E372" s="34"/>
      <c r="F372" s="33"/>
    </row>
    <row r="373" spans="1:6" x14ac:dyDescent="0.35">
      <c r="A373" s="33"/>
      <c r="E373" s="34"/>
      <c r="F373" s="33"/>
    </row>
    <row r="374" spans="1:6" x14ac:dyDescent="0.35">
      <c r="A374" s="33"/>
      <c r="E374" s="34"/>
      <c r="F374" s="33"/>
    </row>
    <row r="375" spans="1:6" x14ac:dyDescent="0.35">
      <c r="A375" s="33"/>
      <c r="E375" s="34"/>
      <c r="F375" s="33"/>
    </row>
    <row r="376" spans="1:6" x14ac:dyDescent="0.35">
      <c r="A376" s="33"/>
      <c r="E376" s="34"/>
      <c r="F376" s="33"/>
    </row>
    <row r="377" spans="1:6" x14ac:dyDescent="0.35">
      <c r="A377" s="33"/>
      <c r="E377" s="34"/>
      <c r="F377" s="33"/>
    </row>
    <row r="378" spans="1:6" x14ac:dyDescent="0.35">
      <c r="A378" s="33"/>
      <c r="E378" s="34"/>
      <c r="F378" s="33"/>
    </row>
    <row r="379" spans="1:6" x14ac:dyDescent="0.35">
      <c r="A379" s="33"/>
      <c r="E379" s="34"/>
      <c r="F379" s="33"/>
    </row>
    <row r="380" spans="1:6" x14ac:dyDescent="0.35">
      <c r="A380" s="33"/>
      <c r="E380" s="34"/>
      <c r="F380" s="33"/>
    </row>
    <row r="381" spans="1:6" x14ac:dyDescent="0.35">
      <c r="A381" s="33"/>
      <c r="E381" s="34"/>
      <c r="F381" s="33"/>
    </row>
    <row r="382" spans="1:6" x14ac:dyDescent="0.35">
      <c r="A382" s="33"/>
      <c r="E382" s="34"/>
      <c r="F382" s="33"/>
    </row>
    <row r="383" spans="1:6" x14ac:dyDescent="0.35">
      <c r="A383" s="33"/>
      <c r="E383" s="34"/>
      <c r="F383" s="33"/>
    </row>
    <row r="384" spans="1:6" x14ac:dyDescent="0.35">
      <c r="A384" s="33"/>
      <c r="E384" s="34"/>
      <c r="F384" s="33"/>
    </row>
    <row r="385" spans="1:6" x14ac:dyDescent="0.35">
      <c r="A385" s="33"/>
      <c r="E385" s="34"/>
      <c r="F385" s="33"/>
    </row>
    <row r="386" spans="1:6" x14ac:dyDescent="0.35">
      <c r="A386" s="33"/>
      <c r="E386" s="34"/>
      <c r="F386" s="33"/>
    </row>
    <row r="387" spans="1:6" x14ac:dyDescent="0.35">
      <c r="A387" s="33"/>
      <c r="E387" s="34"/>
      <c r="F387" s="33"/>
    </row>
    <row r="388" spans="1:6" x14ac:dyDescent="0.35">
      <c r="A388" s="33"/>
      <c r="E388" s="34"/>
      <c r="F388" s="33"/>
    </row>
    <row r="389" spans="1:6" x14ac:dyDescent="0.35">
      <c r="A389" s="33"/>
      <c r="E389" s="34"/>
      <c r="F389" s="33"/>
    </row>
    <row r="390" spans="1:6" x14ac:dyDescent="0.35">
      <c r="A390" s="33"/>
      <c r="E390" s="34"/>
      <c r="F390" s="33"/>
    </row>
    <row r="391" spans="1:6" x14ac:dyDescent="0.35">
      <c r="A391" s="33"/>
      <c r="E391" s="34"/>
      <c r="F391" s="33"/>
    </row>
    <row r="392" spans="1:6" x14ac:dyDescent="0.35">
      <c r="A392" s="33"/>
      <c r="E392" s="34"/>
      <c r="F392" s="33"/>
    </row>
    <row r="393" spans="1:6" x14ac:dyDescent="0.35">
      <c r="A393" s="33"/>
      <c r="E393" s="34"/>
      <c r="F393" s="33"/>
    </row>
    <row r="394" spans="1:6" x14ac:dyDescent="0.35">
      <c r="A394" s="33"/>
      <c r="E394" s="34"/>
      <c r="F394" s="33"/>
    </row>
    <row r="395" spans="1:6" x14ac:dyDescent="0.35">
      <c r="A395" s="33"/>
      <c r="E395" s="34"/>
      <c r="F395" s="33"/>
    </row>
    <row r="396" spans="1:6" x14ac:dyDescent="0.35">
      <c r="A396" s="33"/>
      <c r="E396" s="34"/>
      <c r="F396" s="33"/>
    </row>
    <row r="397" spans="1:6" x14ac:dyDescent="0.35">
      <c r="A397" s="33"/>
      <c r="E397" s="34"/>
      <c r="F397" s="33"/>
    </row>
    <row r="398" spans="1:6" x14ac:dyDescent="0.35">
      <c r="A398" s="33"/>
      <c r="E398" s="34"/>
      <c r="F398" s="33"/>
    </row>
    <row r="399" spans="1:6" x14ac:dyDescent="0.35">
      <c r="A399" s="33"/>
      <c r="E399" s="34"/>
      <c r="F399" s="33"/>
    </row>
    <row r="400" spans="1:6" x14ac:dyDescent="0.35">
      <c r="A400" s="33"/>
      <c r="E400" s="34"/>
      <c r="F400" s="33"/>
    </row>
    <row r="401" spans="1:6" x14ac:dyDescent="0.35">
      <c r="A401" s="33"/>
      <c r="E401" s="34"/>
      <c r="F401" s="33"/>
    </row>
    <row r="402" spans="1:6" x14ac:dyDescent="0.35">
      <c r="A402" s="33"/>
      <c r="E402" s="34"/>
      <c r="F402" s="33"/>
    </row>
    <row r="403" spans="1:6" x14ac:dyDescent="0.35">
      <c r="A403" s="33"/>
      <c r="E403" s="34"/>
      <c r="F403" s="33"/>
    </row>
    <row r="404" spans="1:6" x14ac:dyDescent="0.35">
      <c r="A404" s="33"/>
      <c r="E404" s="34"/>
      <c r="F404" s="33"/>
    </row>
    <row r="405" spans="1:6" x14ac:dyDescent="0.35">
      <c r="A405" s="33"/>
      <c r="E405" s="34"/>
      <c r="F405" s="33"/>
    </row>
    <row r="406" spans="1:6" x14ac:dyDescent="0.35">
      <c r="A406" s="33"/>
      <c r="E406" s="34"/>
      <c r="F406" s="33"/>
    </row>
    <row r="407" spans="1:6" x14ac:dyDescent="0.35">
      <c r="A407" s="33"/>
      <c r="E407" s="34"/>
      <c r="F407" s="33"/>
    </row>
    <row r="408" spans="1:6" x14ac:dyDescent="0.35">
      <c r="A408" s="33"/>
      <c r="E408" s="34"/>
      <c r="F408" s="33"/>
    </row>
    <row r="409" spans="1:6" x14ac:dyDescent="0.35">
      <c r="A409" s="33"/>
      <c r="E409" s="34"/>
      <c r="F409" s="33"/>
    </row>
    <row r="410" spans="1:6" x14ac:dyDescent="0.35">
      <c r="A410" s="33"/>
      <c r="E410" s="34"/>
      <c r="F410" s="33"/>
    </row>
    <row r="411" spans="1:6" x14ac:dyDescent="0.35">
      <c r="A411" s="33"/>
      <c r="E411" s="34"/>
      <c r="F411" s="33"/>
    </row>
    <row r="412" spans="1:6" x14ac:dyDescent="0.35">
      <c r="A412" s="33"/>
      <c r="E412" s="34"/>
      <c r="F412" s="33"/>
    </row>
    <row r="413" spans="1:6" x14ac:dyDescent="0.35">
      <c r="A413" s="33"/>
      <c r="E413" s="34"/>
      <c r="F413" s="33"/>
    </row>
    <row r="414" spans="1:6" x14ac:dyDescent="0.35">
      <c r="A414" s="33"/>
      <c r="E414" s="34"/>
      <c r="F414" s="33"/>
    </row>
    <row r="415" spans="1:6" x14ac:dyDescent="0.35">
      <c r="A415" s="33"/>
      <c r="E415" s="34"/>
      <c r="F415" s="33"/>
    </row>
    <row r="416" spans="1:6" x14ac:dyDescent="0.35">
      <c r="A416" s="33"/>
      <c r="E416" s="34"/>
      <c r="F416" s="33"/>
    </row>
    <row r="417" spans="1:6" x14ac:dyDescent="0.35">
      <c r="A417" s="33"/>
      <c r="E417" s="34"/>
      <c r="F417" s="33"/>
    </row>
    <row r="418" spans="1:6" x14ac:dyDescent="0.35">
      <c r="A418" s="33"/>
      <c r="E418" s="34"/>
      <c r="F418" s="33"/>
    </row>
    <row r="419" spans="1:6" x14ac:dyDescent="0.35">
      <c r="A419" s="33"/>
      <c r="E419" s="34"/>
      <c r="F419" s="33"/>
    </row>
    <row r="420" spans="1:6" x14ac:dyDescent="0.35">
      <c r="A420" s="33"/>
      <c r="E420" s="34"/>
      <c r="F420" s="33"/>
    </row>
    <row r="421" spans="1:6" x14ac:dyDescent="0.35">
      <c r="A421" s="33"/>
      <c r="E421" s="34"/>
      <c r="F421" s="33"/>
    </row>
    <row r="422" spans="1:6" x14ac:dyDescent="0.35">
      <c r="A422" s="33"/>
      <c r="E422" s="34"/>
      <c r="F422" s="33"/>
    </row>
    <row r="423" spans="1:6" x14ac:dyDescent="0.35">
      <c r="A423" s="33"/>
      <c r="E423" s="34"/>
      <c r="F423" s="33"/>
    </row>
    <row r="424" spans="1:6" x14ac:dyDescent="0.35">
      <c r="A424" s="33"/>
      <c r="E424" s="34"/>
      <c r="F424" s="33"/>
    </row>
    <row r="425" spans="1:6" x14ac:dyDescent="0.35">
      <c r="A425" s="33"/>
      <c r="E425" s="34"/>
      <c r="F425" s="33"/>
    </row>
    <row r="426" spans="1:6" x14ac:dyDescent="0.35">
      <c r="A426" s="33"/>
      <c r="E426" s="34"/>
      <c r="F426" s="33"/>
    </row>
    <row r="427" spans="1:6" x14ac:dyDescent="0.35">
      <c r="A427" s="33"/>
      <c r="E427" s="34"/>
      <c r="F427" s="33"/>
    </row>
    <row r="428" spans="1:6" x14ac:dyDescent="0.35">
      <c r="A428" s="33"/>
      <c r="E428" s="34"/>
      <c r="F428" s="33"/>
    </row>
    <row r="429" spans="1:6" x14ac:dyDescent="0.35">
      <c r="A429" s="33"/>
      <c r="E429" s="34"/>
      <c r="F429" s="33"/>
    </row>
    <row r="430" spans="1:6" x14ac:dyDescent="0.35">
      <c r="A430" s="33"/>
      <c r="E430" s="34"/>
      <c r="F430" s="33"/>
    </row>
    <row r="431" spans="1:6" x14ac:dyDescent="0.35">
      <c r="A431" s="33"/>
      <c r="E431" s="34"/>
      <c r="F431" s="33"/>
    </row>
    <row r="432" spans="1:6" x14ac:dyDescent="0.35">
      <c r="A432" s="33"/>
      <c r="E432" s="34"/>
      <c r="F432" s="33"/>
    </row>
    <row r="433" spans="1:6" x14ac:dyDescent="0.35">
      <c r="A433" s="33"/>
      <c r="E433" s="34"/>
      <c r="F433" s="33"/>
    </row>
    <row r="434" spans="1:6" x14ac:dyDescent="0.35">
      <c r="A434" s="33"/>
      <c r="E434" s="34"/>
      <c r="F434" s="33"/>
    </row>
    <row r="435" spans="1:6" x14ac:dyDescent="0.35">
      <c r="A435" s="33"/>
      <c r="E435" s="34"/>
      <c r="F435" s="33"/>
    </row>
    <row r="436" spans="1:6" x14ac:dyDescent="0.35">
      <c r="A436" s="33"/>
      <c r="E436" s="34"/>
      <c r="F436" s="33"/>
    </row>
    <row r="437" spans="1:6" x14ac:dyDescent="0.35">
      <c r="A437" s="33"/>
      <c r="E437" s="34"/>
      <c r="F437" s="33"/>
    </row>
    <row r="438" spans="1:6" x14ac:dyDescent="0.35">
      <c r="A438" s="33"/>
      <c r="E438" s="34"/>
      <c r="F438" s="33"/>
    </row>
    <row r="439" spans="1:6" x14ac:dyDescent="0.35">
      <c r="A439" s="33"/>
      <c r="E439" s="34"/>
      <c r="F439" s="33"/>
    </row>
    <row r="440" spans="1:6" x14ac:dyDescent="0.35">
      <c r="A440" s="33"/>
      <c r="E440" s="34"/>
      <c r="F440" s="33"/>
    </row>
    <row r="441" spans="1:6" x14ac:dyDescent="0.35">
      <c r="A441" s="33"/>
      <c r="E441" s="34"/>
      <c r="F441" s="33"/>
    </row>
    <row r="442" spans="1:6" x14ac:dyDescent="0.35">
      <c r="A442" s="33"/>
      <c r="E442" s="34"/>
      <c r="F442" s="33"/>
    </row>
    <row r="443" spans="1:6" x14ac:dyDescent="0.35">
      <c r="A443" s="33"/>
      <c r="E443" s="34"/>
      <c r="F443" s="33"/>
    </row>
    <row r="444" spans="1:6" x14ac:dyDescent="0.35">
      <c r="A444" s="33"/>
      <c r="E444" s="34"/>
      <c r="F444" s="33"/>
    </row>
    <row r="445" spans="1:6" x14ac:dyDescent="0.35">
      <c r="A445" s="33"/>
      <c r="E445" s="34"/>
      <c r="F445" s="33"/>
    </row>
    <row r="446" spans="1:6" x14ac:dyDescent="0.35">
      <c r="A446" s="33"/>
      <c r="E446" s="34"/>
      <c r="F446" s="33"/>
    </row>
    <row r="447" spans="1:6" x14ac:dyDescent="0.35">
      <c r="A447" s="33"/>
      <c r="E447" s="34"/>
      <c r="F447" s="33"/>
    </row>
    <row r="448" spans="1:6" x14ac:dyDescent="0.35">
      <c r="A448" s="33"/>
      <c r="E448" s="34"/>
      <c r="F448" s="33"/>
    </row>
    <row r="449" spans="1:6" x14ac:dyDescent="0.35">
      <c r="A449" s="33"/>
      <c r="E449" s="34"/>
      <c r="F449" s="33"/>
    </row>
    <row r="450" spans="1:6" x14ac:dyDescent="0.35">
      <c r="A450" s="33"/>
      <c r="E450" s="34"/>
      <c r="F450" s="33"/>
    </row>
    <row r="451" spans="1:6" x14ac:dyDescent="0.35">
      <c r="A451" s="33"/>
      <c r="E451" s="34"/>
      <c r="F451" s="33"/>
    </row>
    <row r="452" spans="1:6" x14ac:dyDescent="0.35">
      <c r="A452" s="33"/>
      <c r="E452" s="34"/>
      <c r="F452" s="33"/>
    </row>
    <row r="453" spans="1:6" x14ac:dyDescent="0.35">
      <c r="A453" s="33"/>
      <c r="E453" s="34"/>
      <c r="F453" s="33"/>
    </row>
    <row r="454" spans="1:6" x14ac:dyDescent="0.35">
      <c r="A454" s="33"/>
      <c r="E454" s="34"/>
      <c r="F454" s="33"/>
    </row>
    <row r="455" spans="1:6" x14ac:dyDescent="0.35">
      <c r="A455" s="33"/>
      <c r="E455" s="34"/>
      <c r="F455" s="33"/>
    </row>
    <row r="456" spans="1:6" x14ac:dyDescent="0.35">
      <c r="A456" s="33"/>
      <c r="E456" s="34"/>
      <c r="F456" s="33"/>
    </row>
    <row r="457" spans="1:6" x14ac:dyDescent="0.35">
      <c r="A457" s="33"/>
      <c r="E457" s="34"/>
      <c r="F457" s="33"/>
    </row>
    <row r="458" spans="1:6" x14ac:dyDescent="0.35">
      <c r="A458" s="33"/>
      <c r="E458" s="34"/>
      <c r="F458" s="33"/>
    </row>
    <row r="459" spans="1:6" x14ac:dyDescent="0.35">
      <c r="A459" s="33"/>
      <c r="E459" s="34"/>
      <c r="F459" s="33"/>
    </row>
    <row r="460" spans="1:6" x14ac:dyDescent="0.35">
      <c r="A460" s="33"/>
      <c r="E460" s="34"/>
      <c r="F460" s="33"/>
    </row>
    <row r="461" spans="1:6" x14ac:dyDescent="0.35">
      <c r="A461" s="33"/>
      <c r="E461" s="34"/>
      <c r="F461" s="33"/>
    </row>
    <row r="462" spans="1:6" x14ac:dyDescent="0.35">
      <c r="A462" s="33"/>
      <c r="E462" s="34"/>
      <c r="F462" s="33"/>
    </row>
    <row r="463" spans="1:6" x14ac:dyDescent="0.35">
      <c r="A463" s="33"/>
      <c r="E463" s="34"/>
      <c r="F463" s="33"/>
    </row>
    <row r="464" spans="1:6" x14ac:dyDescent="0.35">
      <c r="A464" s="33"/>
      <c r="E464" s="34"/>
      <c r="F464" s="33"/>
    </row>
    <row r="465" spans="1:6" x14ac:dyDescent="0.35">
      <c r="A465" s="33"/>
      <c r="E465" s="34"/>
      <c r="F465" s="33"/>
    </row>
    <row r="466" spans="1:6" x14ac:dyDescent="0.35">
      <c r="A466" s="33"/>
      <c r="E466" s="34"/>
      <c r="F466" s="33"/>
    </row>
    <row r="467" spans="1:6" x14ac:dyDescent="0.35">
      <c r="A467" s="33"/>
      <c r="E467" s="34"/>
      <c r="F467" s="33"/>
    </row>
    <row r="468" spans="1:6" x14ac:dyDescent="0.35">
      <c r="A468" s="33"/>
      <c r="E468" s="34"/>
      <c r="F468" s="33"/>
    </row>
    <row r="469" spans="1:6" x14ac:dyDescent="0.35">
      <c r="A469" s="33"/>
      <c r="E469" s="34"/>
      <c r="F469" s="33"/>
    </row>
    <row r="470" spans="1:6" x14ac:dyDescent="0.35">
      <c r="A470" s="33"/>
      <c r="E470" s="34"/>
      <c r="F470" s="33"/>
    </row>
    <row r="471" spans="1:6" x14ac:dyDescent="0.35">
      <c r="A471" s="33"/>
      <c r="E471" s="34"/>
      <c r="F471" s="33"/>
    </row>
    <row r="472" spans="1:6" x14ac:dyDescent="0.35">
      <c r="A472" s="33"/>
      <c r="E472" s="34"/>
      <c r="F472" s="33"/>
    </row>
    <row r="473" spans="1:6" x14ac:dyDescent="0.35">
      <c r="A473" s="33"/>
      <c r="E473" s="34"/>
      <c r="F473" s="33"/>
    </row>
    <row r="474" spans="1:6" x14ac:dyDescent="0.35">
      <c r="A474" s="33"/>
      <c r="E474" s="34"/>
      <c r="F474" s="33"/>
    </row>
    <row r="475" spans="1:6" x14ac:dyDescent="0.35">
      <c r="A475" s="33"/>
      <c r="E475" s="34"/>
      <c r="F475" s="33"/>
    </row>
    <row r="476" spans="1:6" x14ac:dyDescent="0.35">
      <c r="A476" s="33"/>
      <c r="E476" s="34"/>
      <c r="F476" s="33"/>
    </row>
    <row r="477" spans="1:6" x14ac:dyDescent="0.35">
      <c r="A477" s="33"/>
      <c r="E477" s="34"/>
      <c r="F477" s="33"/>
    </row>
    <row r="478" spans="1:6" x14ac:dyDescent="0.35">
      <c r="A478" s="33"/>
      <c r="E478" s="34"/>
      <c r="F478" s="33"/>
    </row>
    <row r="479" spans="1:6" x14ac:dyDescent="0.35">
      <c r="A479" s="33"/>
      <c r="E479" s="34"/>
      <c r="F479" s="33"/>
    </row>
    <row r="480" spans="1:6" x14ac:dyDescent="0.35">
      <c r="A480" s="33"/>
      <c r="E480" s="34"/>
      <c r="F480" s="33"/>
    </row>
    <row r="481" spans="1:6" x14ac:dyDescent="0.35">
      <c r="A481" s="33"/>
      <c r="E481" s="34"/>
      <c r="F481" s="33"/>
    </row>
    <row r="482" spans="1:6" x14ac:dyDescent="0.35">
      <c r="A482" s="33"/>
      <c r="E482" s="34"/>
      <c r="F482" s="33"/>
    </row>
    <row r="483" spans="1:6" x14ac:dyDescent="0.35">
      <c r="A483" s="33"/>
      <c r="E483" s="34"/>
      <c r="F483" s="33"/>
    </row>
    <row r="484" spans="1:6" x14ac:dyDescent="0.35">
      <c r="A484" s="33"/>
      <c r="E484" s="34"/>
      <c r="F484" s="33"/>
    </row>
    <row r="485" spans="1:6" x14ac:dyDescent="0.35">
      <c r="A485" s="33"/>
      <c r="E485" s="34"/>
      <c r="F485" s="33"/>
    </row>
    <row r="486" spans="1:6" x14ac:dyDescent="0.35">
      <c r="A486" s="33"/>
      <c r="E486" s="34"/>
      <c r="F486" s="33"/>
    </row>
    <row r="487" spans="1:6" x14ac:dyDescent="0.35">
      <c r="A487" s="33"/>
      <c r="E487" s="34"/>
      <c r="F487" s="33"/>
    </row>
    <row r="488" spans="1:6" x14ac:dyDescent="0.35">
      <c r="A488" s="33"/>
      <c r="E488" s="34"/>
      <c r="F488" s="33"/>
    </row>
    <row r="489" spans="1:6" x14ac:dyDescent="0.35">
      <c r="A489" s="33"/>
      <c r="E489" s="34"/>
      <c r="F489" s="33"/>
    </row>
    <row r="490" spans="1:6" x14ac:dyDescent="0.35">
      <c r="A490" s="33"/>
      <c r="E490" s="34"/>
      <c r="F490" s="33"/>
    </row>
    <row r="491" spans="1:6" x14ac:dyDescent="0.35">
      <c r="A491" s="33"/>
      <c r="E491" s="34"/>
      <c r="F491" s="33"/>
    </row>
    <row r="492" spans="1:6" x14ac:dyDescent="0.35">
      <c r="A492" s="33"/>
      <c r="E492" s="34"/>
      <c r="F492" s="33"/>
    </row>
    <row r="493" spans="1:6" x14ac:dyDescent="0.35">
      <c r="A493" s="33"/>
      <c r="E493" s="34"/>
      <c r="F493" s="33"/>
    </row>
    <row r="494" spans="1:6" x14ac:dyDescent="0.35">
      <c r="A494" s="33"/>
      <c r="E494" s="34"/>
      <c r="F494" s="33"/>
    </row>
    <row r="495" spans="1:6" x14ac:dyDescent="0.35">
      <c r="A495" s="33"/>
      <c r="E495" s="34"/>
      <c r="F495" s="33"/>
    </row>
    <row r="496" spans="1:6" x14ac:dyDescent="0.35">
      <c r="A496" s="33"/>
      <c r="E496" s="34"/>
      <c r="F496" s="33"/>
    </row>
    <row r="497" spans="1:6" x14ac:dyDescent="0.35">
      <c r="A497" s="33"/>
      <c r="E497" s="34"/>
      <c r="F497" s="33"/>
    </row>
    <row r="498" spans="1:6" x14ac:dyDescent="0.35">
      <c r="A498" s="33"/>
      <c r="E498" s="34"/>
      <c r="F498" s="33"/>
    </row>
    <row r="499" spans="1:6" x14ac:dyDescent="0.35">
      <c r="A499" s="33"/>
      <c r="E499" s="34"/>
      <c r="F499" s="33"/>
    </row>
    <row r="500" spans="1:6" x14ac:dyDescent="0.35">
      <c r="A500" s="33"/>
      <c r="E500" s="34"/>
      <c r="F500" s="33"/>
    </row>
    <row r="501" spans="1:6" x14ac:dyDescent="0.35">
      <c r="A501" s="33"/>
      <c r="E501" s="34"/>
      <c r="F501" s="33"/>
    </row>
    <row r="502" spans="1:6" x14ac:dyDescent="0.35">
      <c r="A502" s="33"/>
      <c r="E502" s="34"/>
      <c r="F502" s="33"/>
    </row>
    <row r="503" spans="1:6" x14ac:dyDescent="0.35">
      <c r="A503" s="33"/>
      <c r="E503" s="34"/>
      <c r="F503" s="33"/>
    </row>
    <row r="504" spans="1:6" x14ac:dyDescent="0.35">
      <c r="A504" s="33"/>
      <c r="E504" s="34"/>
      <c r="F504" s="33"/>
    </row>
    <row r="505" spans="1:6" x14ac:dyDescent="0.35">
      <c r="A505" s="33"/>
      <c r="E505" s="34"/>
      <c r="F505" s="33"/>
    </row>
    <row r="506" spans="1:6" x14ac:dyDescent="0.35">
      <c r="A506" s="33"/>
      <c r="E506" s="34"/>
      <c r="F506" s="33"/>
    </row>
    <row r="507" spans="1:6" x14ac:dyDescent="0.35">
      <c r="A507" s="33"/>
      <c r="E507" s="34"/>
      <c r="F507" s="33"/>
    </row>
    <row r="508" spans="1:6" x14ac:dyDescent="0.35">
      <c r="A508" s="33"/>
      <c r="E508" s="34"/>
      <c r="F508" s="33"/>
    </row>
    <row r="509" spans="1:6" x14ac:dyDescent="0.35">
      <c r="A509" s="33"/>
      <c r="E509" s="34"/>
      <c r="F509" s="33"/>
    </row>
    <row r="510" spans="1:6" x14ac:dyDescent="0.35">
      <c r="A510" s="33"/>
      <c r="E510" s="34"/>
      <c r="F510" s="33"/>
    </row>
    <row r="511" spans="1:6" x14ac:dyDescent="0.35">
      <c r="A511" s="33"/>
      <c r="E511" s="34"/>
      <c r="F511" s="33"/>
    </row>
    <row r="512" spans="1:6" x14ac:dyDescent="0.35">
      <c r="A512" s="33"/>
      <c r="E512" s="34"/>
      <c r="F512" s="33"/>
    </row>
    <row r="513" spans="1:6" x14ac:dyDescent="0.35">
      <c r="A513" s="33"/>
      <c r="E513" s="34"/>
      <c r="F513" s="33"/>
    </row>
    <row r="514" spans="1:6" x14ac:dyDescent="0.35">
      <c r="A514" s="33"/>
      <c r="E514" s="34"/>
      <c r="F514" s="33"/>
    </row>
    <row r="515" spans="1:6" x14ac:dyDescent="0.35">
      <c r="A515" s="33"/>
      <c r="E515" s="34"/>
      <c r="F515" s="33"/>
    </row>
    <row r="516" spans="1:6" x14ac:dyDescent="0.35">
      <c r="A516" s="33"/>
      <c r="E516" s="34"/>
      <c r="F516" s="33"/>
    </row>
    <row r="517" spans="1:6" x14ac:dyDescent="0.35">
      <c r="A517" s="33"/>
      <c r="E517" s="34"/>
      <c r="F517" s="33"/>
    </row>
    <row r="518" spans="1:6" x14ac:dyDescent="0.35">
      <c r="A518" s="33"/>
      <c r="E518" s="34"/>
      <c r="F518" s="33"/>
    </row>
    <row r="519" spans="1:6" x14ac:dyDescent="0.35">
      <c r="A519" s="33"/>
      <c r="E519" s="34"/>
      <c r="F519" s="33"/>
    </row>
    <row r="520" spans="1:6" x14ac:dyDescent="0.35">
      <c r="A520" s="33"/>
      <c r="E520" s="34"/>
      <c r="F520" s="33"/>
    </row>
    <row r="521" spans="1:6" x14ac:dyDescent="0.35">
      <c r="A521" s="33"/>
      <c r="E521" s="34"/>
      <c r="F521" s="33"/>
    </row>
    <row r="522" spans="1:6" x14ac:dyDescent="0.35">
      <c r="A522" s="33"/>
      <c r="E522" s="34"/>
      <c r="F522" s="33"/>
    </row>
    <row r="523" spans="1:6" x14ac:dyDescent="0.35">
      <c r="A523" s="33"/>
      <c r="E523" s="34"/>
      <c r="F523" s="33"/>
    </row>
    <row r="524" spans="1:6" x14ac:dyDescent="0.35">
      <c r="A524" s="33"/>
      <c r="E524" s="34"/>
      <c r="F524" s="33"/>
    </row>
    <row r="525" spans="1:6" x14ac:dyDescent="0.35">
      <c r="A525" s="33"/>
      <c r="E525" s="34"/>
      <c r="F525" s="33"/>
    </row>
    <row r="526" spans="1:6" x14ac:dyDescent="0.35">
      <c r="A526" s="33"/>
      <c r="E526" s="34"/>
      <c r="F526" s="33"/>
    </row>
    <row r="527" spans="1:6" x14ac:dyDescent="0.35">
      <c r="A527" s="33"/>
      <c r="E527" s="34"/>
      <c r="F527" s="33"/>
    </row>
    <row r="528" spans="1:6" x14ac:dyDescent="0.35">
      <c r="A528" s="33"/>
      <c r="E528" s="34"/>
      <c r="F528" s="33"/>
    </row>
    <row r="529" spans="1:6" x14ac:dyDescent="0.35">
      <c r="A529" s="33"/>
      <c r="E529" s="34"/>
      <c r="F529" s="33"/>
    </row>
    <row r="530" spans="1:6" x14ac:dyDescent="0.35">
      <c r="A530" s="33"/>
      <c r="E530" s="34"/>
      <c r="F530" s="33"/>
    </row>
    <row r="531" spans="1:6" x14ac:dyDescent="0.35">
      <c r="A531" s="33"/>
      <c r="E531" s="34"/>
      <c r="F531" s="33"/>
    </row>
    <row r="532" spans="1:6" x14ac:dyDescent="0.35">
      <c r="A532" s="33"/>
      <c r="E532" s="34"/>
      <c r="F532" s="33"/>
    </row>
    <row r="533" spans="1:6" x14ac:dyDescent="0.35">
      <c r="A533" s="33"/>
      <c r="E533" s="34"/>
      <c r="F533" s="33"/>
    </row>
    <row r="534" spans="1:6" x14ac:dyDescent="0.35">
      <c r="A534" s="33"/>
      <c r="E534" s="34"/>
      <c r="F534" s="33"/>
    </row>
    <row r="535" spans="1:6" x14ac:dyDescent="0.35">
      <c r="A535" s="33"/>
      <c r="E535" s="34"/>
      <c r="F535" s="33"/>
    </row>
    <row r="536" spans="1:6" x14ac:dyDescent="0.35">
      <c r="A536" s="33"/>
      <c r="E536" s="34"/>
      <c r="F536" s="33"/>
    </row>
    <row r="537" spans="1:6" x14ac:dyDescent="0.35">
      <c r="A537" s="33"/>
      <c r="E537" s="34"/>
      <c r="F537" s="33"/>
    </row>
    <row r="538" spans="1:6" x14ac:dyDescent="0.35">
      <c r="A538" s="33"/>
      <c r="E538" s="34"/>
      <c r="F538" s="33"/>
    </row>
    <row r="539" spans="1:6" x14ac:dyDescent="0.35">
      <c r="A539" s="33"/>
      <c r="E539" s="34"/>
      <c r="F539" s="33"/>
    </row>
    <row r="540" spans="1:6" x14ac:dyDescent="0.35">
      <c r="A540" s="33"/>
      <c r="E540" s="34"/>
      <c r="F540" s="33"/>
    </row>
    <row r="541" spans="1:6" x14ac:dyDescent="0.35">
      <c r="A541" s="33"/>
      <c r="E541" s="34"/>
      <c r="F541" s="33"/>
    </row>
    <row r="542" spans="1:6" x14ac:dyDescent="0.35">
      <c r="A542" s="33"/>
      <c r="E542" s="34"/>
      <c r="F542" s="33"/>
    </row>
    <row r="543" spans="1:6" x14ac:dyDescent="0.35">
      <c r="A543" s="33"/>
      <c r="E543" s="34"/>
      <c r="F543" s="33"/>
    </row>
    <row r="544" spans="1:6" x14ac:dyDescent="0.35">
      <c r="A544" s="33"/>
      <c r="E544" s="34"/>
      <c r="F544" s="33"/>
    </row>
    <row r="545" spans="1:6" x14ac:dyDescent="0.35">
      <c r="A545" s="33"/>
      <c r="E545" s="34"/>
      <c r="F545" s="33"/>
    </row>
    <row r="546" spans="1:6" x14ac:dyDescent="0.35">
      <c r="A546" s="33"/>
      <c r="E546" s="34"/>
      <c r="F546" s="33"/>
    </row>
    <row r="547" spans="1:6" x14ac:dyDescent="0.35">
      <c r="A547" s="33"/>
      <c r="E547" s="34"/>
      <c r="F547" s="33"/>
    </row>
    <row r="548" spans="1:6" x14ac:dyDescent="0.35">
      <c r="A548" s="33"/>
      <c r="E548" s="34"/>
      <c r="F548" s="33"/>
    </row>
    <row r="549" spans="1:6" x14ac:dyDescent="0.35">
      <c r="A549" s="33"/>
      <c r="E549" s="34"/>
      <c r="F549" s="33"/>
    </row>
    <row r="550" spans="1:6" x14ac:dyDescent="0.35">
      <c r="A550" s="33"/>
      <c r="E550" s="34"/>
      <c r="F550" s="33"/>
    </row>
    <row r="551" spans="1:6" x14ac:dyDescent="0.35">
      <c r="A551" s="33"/>
      <c r="E551" s="34"/>
      <c r="F551" s="33"/>
    </row>
    <row r="552" spans="1:6" x14ac:dyDescent="0.35">
      <c r="A552" s="33"/>
      <c r="E552" s="34"/>
      <c r="F552" s="33"/>
    </row>
    <row r="553" spans="1:6" x14ac:dyDescent="0.35">
      <c r="A553" s="33"/>
      <c r="E553" s="34"/>
      <c r="F553" s="33"/>
    </row>
    <row r="554" spans="1:6" x14ac:dyDescent="0.35">
      <c r="A554" s="33"/>
      <c r="E554" s="34"/>
      <c r="F554" s="33"/>
    </row>
    <row r="555" spans="1:6" x14ac:dyDescent="0.35">
      <c r="A555" s="33"/>
      <c r="E555" s="34"/>
      <c r="F555" s="33"/>
    </row>
    <row r="556" spans="1:6" x14ac:dyDescent="0.35">
      <c r="A556" s="33"/>
      <c r="E556" s="34"/>
      <c r="F556" s="33"/>
    </row>
    <row r="557" spans="1:6" x14ac:dyDescent="0.35">
      <c r="A557" s="33"/>
      <c r="E557" s="34"/>
      <c r="F557" s="33"/>
    </row>
    <row r="558" spans="1:6" x14ac:dyDescent="0.35">
      <c r="A558" s="33"/>
      <c r="E558" s="34"/>
      <c r="F558" s="33"/>
    </row>
    <row r="559" spans="1:6" x14ac:dyDescent="0.35">
      <c r="A559" s="33"/>
      <c r="E559" s="34"/>
      <c r="F559" s="33"/>
    </row>
    <row r="560" spans="1:6" x14ac:dyDescent="0.35">
      <c r="A560" s="33"/>
      <c r="E560" s="34"/>
      <c r="F560" s="33"/>
    </row>
    <row r="561" spans="1:6" x14ac:dyDescent="0.35">
      <c r="A561" s="33"/>
      <c r="E561" s="34"/>
      <c r="F561" s="33"/>
    </row>
    <row r="562" spans="1:6" x14ac:dyDescent="0.35">
      <c r="A562" s="33"/>
      <c r="E562" s="34"/>
      <c r="F562" s="33"/>
    </row>
    <row r="563" spans="1:6" x14ac:dyDescent="0.35">
      <c r="A563" s="33"/>
      <c r="E563" s="34"/>
      <c r="F563" s="33"/>
    </row>
    <row r="564" spans="1:6" x14ac:dyDescent="0.35">
      <c r="A564" s="33"/>
      <c r="E564" s="34"/>
      <c r="F564" s="33"/>
    </row>
    <row r="565" spans="1:6" x14ac:dyDescent="0.35">
      <c r="A565" s="33"/>
      <c r="E565" s="34"/>
      <c r="F565" s="33"/>
    </row>
    <row r="566" spans="1:6" x14ac:dyDescent="0.35">
      <c r="A566" s="33"/>
      <c r="E566" s="34"/>
      <c r="F566" s="33"/>
    </row>
    <row r="567" spans="1:6" x14ac:dyDescent="0.35">
      <c r="A567" s="33"/>
      <c r="E567" s="34"/>
      <c r="F567" s="33"/>
    </row>
    <row r="568" spans="1:6" x14ac:dyDescent="0.35">
      <c r="A568" s="33"/>
      <c r="E568" s="34"/>
      <c r="F568" s="33"/>
    </row>
    <row r="569" spans="1:6" x14ac:dyDescent="0.35">
      <c r="A569" s="33"/>
      <c r="E569" s="34"/>
      <c r="F569" s="33"/>
    </row>
    <row r="570" spans="1:6" x14ac:dyDescent="0.35">
      <c r="A570" s="33"/>
      <c r="E570" s="34"/>
      <c r="F570" s="33"/>
    </row>
    <row r="571" spans="1:6" x14ac:dyDescent="0.35">
      <c r="A571" s="33"/>
      <c r="E571" s="34"/>
      <c r="F571" s="33"/>
    </row>
    <row r="572" spans="1:6" x14ac:dyDescent="0.35">
      <c r="A572" s="33"/>
      <c r="E572" s="34"/>
      <c r="F572" s="33"/>
    </row>
    <row r="573" spans="1:6" x14ac:dyDescent="0.35">
      <c r="A573" s="33"/>
      <c r="E573" s="34"/>
      <c r="F573" s="33"/>
    </row>
    <row r="574" spans="1:6" x14ac:dyDescent="0.35">
      <c r="A574" s="33"/>
      <c r="E574" s="34"/>
      <c r="F574" s="33"/>
    </row>
    <row r="575" spans="1:6" x14ac:dyDescent="0.35">
      <c r="A575" s="33"/>
      <c r="E575" s="34"/>
      <c r="F575" s="33"/>
    </row>
    <row r="576" spans="1:6" x14ac:dyDescent="0.35">
      <c r="A576" s="33"/>
      <c r="E576" s="34"/>
      <c r="F576" s="33"/>
    </row>
    <row r="577" spans="1:6" x14ac:dyDescent="0.35">
      <c r="A577" s="33"/>
      <c r="E577" s="34"/>
      <c r="F577" s="33"/>
    </row>
    <row r="578" spans="1:6" x14ac:dyDescent="0.35">
      <c r="A578" s="33"/>
      <c r="E578" s="34"/>
      <c r="F578" s="33"/>
    </row>
    <row r="579" spans="1:6" x14ac:dyDescent="0.35">
      <c r="A579" s="33"/>
      <c r="E579" s="34"/>
      <c r="F579" s="33"/>
    </row>
    <row r="580" spans="1:6" x14ac:dyDescent="0.35">
      <c r="A580" s="33"/>
      <c r="E580" s="34"/>
      <c r="F580" s="33"/>
    </row>
    <row r="581" spans="1:6" x14ac:dyDescent="0.35">
      <c r="A581" s="33"/>
      <c r="E581" s="34"/>
      <c r="F581" s="33"/>
    </row>
    <row r="582" spans="1:6" x14ac:dyDescent="0.35">
      <c r="A582" s="33"/>
      <c r="E582" s="34"/>
      <c r="F582" s="33"/>
    </row>
    <row r="583" spans="1:6" x14ac:dyDescent="0.35">
      <c r="A583" s="33"/>
      <c r="E583" s="34"/>
      <c r="F583" s="33"/>
    </row>
    <row r="584" spans="1:6" x14ac:dyDescent="0.35">
      <c r="A584" s="33"/>
      <c r="E584" s="34"/>
      <c r="F584" s="33"/>
    </row>
    <row r="585" spans="1:6" x14ac:dyDescent="0.35">
      <c r="A585" s="33"/>
      <c r="E585" s="34"/>
      <c r="F585" s="33"/>
    </row>
    <row r="586" spans="1:6" x14ac:dyDescent="0.35">
      <c r="A586" s="33"/>
      <c r="E586" s="34"/>
      <c r="F586" s="33"/>
    </row>
    <row r="587" spans="1:6" x14ac:dyDescent="0.35">
      <c r="A587" s="33"/>
      <c r="E587" s="34"/>
      <c r="F587" s="33"/>
    </row>
    <row r="588" spans="1:6" x14ac:dyDescent="0.35">
      <c r="A588" s="33"/>
      <c r="E588" s="34"/>
      <c r="F588" s="33"/>
    </row>
    <row r="589" spans="1:6" x14ac:dyDescent="0.35">
      <c r="A589" s="33"/>
      <c r="E589" s="34"/>
      <c r="F589" s="33"/>
    </row>
    <row r="590" spans="1:6" x14ac:dyDescent="0.35">
      <c r="A590" s="33"/>
      <c r="E590" s="34"/>
      <c r="F590" s="33"/>
    </row>
    <row r="591" spans="1:6" x14ac:dyDescent="0.35">
      <c r="A591" s="33"/>
      <c r="E591" s="34"/>
      <c r="F591" s="33"/>
    </row>
    <row r="592" spans="1:6" x14ac:dyDescent="0.35">
      <c r="A592" s="33"/>
      <c r="E592" s="34"/>
      <c r="F592" s="33"/>
    </row>
    <row r="593" spans="1:6" x14ac:dyDescent="0.35">
      <c r="A593" s="33"/>
      <c r="E593" s="34"/>
      <c r="F593" s="33"/>
    </row>
    <row r="594" spans="1:6" x14ac:dyDescent="0.35">
      <c r="A594" s="33"/>
      <c r="E594" s="34"/>
      <c r="F594" s="33"/>
    </row>
    <row r="595" spans="1:6" x14ac:dyDescent="0.35">
      <c r="A595" s="33"/>
      <c r="E595" s="34"/>
      <c r="F595" s="33"/>
    </row>
    <row r="596" spans="1:6" x14ac:dyDescent="0.35">
      <c r="A596" s="33"/>
      <c r="E596" s="34"/>
      <c r="F596" s="33"/>
    </row>
    <row r="597" spans="1:6" x14ac:dyDescent="0.35">
      <c r="A597" s="33"/>
      <c r="E597" s="34"/>
      <c r="F597" s="33"/>
    </row>
    <row r="598" spans="1:6" x14ac:dyDescent="0.35">
      <c r="A598" s="33"/>
      <c r="E598" s="34"/>
      <c r="F598" s="33"/>
    </row>
    <row r="599" spans="1:6" x14ac:dyDescent="0.35">
      <c r="A599" s="33"/>
      <c r="E599" s="34"/>
      <c r="F599" s="33"/>
    </row>
    <row r="600" spans="1:6" x14ac:dyDescent="0.35">
      <c r="A600" s="33"/>
      <c r="E600" s="34"/>
      <c r="F600" s="33"/>
    </row>
    <row r="601" spans="1:6" x14ac:dyDescent="0.35">
      <c r="A601" s="33"/>
      <c r="E601" s="34"/>
      <c r="F601" s="33"/>
    </row>
    <row r="602" spans="1:6" x14ac:dyDescent="0.35">
      <c r="A602" s="33"/>
      <c r="E602" s="34"/>
      <c r="F602" s="33"/>
    </row>
    <row r="603" spans="1:6" x14ac:dyDescent="0.35">
      <c r="A603" s="33"/>
      <c r="E603" s="34"/>
      <c r="F603" s="33"/>
    </row>
    <row r="604" spans="1:6" x14ac:dyDescent="0.35">
      <c r="A604" s="33"/>
      <c r="E604" s="34"/>
      <c r="F604" s="33"/>
    </row>
    <row r="605" spans="1:6" x14ac:dyDescent="0.35">
      <c r="A605" s="33"/>
      <c r="E605" s="34"/>
      <c r="F605" s="33"/>
    </row>
    <row r="606" spans="1:6" x14ac:dyDescent="0.35">
      <c r="A606" s="33"/>
      <c r="E606" s="34"/>
      <c r="F606" s="33"/>
    </row>
    <row r="607" spans="1:6" x14ac:dyDescent="0.35">
      <c r="A607" s="33"/>
      <c r="E607" s="34"/>
      <c r="F607" s="33"/>
    </row>
    <row r="608" spans="1:6" x14ac:dyDescent="0.35">
      <c r="A608" s="33"/>
      <c r="E608" s="34"/>
      <c r="F608" s="33"/>
    </row>
    <row r="609" spans="1:6" x14ac:dyDescent="0.35">
      <c r="A609" s="33"/>
      <c r="E609" s="34"/>
      <c r="F609" s="33"/>
    </row>
    <row r="610" spans="1:6" x14ac:dyDescent="0.35">
      <c r="A610" s="33"/>
      <c r="E610" s="34"/>
      <c r="F610" s="33"/>
    </row>
    <row r="611" spans="1:6" x14ac:dyDescent="0.35">
      <c r="A611" s="33"/>
      <c r="E611" s="34"/>
      <c r="F611" s="33"/>
    </row>
    <row r="612" spans="1:6" x14ac:dyDescent="0.35">
      <c r="A612" s="33"/>
      <c r="E612" s="34"/>
      <c r="F612" s="33"/>
    </row>
    <row r="613" spans="1:6" x14ac:dyDescent="0.35">
      <c r="A613" s="33"/>
      <c r="E613" s="34"/>
      <c r="F613" s="33"/>
    </row>
    <row r="614" spans="1:6" x14ac:dyDescent="0.35">
      <c r="A614" s="33"/>
      <c r="E614" s="34"/>
      <c r="F614" s="33"/>
    </row>
    <row r="615" spans="1:6" x14ac:dyDescent="0.35">
      <c r="A615" s="33"/>
      <c r="E615" s="34"/>
      <c r="F615" s="33"/>
    </row>
    <row r="616" spans="1:6" x14ac:dyDescent="0.35">
      <c r="A616" s="33"/>
      <c r="E616" s="34"/>
      <c r="F616" s="33"/>
    </row>
    <row r="617" spans="1:6" x14ac:dyDescent="0.35">
      <c r="A617" s="33"/>
      <c r="E617" s="34"/>
      <c r="F617" s="33"/>
    </row>
    <row r="618" spans="1:6" x14ac:dyDescent="0.35">
      <c r="A618" s="33"/>
      <c r="E618" s="34"/>
      <c r="F618" s="33"/>
    </row>
    <row r="619" spans="1:6" x14ac:dyDescent="0.35">
      <c r="A619" s="33"/>
      <c r="E619" s="34"/>
      <c r="F619" s="33"/>
    </row>
    <row r="620" spans="1:6" x14ac:dyDescent="0.35">
      <c r="A620" s="33"/>
      <c r="E620" s="34"/>
      <c r="F620" s="33"/>
    </row>
    <row r="621" spans="1:6" x14ac:dyDescent="0.35">
      <c r="A621" s="33"/>
      <c r="E621" s="34"/>
      <c r="F621" s="33"/>
    </row>
    <row r="622" spans="1:6" x14ac:dyDescent="0.35">
      <c r="A622" s="33"/>
      <c r="E622" s="34"/>
      <c r="F622" s="33"/>
    </row>
    <row r="623" spans="1:6" x14ac:dyDescent="0.35">
      <c r="A623" s="33"/>
      <c r="E623" s="34"/>
      <c r="F623" s="33"/>
    </row>
    <row r="624" spans="1:6" x14ac:dyDescent="0.35">
      <c r="A624" s="33"/>
      <c r="E624" s="34"/>
      <c r="F624" s="33"/>
    </row>
    <row r="625" spans="1:6" x14ac:dyDescent="0.35">
      <c r="A625" s="33"/>
      <c r="E625" s="34"/>
      <c r="F625" s="33"/>
    </row>
    <row r="626" spans="1:6" x14ac:dyDescent="0.35">
      <c r="A626" s="33"/>
      <c r="E626" s="34"/>
      <c r="F626" s="33"/>
    </row>
    <row r="627" spans="1:6" x14ac:dyDescent="0.35">
      <c r="A627" s="33"/>
      <c r="E627" s="34"/>
      <c r="F627" s="33"/>
    </row>
    <row r="628" spans="1:6" x14ac:dyDescent="0.35">
      <c r="A628" s="33"/>
      <c r="E628" s="34"/>
      <c r="F628" s="33"/>
    </row>
    <row r="629" spans="1:6" x14ac:dyDescent="0.35">
      <c r="A629" s="33"/>
      <c r="E629" s="34"/>
      <c r="F629" s="33"/>
    </row>
    <row r="630" spans="1:6" x14ac:dyDescent="0.35">
      <c r="A630" s="33"/>
      <c r="E630" s="34"/>
      <c r="F630" s="33"/>
    </row>
    <row r="631" spans="1:6" x14ac:dyDescent="0.35">
      <c r="A631" s="33"/>
      <c r="E631" s="34"/>
      <c r="F631" s="33"/>
    </row>
    <row r="632" spans="1:6" x14ac:dyDescent="0.35">
      <c r="A632" s="33"/>
      <c r="E632" s="34"/>
      <c r="F632" s="33"/>
    </row>
    <row r="633" spans="1:6" x14ac:dyDescent="0.35">
      <c r="A633" s="33"/>
      <c r="E633" s="34"/>
      <c r="F633" s="33"/>
    </row>
    <row r="634" spans="1:6" x14ac:dyDescent="0.35">
      <c r="A634" s="33"/>
      <c r="E634" s="34"/>
      <c r="F634" s="33"/>
    </row>
    <row r="635" spans="1:6" x14ac:dyDescent="0.35">
      <c r="A635" s="33"/>
      <c r="E635" s="34"/>
      <c r="F635" s="33"/>
    </row>
    <row r="636" spans="1:6" x14ac:dyDescent="0.35">
      <c r="A636" s="33"/>
      <c r="E636" s="34"/>
      <c r="F636" s="33"/>
    </row>
    <row r="637" spans="1:6" x14ac:dyDescent="0.35">
      <c r="A637" s="33"/>
      <c r="E637" s="34"/>
      <c r="F637" s="33"/>
    </row>
    <row r="638" spans="1:6" x14ac:dyDescent="0.35">
      <c r="A638" s="33"/>
      <c r="E638" s="34"/>
      <c r="F638" s="33"/>
    </row>
    <row r="639" spans="1:6" x14ac:dyDescent="0.35">
      <c r="A639" s="33"/>
      <c r="E639" s="34"/>
      <c r="F639" s="33"/>
    </row>
    <row r="640" spans="1:6" x14ac:dyDescent="0.35">
      <c r="A640" s="33"/>
      <c r="E640" s="34"/>
      <c r="F640" s="33"/>
    </row>
    <row r="641" spans="1:6" x14ac:dyDescent="0.35">
      <c r="A641" s="33"/>
      <c r="E641" s="34"/>
      <c r="F641" s="33"/>
    </row>
    <row r="642" spans="1:6" x14ac:dyDescent="0.35">
      <c r="A642" s="33"/>
      <c r="E642" s="34"/>
      <c r="F642" s="33"/>
    </row>
    <row r="643" spans="1:6" x14ac:dyDescent="0.35">
      <c r="A643" s="33"/>
      <c r="E643" s="34"/>
      <c r="F643" s="33"/>
    </row>
    <row r="644" spans="1:6" x14ac:dyDescent="0.35">
      <c r="A644" s="33"/>
      <c r="E644" s="34"/>
      <c r="F644" s="33"/>
    </row>
    <row r="645" spans="1:6" x14ac:dyDescent="0.35">
      <c r="A645" s="33"/>
      <c r="E645" s="34"/>
      <c r="F645" s="33"/>
    </row>
    <row r="646" spans="1:6" x14ac:dyDescent="0.35">
      <c r="A646" s="33"/>
      <c r="E646" s="34"/>
      <c r="F646" s="33"/>
    </row>
    <row r="647" spans="1:6" x14ac:dyDescent="0.35">
      <c r="A647" s="33"/>
      <c r="E647" s="34"/>
      <c r="F647" s="33"/>
    </row>
    <row r="648" spans="1:6" x14ac:dyDescent="0.35">
      <c r="A648" s="33"/>
      <c r="E648" s="34"/>
      <c r="F648" s="33"/>
    </row>
    <row r="649" spans="1:6" x14ac:dyDescent="0.35">
      <c r="A649" s="33"/>
      <c r="E649" s="34"/>
      <c r="F649" s="33"/>
    </row>
    <row r="650" spans="1:6" x14ac:dyDescent="0.35">
      <c r="A650" s="33"/>
      <c r="E650" s="34"/>
      <c r="F650" s="33"/>
    </row>
    <row r="651" spans="1:6" x14ac:dyDescent="0.35">
      <c r="A651" s="33"/>
      <c r="E651" s="34"/>
      <c r="F651" s="33"/>
    </row>
    <row r="652" spans="1:6" x14ac:dyDescent="0.35">
      <c r="A652" s="33"/>
      <c r="E652" s="34"/>
      <c r="F652" s="33"/>
    </row>
    <row r="653" spans="1:6" x14ac:dyDescent="0.35">
      <c r="A653" s="33"/>
      <c r="E653" s="34"/>
      <c r="F653" s="33"/>
    </row>
    <row r="654" spans="1:6" x14ac:dyDescent="0.35">
      <c r="A654" s="33"/>
      <c r="E654" s="34"/>
      <c r="F654" s="33"/>
    </row>
    <row r="655" spans="1:6" x14ac:dyDescent="0.35">
      <c r="A655" s="33"/>
      <c r="E655" s="34"/>
      <c r="F655" s="33"/>
    </row>
    <row r="656" spans="1:6" x14ac:dyDescent="0.35">
      <c r="A656" s="33"/>
      <c r="E656" s="34"/>
      <c r="F656" s="33"/>
    </row>
    <row r="657" spans="1:6" x14ac:dyDescent="0.35">
      <c r="A657" s="33"/>
      <c r="E657" s="34"/>
      <c r="F657" s="33"/>
    </row>
    <row r="658" spans="1:6" x14ac:dyDescent="0.35">
      <c r="A658" s="33"/>
      <c r="E658" s="34"/>
      <c r="F658" s="33"/>
    </row>
    <row r="659" spans="1:6" x14ac:dyDescent="0.35">
      <c r="A659" s="33"/>
      <c r="E659" s="34"/>
      <c r="F659" s="33"/>
    </row>
    <row r="660" spans="1:6" x14ac:dyDescent="0.35">
      <c r="A660" s="33"/>
      <c r="E660" s="34"/>
      <c r="F660" s="33"/>
    </row>
    <row r="661" spans="1:6" x14ac:dyDescent="0.35">
      <c r="A661" s="33"/>
      <c r="E661" s="34"/>
      <c r="F661" s="33"/>
    </row>
    <row r="662" spans="1:6" x14ac:dyDescent="0.35">
      <c r="A662" s="33"/>
      <c r="E662" s="34"/>
      <c r="F662" s="33"/>
    </row>
    <row r="663" spans="1:6" x14ac:dyDescent="0.35">
      <c r="A663" s="33"/>
      <c r="E663" s="34"/>
      <c r="F663" s="33"/>
    </row>
    <row r="664" spans="1:6" x14ac:dyDescent="0.35">
      <c r="A664" s="33"/>
      <c r="E664" s="34"/>
      <c r="F664" s="33"/>
    </row>
    <row r="665" spans="1:6" x14ac:dyDescent="0.35">
      <c r="A665" s="33"/>
      <c r="E665" s="34"/>
      <c r="F665" s="33"/>
    </row>
    <row r="666" spans="1:6" x14ac:dyDescent="0.35">
      <c r="A666" s="33"/>
      <c r="E666" s="34"/>
      <c r="F666" s="33"/>
    </row>
    <row r="667" spans="1:6" x14ac:dyDescent="0.35">
      <c r="A667" s="33"/>
      <c r="E667" s="34"/>
      <c r="F667" s="33"/>
    </row>
    <row r="668" spans="1:6" x14ac:dyDescent="0.35">
      <c r="A668" s="33"/>
      <c r="E668" s="34"/>
      <c r="F668" s="33"/>
    </row>
    <row r="669" spans="1:6" x14ac:dyDescent="0.35">
      <c r="A669" s="33"/>
      <c r="E669" s="34"/>
      <c r="F669" s="33"/>
    </row>
    <row r="670" spans="1:6" x14ac:dyDescent="0.35">
      <c r="A670" s="33"/>
      <c r="E670" s="34"/>
      <c r="F670" s="33"/>
    </row>
    <row r="671" spans="1:6" x14ac:dyDescent="0.35">
      <c r="A671" s="33"/>
      <c r="E671" s="34"/>
      <c r="F671" s="33"/>
    </row>
    <row r="672" spans="1:6" x14ac:dyDescent="0.35">
      <c r="A672" s="33"/>
      <c r="E672" s="34"/>
      <c r="F672" s="33"/>
    </row>
    <row r="673" spans="1:6" x14ac:dyDescent="0.35">
      <c r="A673" s="33"/>
      <c r="E673" s="34"/>
      <c r="F673" s="33"/>
    </row>
    <row r="674" spans="1:6" x14ac:dyDescent="0.35">
      <c r="A674" s="33"/>
      <c r="E674" s="34"/>
      <c r="F674" s="33"/>
    </row>
    <row r="675" spans="1:6" x14ac:dyDescent="0.35">
      <c r="A675" s="33"/>
      <c r="E675" s="34"/>
      <c r="F675" s="33"/>
    </row>
    <row r="676" spans="1:6" x14ac:dyDescent="0.35">
      <c r="A676" s="33"/>
      <c r="E676" s="34"/>
      <c r="F676" s="33"/>
    </row>
    <row r="677" spans="1:6" x14ac:dyDescent="0.35">
      <c r="A677" s="33"/>
      <c r="E677" s="34"/>
      <c r="F677" s="33"/>
    </row>
    <row r="678" spans="1:6" x14ac:dyDescent="0.35">
      <c r="A678" s="33"/>
      <c r="E678" s="34"/>
      <c r="F678" s="33"/>
    </row>
    <row r="679" spans="1:6" x14ac:dyDescent="0.35">
      <c r="A679" s="33"/>
      <c r="E679" s="34"/>
      <c r="F679" s="33"/>
    </row>
    <row r="680" spans="1:6" x14ac:dyDescent="0.35">
      <c r="A680" s="33"/>
      <c r="E680" s="34"/>
      <c r="F680" s="33"/>
    </row>
    <row r="681" spans="1:6" x14ac:dyDescent="0.35">
      <c r="A681" s="33"/>
      <c r="E681" s="34"/>
      <c r="F681" s="33"/>
    </row>
    <row r="682" spans="1:6" x14ac:dyDescent="0.35">
      <c r="A682" s="33"/>
      <c r="E682" s="34"/>
      <c r="F682" s="33"/>
    </row>
    <row r="683" spans="1:6" x14ac:dyDescent="0.35">
      <c r="A683" s="33"/>
      <c r="E683" s="34"/>
      <c r="F683" s="33"/>
    </row>
    <row r="684" spans="1:6" x14ac:dyDescent="0.35">
      <c r="A684" s="33"/>
      <c r="E684" s="34"/>
      <c r="F684" s="33"/>
    </row>
    <row r="685" spans="1:6" x14ac:dyDescent="0.35">
      <c r="A685" s="33"/>
      <c r="E685" s="34"/>
      <c r="F685" s="33"/>
    </row>
    <row r="686" spans="1:6" x14ac:dyDescent="0.35">
      <c r="A686" s="33"/>
      <c r="E686" s="34"/>
      <c r="F686" s="33"/>
    </row>
    <row r="687" spans="1:6" x14ac:dyDescent="0.35">
      <c r="A687" s="33"/>
      <c r="E687" s="34"/>
      <c r="F687" s="33"/>
    </row>
    <row r="688" spans="1:6" x14ac:dyDescent="0.35">
      <c r="A688" s="33"/>
      <c r="E688" s="34"/>
      <c r="F688" s="33"/>
    </row>
    <row r="689" spans="1:6" x14ac:dyDescent="0.35">
      <c r="A689" s="33"/>
      <c r="E689" s="34"/>
      <c r="F689" s="33"/>
    </row>
    <row r="690" spans="1:6" x14ac:dyDescent="0.35">
      <c r="A690" s="33"/>
      <c r="E690" s="34"/>
      <c r="F690" s="33"/>
    </row>
    <row r="691" spans="1:6" x14ac:dyDescent="0.35">
      <c r="A691" s="33"/>
      <c r="E691" s="34"/>
      <c r="F691" s="33"/>
    </row>
    <row r="692" spans="1:6" x14ac:dyDescent="0.35">
      <c r="A692" s="33"/>
      <c r="E692" s="34"/>
      <c r="F692" s="33"/>
    </row>
    <row r="693" spans="1:6" x14ac:dyDescent="0.35">
      <c r="A693" s="33"/>
      <c r="E693" s="34"/>
      <c r="F693" s="33"/>
    </row>
    <row r="694" spans="1:6" x14ac:dyDescent="0.35">
      <c r="A694" s="33"/>
      <c r="E694" s="34"/>
      <c r="F694" s="33"/>
    </row>
    <row r="695" spans="1:6" x14ac:dyDescent="0.35">
      <c r="A695" s="33"/>
      <c r="E695" s="34"/>
      <c r="F695" s="33"/>
    </row>
    <row r="696" spans="1:6" x14ac:dyDescent="0.35">
      <c r="A696" s="33"/>
      <c r="E696" s="34"/>
      <c r="F696" s="33"/>
    </row>
    <row r="697" spans="1:6" x14ac:dyDescent="0.35">
      <c r="A697" s="33"/>
      <c r="E697" s="34"/>
      <c r="F697" s="33"/>
    </row>
    <row r="698" spans="1:6" x14ac:dyDescent="0.35">
      <c r="A698" s="33"/>
      <c r="E698" s="34"/>
      <c r="F698" s="33"/>
    </row>
    <row r="699" spans="1:6" x14ac:dyDescent="0.35">
      <c r="A699" s="33"/>
      <c r="E699" s="34"/>
      <c r="F699" s="33"/>
    </row>
    <row r="700" spans="1:6" x14ac:dyDescent="0.35">
      <c r="A700" s="33"/>
      <c r="E700" s="34"/>
      <c r="F700" s="33"/>
    </row>
    <row r="701" spans="1:6" x14ac:dyDescent="0.35">
      <c r="A701" s="33"/>
      <c r="E701" s="34"/>
      <c r="F701" s="33"/>
    </row>
    <row r="702" spans="1:6" x14ac:dyDescent="0.35">
      <c r="A702" s="33"/>
      <c r="E702" s="34"/>
      <c r="F702" s="33"/>
    </row>
    <row r="703" spans="1:6" x14ac:dyDescent="0.35">
      <c r="A703" s="33"/>
      <c r="E703" s="34"/>
      <c r="F703" s="33"/>
    </row>
    <row r="704" spans="1:6" x14ac:dyDescent="0.35">
      <c r="A704" s="33"/>
      <c r="E704" s="34"/>
      <c r="F704" s="33"/>
    </row>
    <row r="705" spans="1:6" x14ac:dyDescent="0.35">
      <c r="A705" s="33"/>
      <c r="E705" s="34"/>
      <c r="F705" s="33"/>
    </row>
    <row r="706" spans="1:6" x14ac:dyDescent="0.35">
      <c r="A706" s="33"/>
      <c r="E706" s="34"/>
      <c r="F706" s="33"/>
    </row>
    <row r="707" spans="1:6" x14ac:dyDescent="0.35">
      <c r="A707" s="33"/>
      <c r="E707" s="34"/>
      <c r="F707" s="33"/>
    </row>
    <row r="708" spans="1:6" x14ac:dyDescent="0.35">
      <c r="A708" s="33"/>
      <c r="E708" s="34"/>
      <c r="F708" s="33"/>
    </row>
    <row r="709" spans="1:6" x14ac:dyDescent="0.35">
      <c r="A709" s="33"/>
      <c r="E709" s="34"/>
      <c r="F709" s="33"/>
    </row>
    <row r="710" spans="1:6" x14ac:dyDescent="0.35">
      <c r="A710" s="33"/>
      <c r="E710" s="34"/>
      <c r="F710" s="33"/>
    </row>
    <row r="711" spans="1:6" x14ac:dyDescent="0.35">
      <c r="A711" s="33"/>
      <c r="E711" s="34"/>
      <c r="F711" s="33"/>
    </row>
    <row r="712" spans="1:6" x14ac:dyDescent="0.35">
      <c r="A712" s="33"/>
      <c r="E712" s="34"/>
      <c r="F712" s="33"/>
    </row>
    <row r="713" spans="1:6" x14ac:dyDescent="0.35">
      <c r="A713" s="33"/>
      <c r="E713" s="34"/>
      <c r="F713" s="33"/>
    </row>
    <row r="714" spans="1:6" x14ac:dyDescent="0.35">
      <c r="A714" s="33"/>
      <c r="E714" s="34"/>
      <c r="F714" s="33"/>
    </row>
    <row r="715" spans="1:6" x14ac:dyDescent="0.35">
      <c r="A715" s="33"/>
      <c r="E715" s="34"/>
      <c r="F715" s="33"/>
    </row>
    <row r="716" spans="1:6" x14ac:dyDescent="0.35">
      <c r="A716" s="33"/>
      <c r="E716" s="34"/>
      <c r="F716" s="33"/>
    </row>
    <row r="717" spans="1:6" x14ac:dyDescent="0.35">
      <c r="A717" s="33"/>
      <c r="E717" s="34"/>
      <c r="F717" s="33"/>
    </row>
    <row r="718" spans="1:6" x14ac:dyDescent="0.35">
      <c r="A718" s="33"/>
      <c r="E718" s="34"/>
      <c r="F718" s="33"/>
    </row>
    <row r="719" spans="1:6" x14ac:dyDescent="0.35">
      <c r="A719" s="33"/>
      <c r="E719" s="34"/>
      <c r="F719" s="33"/>
    </row>
    <row r="720" spans="1:6" x14ac:dyDescent="0.35">
      <c r="A720" s="33"/>
      <c r="E720" s="34"/>
      <c r="F720" s="33"/>
    </row>
    <row r="721" spans="1:6" x14ac:dyDescent="0.35">
      <c r="A721" s="33"/>
      <c r="E721" s="34"/>
      <c r="F721" s="33"/>
    </row>
    <row r="722" spans="1:6" x14ac:dyDescent="0.35">
      <c r="A722" s="33"/>
      <c r="E722" s="34"/>
      <c r="F722" s="33"/>
    </row>
    <row r="723" spans="1:6" x14ac:dyDescent="0.35">
      <c r="A723" s="33"/>
      <c r="E723" s="34"/>
      <c r="F723" s="33"/>
    </row>
    <row r="724" spans="1:6" x14ac:dyDescent="0.35">
      <c r="A724" s="33"/>
      <c r="E724" s="34"/>
      <c r="F724" s="33"/>
    </row>
    <row r="725" spans="1:6" x14ac:dyDescent="0.35">
      <c r="A725" s="33"/>
      <c r="E725" s="34"/>
      <c r="F725" s="33"/>
    </row>
    <row r="726" spans="1:6" x14ac:dyDescent="0.35">
      <c r="A726" s="33"/>
      <c r="E726" s="34"/>
      <c r="F726" s="33"/>
    </row>
    <row r="727" spans="1:6" x14ac:dyDescent="0.35">
      <c r="A727" s="33"/>
      <c r="E727" s="34"/>
      <c r="F727" s="33"/>
    </row>
    <row r="728" spans="1:6" x14ac:dyDescent="0.35">
      <c r="A728" s="33"/>
      <c r="E728" s="34"/>
      <c r="F728" s="33"/>
    </row>
    <row r="729" spans="1:6" x14ac:dyDescent="0.35">
      <c r="A729" s="33"/>
      <c r="E729" s="34"/>
      <c r="F729" s="33"/>
    </row>
    <row r="730" spans="1:6" x14ac:dyDescent="0.35">
      <c r="A730" s="33"/>
      <c r="E730" s="34"/>
      <c r="F730" s="33"/>
    </row>
    <row r="731" spans="1:6" x14ac:dyDescent="0.35">
      <c r="A731" s="33"/>
      <c r="E731" s="34"/>
      <c r="F731" s="33"/>
    </row>
    <row r="732" spans="1:6" x14ac:dyDescent="0.35">
      <c r="A732" s="33"/>
      <c r="E732" s="34"/>
      <c r="F732" s="33"/>
    </row>
    <row r="733" spans="1:6" x14ac:dyDescent="0.35">
      <c r="A733" s="33"/>
      <c r="E733" s="34"/>
      <c r="F733" s="33"/>
    </row>
    <row r="734" spans="1:6" x14ac:dyDescent="0.35">
      <c r="A734" s="33"/>
      <c r="E734" s="34"/>
      <c r="F734" s="33"/>
    </row>
    <row r="735" spans="1:6" x14ac:dyDescent="0.35">
      <c r="A735" s="33"/>
      <c r="E735" s="34"/>
      <c r="F735" s="33"/>
    </row>
    <row r="736" spans="1:6" x14ac:dyDescent="0.35">
      <c r="A736" s="33"/>
      <c r="E736" s="34"/>
      <c r="F736" s="33"/>
    </row>
    <row r="737" spans="1:6" x14ac:dyDescent="0.35">
      <c r="A737" s="33"/>
      <c r="E737" s="34"/>
      <c r="F737" s="33"/>
    </row>
    <row r="738" spans="1:6" x14ac:dyDescent="0.35">
      <c r="A738" s="33"/>
      <c r="E738" s="34"/>
      <c r="F738" s="33"/>
    </row>
    <row r="739" spans="1:6" x14ac:dyDescent="0.35">
      <c r="A739" s="33"/>
      <c r="E739" s="34"/>
      <c r="F739" s="33"/>
    </row>
    <row r="740" spans="1:6" x14ac:dyDescent="0.35">
      <c r="A740" s="33"/>
      <c r="E740" s="34"/>
      <c r="F740" s="33"/>
    </row>
    <row r="741" spans="1:6" x14ac:dyDescent="0.35">
      <c r="A741" s="33"/>
      <c r="E741" s="34"/>
      <c r="F741" s="33"/>
    </row>
    <row r="742" spans="1:6" x14ac:dyDescent="0.35">
      <c r="A742" s="33"/>
      <c r="E742" s="34"/>
      <c r="F742" s="33"/>
    </row>
    <row r="743" spans="1:6" x14ac:dyDescent="0.35">
      <c r="A743" s="33"/>
      <c r="E743" s="34"/>
      <c r="F743" s="33"/>
    </row>
    <row r="744" spans="1:6" x14ac:dyDescent="0.35">
      <c r="A744" s="33"/>
      <c r="E744" s="34"/>
      <c r="F744" s="33"/>
    </row>
    <row r="745" spans="1:6" x14ac:dyDescent="0.35">
      <c r="A745" s="33"/>
      <c r="E745" s="34"/>
      <c r="F745" s="33"/>
    </row>
    <row r="746" spans="1:6" x14ac:dyDescent="0.35">
      <c r="A746" s="33"/>
      <c r="E746" s="34"/>
      <c r="F746" s="33"/>
    </row>
    <row r="747" spans="1:6" x14ac:dyDescent="0.35">
      <c r="A747" s="33"/>
      <c r="E747" s="34"/>
      <c r="F747" s="33"/>
    </row>
    <row r="748" spans="1:6" x14ac:dyDescent="0.35">
      <c r="A748" s="33"/>
      <c r="E748" s="34"/>
      <c r="F748" s="33"/>
    </row>
    <row r="749" spans="1:6" x14ac:dyDescent="0.35">
      <c r="A749" s="33"/>
      <c r="E749" s="34"/>
      <c r="F749" s="33"/>
    </row>
    <row r="750" spans="1:6" x14ac:dyDescent="0.35">
      <c r="A750" s="33"/>
      <c r="E750" s="34"/>
      <c r="F750" s="33"/>
    </row>
    <row r="751" spans="1:6" x14ac:dyDescent="0.35">
      <c r="A751" s="33"/>
      <c r="E751" s="34"/>
      <c r="F751" s="33"/>
    </row>
    <row r="752" spans="1:6" x14ac:dyDescent="0.35">
      <c r="A752" s="33"/>
      <c r="E752" s="34"/>
      <c r="F752" s="33"/>
    </row>
    <row r="753" spans="1:6" x14ac:dyDescent="0.35">
      <c r="A753" s="33"/>
      <c r="E753" s="34"/>
      <c r="F753" s="33"/>
    </row>
    <row r="754" spans="1:6" x14ac:dyDescent="0.35">
      <c r="A754" s="33"/>
      <c r="E754" s="34"/>
      <c r="F754" s="33"/>
    </row>
    <row r="755" spans="1:6" x14ac:dyDescent="0.35">
      <c r="A755" s="33"/>
      <c r="E755" s="34"/>
      <c r="F755" s="33"/>
    </row>
    <row r="756" spans="1:6" x14ac:dyDescent="0.35">
      <c r="A756" s="33"/>
      <c r="E756" s="34"/>
      <c r="F756" s="33"/>
    </row>
    <row r="757" spans="1:6" x14ac:dyDescent="0.35">
      <c r="A757" s="33"/>
      <c r="E757" s="34"/>
      <c r="F757" s="33"/>
    </row>
    <row r="758" spans="1:6" x14ac:dyDescent="0.35">
      <c r="A758" s="33"/>
      <c r="E758" s="34"/>
      <c r="F758" s="33"/>
    </row>
    <row r="759" spans="1:6" x14ac:dyDescent="0.35">
      <c r="A759" s="33"/>
      <c r="E759" s="34"/>
      <c r="F759" s="33"/>
    </row>
    <row r="760" spans="1:6" x14ac:dyDescent="0.35">
      <c r="A760" s="33"/>
      <c r="E760" s="34"/>
      <c r="F760" s="33"/>
    </row>
    <row r="761" spans="1:6" x14ac:dyDescent="0.35">
      <c r="A761" s="33"/>
      <c r="E761" s="34"/>
      <c r="F761" s="33"/>
    </row>
    <row r="762" spans="1:6" x14ac:dyDescent="0.35">
      <c r="A762" s="33"/>
      <c r="E762" s="34"/>
      <c r="F762" s="33"/>
    </row>
    <row r="763" spans="1:6" x14ac:dyDescent="0.35">
      <c r="A763" s="33"/>
      <c r="E763" s="34"/>
      <c r="F763" s="33"/>
    </row>
    <row r="764" spans="1:6" x14ac:dyDescent="0.35">
      <c r="A764" s="33"/>
      <c r="E764" s="34"/>
      <c r="F764" s="33"/>
    </row>
    <row r="765" spans="1:6" x14ac:dyDescent="0.35">
      <c r="A765" s="33"/>
      <c r="E765" s="34"/>
      <c r="F765" s="33"/>
    </row>
    <row r="766" spans="1:6" x14ac:dyDescent="0.35">
      <c r="A766" s="33"/>
      <c r="E766" s="34"/>
      <c r="F766" s="33"/>
    </row>
    <row r="767" spans="1:6" x14ac:dyDescent="0.35">
      <c r="A767" s="33"/>
      <c r="E767" s="34"/>
      <c r="F767" s="33"/>
    </row>
    <row r="768" spans="1:6" x14ac:dyDescent="0.35">
      <c r="A768" s="33"/>
      <c r="E768" s="34"/>
      <c r="F768" s="33"/>
    </row>
    <row r="769" spans="1:6" x14ac:dyDescent="0.35">
      <c r="A769" s="33"/>
      <c r="E769" s="34"/>
      <c r="F769" s="33"/>
    </row>
    <row r="770" spans="1:6" x14ac:dyDescent="0.35">
      <c r="A770" s="33"/>
      <c r="E770" s="34"/>
      <c r="F770" s="33"/>
    </row>
    <row r="771" spans="1:6" x14ac:dyDescent="0.35">
      <c r="A771" s="33"/>
      <c r="E771" s="34"/>
      <c r="F771" s="33"/>
    </row>
    <row r="772" spans="1:6" x14ac:dyDescent="0.35">
      <c r="A772" s="33"/>
      <c r="E772" s="34"/>
      <c r="F772" s="33"/>
    </row>
    <row r="773" spans="1:6" x14ac:dyDescent="0.35">
      <c r="A773" s="33"/>
      <c r="E773" s="34"/>
      <c r="F773" s="33"/>
    </row>
    <row r="774" spans="1:6" x14ac:dyDescent="0.35">
      <c r="A774" s="33"/>
      <c r="E774" s="34"/>
      <c r="F774" s="33"/>
    </row>
    <row r="775" spans="1:6" x14ac:dyDescent="0.35">
      <c r="A775" s="33"/>
      <c r="E775" s="34"/>
      <c r="F775" s="33"/>
    </row>
    <row r="776" spans="1:6" x14ac:dyDescent="0.35">
      <c r="A776" s="33"/>
      <c r="E776" s="34"/>
      <c r="F776" s="33"/>
    </row>
    <row r="777" spans="1:6" x14ac:dyDescent="0.35">
      <c r="A777" s="33"/>
      <c r="E777" s="34"/>
      <c r="F777" s="33"/>
    </row>
    <row r="778" spans="1:6" x14ac:dyDescent="0.35">
      <c r="A778" s="33"/>
      <c r="E778" s="34"/>
      <c r="F778" s="33"/>
    </row>
    <row r="779" spans="1:6" x14ac:dyDescent="0.35">
      <c r="A779" s="33"/>
      <c r="E779" s="34"/>
      <c r="F779" s="33"/>
    </row>
    <row r="780" spans="1:6" x14ac:dyDescent="0.35">
      <c r="A780" s="33"/>
      <c r="E780" s="34"/>
      <c r="F780" s="33"/>
    </row>
    <row r="781" spans="1:6" x14ac:dyDescent="0.35">
      <c r="A781" s="33"/>
      <c r="E781" s="34"/>
      <c r="F781" s="33"/>
    </row>
    <row r="782" spans="1:6" x14ac:dyDescent="0.35">
      <c r="A782" s="33"/>
      <c r="E782" s="34"/>
      <c r="F782" s="33"/>
    </row>
    <row r="783" spans="1:6" x14ac:dyDescent="0.35">
      <c r="A783" s="33"/>
      <c r="E783" s="34"/>
      <c r="F783" s="33"/>
    </row>
    <row r="784" spans="1:6" x14ac:dyDescent="0.35">
      <c r="A784" s="33"/>
      <c r="E784" s="34"/>
      <c r="F784" s="33"/>
    </row>
    <row r="785" spans="1:6" x14ac:dyDescent="0.35">
      <c r="A785" s="33"/>
      <c r="E785" s="34"/>
      <c r="F785" s="33"/>
    </row>
    <row r="786" spans="1:6" x14ac:dyDescent="0.35">
      <c r="A786" s="33"/>
      <c r="E786" s="34"/>
      <c r="F786" s="33"/>
    </row>
    <row r="787" spans="1:6" x14ac:dyDescent="0.35">
      <c r="A787" s="33"/>
      <c r="E787" s="34"/>
      <c r="F787" s="33"/>
    </row>
    <row r="788" spans="1:6" x14ac:dyDescent="0.35">
      <c r="A788" s="33"/>
      <c r="E788" s="34"/>
      <c r="F788" s="33"/>
    </row>
    <row r="789" spans="1:6" x14ac:dyDescent="0.35">
      <c r="A789" s="33"/>
      <c r="E789" s="34"/>
      <c r="F789" s="33"/>
    </row>
    <row r="790" spans="1:6" x14ac:dyDescent="0.35">
      <c r="A790" s="33"/>
      <c r="E790" s="34"/>
      <c r="F790" s="33"/>
    </row>
    <row r="791" spans="1:6" x14ac:dyDescent="0.35">
      <c r="A791" s="33"/>
      <c r="E791" s="34"/>
      <c r="F791" s="33"/>
    </row>
    <row r="792" spans="1:6" x14ac:dyDescent="0.35">
      <c r="A792" s="33"/>
      <c r="E792" s="34"/>
      <c r="F792" s="33"/>
    </row>
    <row r="793" spans="1:6" x14ac:dyDescent="0.35">
      <c r="A793" s="33"/>
      <c r="E793" s="34"/>
      <c r="F793" s="33"/>
    </row>
    <row r="794" spans="1:6" x14ac:dyDescent="0.35">
      <c r="A794" s="33"/>
      <c r="E794" s="34"/>
      <c r="F794" s="33"/>
    </row>
    <row r="795" spans="1:6" x14ac:dyDescent="0.35">
      <c r="A795" s="33"/>
      <c r="E795" s="34"/>
      <c r="F795" s="33"/>
    </row>
    <row r="796" spans="1:6" x14ac:dyDescent="0.35">
      <c r="A796" s="33"/>
      <c r="E796" s="34"/>
      <c r="F796" s="33"/>
    </row>
    <row r="797" spans="1:6" x14ac:dyDescent="0.35">
      <c r="A797" s="33"/>
      <c r="E797" s="34"/>
      <c r="F797" s="33"/>
    </row>
    <row r="798" spans="1:6" x14ac:dyDescent="0.35">
      <c r="A798" s="33"/>
      <c r="E798" s="34"/>
      <c r="F798" s="33"/>
    </row>
    <row r="799" spans="1:6" x14ac:dyDescent="0.35">
      <c r="A799" s="33"/>
      <c r="E799" s="34"/>
      <c r="F799" s="33"/>
    </row>
    <row r="800" spans="1:6" x14ac:dyDescent="0.35">
      <c r="A800" s="33"/>
      <c r="E800" s="34"/>
      <c r="F800" s="33"/>
    </row>
    <row r="801" spans="1:6" x14ac:dyDescent="0.35">
      <c r="A801" s="33"/>
      <c r="E801" s="34"/>
      <c r="F801" s="33"/>
    </row>
    <row r="802" spans="1:6" x14ac:dyDescent="0.35">
      <c r="A802" s="33"/>
      <c r="E802" s="34"/>
      <c r="F802" s="33"/>
    </row>
    <row r="803" spans="1:6" x14ac:dyDescent="0.35">
      <c r="A803" s="33"/>
      <c r="E803" s="34"/>
      <c r="F803" s="33"/>
    </row>
    <row r="804" spans="1:6" x14ac:dyDescent="0.35">
      <c r="A804" s="33"/>
      <c r="E804" s="34"/>
      <c r="F804" s="33"/>
    </row>
    <row r="805" spans="1:6" x14ac:dyDescent="0.35">
      <c r="A805" s="33"/>
      <c r="E805" s="34"/>
      <c r="F805" s="33"/>
    </row>
    <row r="806" spans="1:6" x14ac:dyDescent="0.35">
      <c r="A806" s="33"/>
      <c r="E806" s="34"/>
      <c r="F806" s="33"/>
    </row>
    <row r="807" spans="1:6" x14ac:dyDescent="0.35">
      <c r="A807" s="33"/>
      <c r="E807" s="34"/>
      <c r="F807" s="33"/>
    </row>
    <row r="808" spans="1:6" x14ac:dyDescent="0.35">
      <c r="A808" s="33"/>
      <c r="E808" s="34"/>
      <c r="F808" s="33"/>
    </row>
    <row r="809" spans="1:6" x14ac:dyDescent="0.35">
      <c r="A809" s="33"/>
      <c r="E809" s="34"/>
      <c r="F809" s="33"/>
    </row>
    <row r="810" spans="1:6" x14ac:dyDescent="0.35">
      <c r="A810" s="33"/>
      <c r="E810" s="34"/>
      <c r="F810" s="33"/>
    </row>
    <row r="811" spans="1:6" x14ac:dyDescent="0.35">
      <c r="A811" s="33"/>
      <c r="E811" s="34"/>
      <c r="F811" s="33"/>
    </row>
    <row r="812" spans="1:6" x14ac:dyDescent="0.35">
      <c r="A812" s="33"/>
      <c r="E812" s="34"/>
      <c r="F812" s="33"/>
    </row>
    <row r="813" spans="1:6" x14ac:dyDescent="0.35">
      <c r="A813" s="33"/>
      <c r="E813" s="34"/>
      <c r="F813" s="33"/>
    </row>
    <row r="814" spans="1:6" x14ac:dyDescent="0.35">
      <c r="A814" s="33"/>
      <c r="E814" s="34"/>
      <c r="F814" s="33"/>
    </row>
    <row r="815" spans="1:6" x14ac:dyDescent="0.35">
      <c r="A815" s="33"/>
      <c r="E815" s="34"/>
      <c r="F815" s="33"/>
    </row>
    <row r="816" spans="1:6" x14ac:dyDescent="0.35">
      <c r="A816" s="33"/>
      <c r="E816" s="34"/>
      <c r="F816" s="33"/>
    </row>
    <row r="817" spans="1:6" x14ac:dyDescent="0.35">
      <c r="A817" s="33"/>
      <c r="E817" s="34"/>
      <c r="F817" s="33"/>
    </row>
    <row r="818" spans="1:6" x14ac:dyDescent="0.35">
      <c r="A818" s="33"/>
      <c r="E818" s="34"/>
      <c r="F818" s="33"/>
    </row>
    <row r="819" spans="1:6" x14ac:dyDescent="0.35">
      <c r="A819" s="33"/>
      <c r="E819" s="34"/>
      <c r="F819" s="33"/>
    </row>
    <row r="820" spans="1:6" x14ac:dyDescent="0.35">
      <c r="A820" s="33"/>
      <c r="E820" s="34"/>
      <c r="F820" s="33"/>
    </row>
    <row r="821" spans="1:6" x14ac:dyDescent="0.35">
      <c r="A821" s="33"/>
      <c r="E821" s="34"/>
      <c r="F821" s="33"/>
    </row>
    <row r="822" spans="1:6" x14ac:dyDescent="0.35">
      <c r="A822" s="33"/>
      <c r="E822" s="34"/>
      <c r="F822" s="33"/>
    </row>
    <row r="823" spans="1:6" x14ac:dyDescent="0.35">
      <c r="A823" s="33"/>
      <c r="E823" s="34"/>
      <c r="F823" s="33"/>
    </row>
    <row r="824" spans="1:6" x14ac:dyDescent="0.35">
      <c r="A824" s="33"/>
      <c r="E824" s="34"/>
      <c r="F824" s="33"/>
    </row>
    <row r="825" spans="1:6" x14ac:dyDescent="0.35">
      <c r="A825" s="33"/>
      <c r="E825" s="34"/>
      <c r="F825" s="33"/>
    </row>
    <row r="826" spans="1:6" x14ac:dyDescent="0.35">
      <c r="A826" s="33"/>
      <c r="E826" s="34"/>
      <c r="F826" s="33"/>
    </row>
    <row r="827" spans="1:6" x14ac:dyDescent="0.35">
      <c r="A827" s="33"/>
      <c r="E827" s="34"/>
      <c r="F827" s="33"/>
    </row>
    <row r="828" spans="1:6" x14ac:dyDescent="0.35">
      <c r="A828" s="33"/>
      <c r="E828" s="34"/>
      <c r="F828" s="33"/>
    </row>
    <row r="829" spans="1:6" x14ac:dyDescent="0.35">
      <c r="A829" s="33"/>
      <c r="E829" s="34"/>
      <c r="F829" s="33"/>
    </row>
    <row r="830" spans="1:6" x14ac:dyDescent="0.35">
      <c r="A830" s="33"/>
      <c r="E830" s="34"/>
      <c r="F830" s="33"/>
    </row>
    <row r="831" spans="1:6" x14ac:dyDescent="0.35">
      <c r="A831" s="33"/>
      <c r="E831" s="34"/>
      <c r="F831" s="33"/>
    </row>
    <row r="832" spans="1:6" x14ac:dyDescent="0.35">
      <c r="A832" s="33"/>
      <c r="E832" s="34"/>
      <c r="F832" s="33"/>
    </row>
    <row r="833" spans="1:6" x14ac:dyDescent="0.35">
      <c r="A833" s="33"/>
      <c r="E833" s="34"/>
      <c r="F833" s="33"/>
    </row>
    <row r="834" spans="1:6" x14ac:dyDescent="0.35">
      <c r="A834" s="33"/>
      <c r="E834" s="34"/>
      <c r="F834" s="33"/>
    </row>
    <row r="835" spans="1:6" x14ac:dyDescent="0.35">
      <c r="A835" s="33"/>
      <c r="E835" s="34"/>
      <c r="F835" s="33"/>
    </row>
    <row r="836" spans="1:6" x14ac:dyDescent="0.35">
      <c r="A836" s="33"/>
      <c r="E836" s="34"/>
      <c r="F836" s="33"/>
    </row>
    <row r="837" spans="1:6" x14ac:dyDescent="0.35">
      <c r="A837" s="33"/>
      <c r="E837" s="34"/>
      <c r="F837" s="33"/>
    </row>
    <row r="838" spans="1:6" x14ac:dyDescent="0.35">
      <c r="A838" s="33"/>
      <c r="E838" s="34"/>
      <c r="F838" s="33"/>
    </row>
    <row r="839" spans="1:6" x14ac:dyDescent="0.35">
      <c r="A839" s="33"/>
      <c r="E839" s="34"/>
      <c r="F839" s="33"/>
    </row>
    <row r="840" spans="1:6" x14ac:dyDescent="0.35">
      <c r="A840" s="33"/>
      <c r="E840" s="34"/>
      <c r="F840" s="33"/>
    </row>
    <row r="841" spans="1:6" x14ac:dyDescent="0.35">
      <c r="A841" s="33"/>
      <c r="E841" s="34"/>
      <c r="F841" s="33"/>
    </row>
    <row r="842" spans="1:6" x14ac:dyDescent="0.35">
      <c r="A842" s="33"/>
      <c r="E842" s="34"/>
      <c r="F842" s="33"/>
    </row>
    <row r="843" spans="1:6" x14ac:dyDescent="0.35">
      <c r="A843" s="33"/>
      <c r="E843" s="34"/>
      <c r="F843" s="33"/>
    </row>
    <row r="844" spans="1:6" x14ac:dyDescent="0.35">
      <c r="A844" s="33"/>
      <c r="E844" s="34"/>
      <c r="F844" s="33"/>
    </row>
    <row r="845" spans="1:6" x14ac:dyDescent="0.35">
      <c r="A845" s="33"/>
      <c r="E845" s="34"/>
      <c r="F845" s="33"/>
    </row>
    <row r="846" spans="1:6" x14ac:dyDescent="0.35">
      <c r="A846" s="33"/>
      <c r="E846" s="34"/>
      <c r="F846" s="33"/>
    </row>
    <row r="847" spans="1:6" x14ac:dyDescent="0.35">
      <c r="A847" s="33"/>
      <c r="E847" s="34"/>
      <c r="F847" s="33"/>
    </row>
    <row r="848" spans="1:6" x14ac:dyDescent="0.35">
      <c r="A848" s="33"/>
      <c r="E848" s="34"/>
      <c r="F848" s="33"/>
    </row>
    <row r="849" spans="1:6" x14ac:dyDescent="0.35">
      <c r="A849" s="33"/>
      <c r="E849" s="34"/>
      <c r="F849" s="33"/>
    </row>
    <row r="850" spans="1:6" x14ac:dyDescent="0.35">
      <c r="A850" s="33"/>
      <c r="E850" s="34"/>
      <c r="F850" s="33"/>
    </row>
    <row r="851" spans="1:6" x14ac:dyDescent="0.35">
      <c r="A851" s="33"/>
      <c r="E851" s="34"/>
      <c r="F851" s="33"/>
    </row>
    <row r="852" spans="1:6" x14ac:dyDescent="0.35">
      <c r="A852" s="33"/>
      <c r="E852" s="34"/>
      <c r="F852" s="33"/>
    </row>
    <row r="853" spans="1:6" x14ac:dyDescent="0.35">
      <c r="A853" s="33"/>
      <c r="E853" s="34"/>
      <c r="F853" s="33"/>
    </row>
    <row r="854" spans="1:6" x14ac:dyDescent="0.35">
      <c r="A854" s="33"/>
      <c r="E854" s="34"/>
      <c r="F854" s="33"/>
    </row>
    <row r="855" spans="1:6" x14ac:dyDescent="0.35">
      <c r="A855" s="33"/>
      <c r="E855" s="34"/>
      <c r="F855" s="33"/>
    </row>
    <row r="856" spans="1:6" x14ac:dyDescent="0.35">
      <c r="A856" s="33"/>
      <c r="E856" s="34"/>
      <c r="F856" s="33"/>
    </row>
    <row r="857" spans="1:6" x14ac:dyDescent="0.35">
      <c r="A857" s="33"/>
      <c r="E857" s="34"/>
      <c r="F857" s="33"/>
    </row>
    <row r="858" spans="1:6" x14ac:dyDescent="0.35">
      <c r="A858" s="33"/>
      <c r="E858" s="34"/>
      <c r="F858" s="33"/>
    </row>
    <row r="859" spans="1:6" x14ac:dyDescent="0.35">
      <c r="A859" s="33"/>
      <c r="E859" s="34"/>
      <c r="F859" s="33"/>
    </row>
    <row r="860" spans="1:6" x14ac:dyDescent="0.35">
      <c r="A860" s="33"/>
      <c r="E860" s="34"/>
      <c r="F860" s="33"/>
    </row>
    <row r="861" spans="1:6" x14ac:dyDescent="0.35">
      <c r="A861" s="33"/>
      <c r="E861" s="34"/>
      <c r="F861" s="33"/>
    </row>
    <row r="862" spans="1:6" x14ac:dyDescent="0.35">
      <c r="A862" s="33"/>
      <c r="E862" s="34"/>
      <c r="F862" s="33"/>
    </row>
    <row r="863" spans="1:6" x14ac:dyDescent="0.35">
      <c r="A863" s="33"/>
      <c r="E863" s="34"/>
      <c r="F863" s="33"/>
    </row>
    <row r="864" spans="1:6" x14ac:dyDescent="0.35">
      <c r="A864" s="33"/>
      <c r="E864" s="34"/>
      <c r="F864" s="33"/>
    </row>
    <row r="865" spans="1:6" x14ac:dyDescent="0.35">
      <c r="A865" s="33"/>
      <c r="E865" s="34"/>
      <c r="F865" s="33"/>
    </row>
    <row r="866" spans="1:6" x14ac:dyDescent="0.35">
      <c r="A866" s="33"/>
      <c r="E866" s="34"/>
      <c r="F866" s="33"/>
    </row>
    <row r="867" spans="1:6" x14ac:dyDescent="0.35">
      <c r="A867" s="33"/>
      <c r="E867" s="34"/>
      <c r="F867" s="33"/>
    </row>
    <row r="868" spans="1:6" x14ac:dyDescent="0.35">
      <c r="A868" s="33"/>
      <c r="E868" s="34"/>
      <c r="F868" s="33"/>
    </row>
    <row r="869" spans="1:6" x14ac:dyDescent="0.35">
      <c r="A869" s="33"/>
      <c r="E869" s="34"/>
      <c r="F869" s="33"/>
    </row>
    <row r="870" spans="1:6" x14ac:dyDescent="0.35">
      <c r="A870" s="33"/>
      <c r="E870" s="34"/>
      <c r="F870" s="33"/>
    </row>
    <row r="871" spans="1:6" x14ac:dyDescent="0.35">
      <c r="A871" s="33"/>
      <c r="E871" s="34"/>
      <c r="F871" s="33"/>
    </row>
    <row r="872" spans="1:6" x14ac:dyDescent="0.35">
      <c r="A872" s="33"/>
      <c r="E872" s="34"/>
      <c r="F872" s="33"/>
    </row>
    <row r="873" spans="1:6" x14ac:dyDescent="0.35">
      <c r="A873" s="33"/>
      <c r="E873" s="34"/>
      <c r="F873" s="33"/>
    </row>
    <row r="874" spans="1:6" x14ac:dyDescent="0.35">
      <c r="A874" s="33"/>
      <c r="E874" s="34"/>
      <c r="F874" s="33"/>
    </row>
    <row r="875" spans="1:6" x14ac:dyDescent="0.35">
      <c r="A875" s="33"/>
      <c r="E875" s="34"/>
      <c r="F875" s="33"/>
    </row>
    <row r="876" spans="1:6" x14ac:dyDescent="0.35">
      <c r="A876" s="33"/>
      <c r="E876" s="34"/>
      <c r="F876" s="33"/>
    </row>
    <row r="877" spans="1:6" x14ac:dyDescent="0.35">
      <c r="A877" s="33"/>
      <c r="E877" s="34"/>
      <c r="F877" s="33"/>
    </row>
    <row r="878" spans="1:6" x14ac:dyDescent="0.35">
      <c r="A878" s="33"/>
      <c r="E878" s="34"/>
      <c r="F878" s="33"/>
    </row>
    <row r="879" spans="1:6" x14ac:dyDescent="0.35">
      <c r="A879" s="33"/>
      <c r="E879" s="34"/>
      <c r="F879" s="33"/>
    </row>
    <row r="880" spans="1:6" x14ac:dyDescent="0.35">
      <c r="A880" s="33"/>
      <c r="E880" s="34"/>
      <c r="F880" s="33"/>
    </row>
    <row r="881" spans="1:6" x14ac:dyDescent="0.35">
      <c r="A881" s="33"/>
      <c r="E881" s="34"/>
      <c r="F881" s="33"/>
    </row>
    <row r="882" spans="1:6" x14ac:dyDescent="0.35">
      <c r="A882" s="33"/>
      <c r="E882" s="34"/>
      <c r="F882" s="33"/>
    </row>
    <row r="883" spans="1:6" x14ac:dyDescent="0.35">
      <c r="A883" s="33"/>
      <c r="E883" s="34"/>
      <c r="F883" s="33"/>
    </row>
    <row r="884" spans="1:6" x14ac:dyDescent="0.35">
      <c r="A884" s="33"/>
      <c r="E884" s="34"/>
      <c r="F884" s="33"/>
    </row>
    <row r="885" spans="1:6" x14ac:dyDescent="0.35">
      <c r="A885" s="33"/>
      <c r="E885" s="34"/>
      <c r="F885" s="33"/>
    </row>
    <row r="886" spans="1:6" x14ac:dyDescent="0.35">
      <c r="A886" s="33"/>
      <c r="E886" s="34"/>
      <c r="F886" s="33"/>
    </row>
    <row r="887" spans="1:6" x14ac:dyDescent="0.35">
      <c r="A887" s="33"/>
      <c r="E887" s="34"/>
      <c r="F887" s="33"/>
    </row>
    <row r="888" spans="1:6" x14ac:dyDescent="0.35">
      <c r="A888" s="33"/>
      <c r="E888" s="34"/>
      <c r="F888" s="33"/>
    </row>
    <row r="889" spans="1:6" x14ac:dyDescent="0.35">
      <c r="A889" s="33"/>
      <c r="E889" s="34"/>
      <c r="F889" s="33"/>
    </row>
    <row r="890" spans="1:6" x14ac:dyDescent="0.35">
      <c r="A890" s="33"/>
      <c r="E890" s="34"/>
      <c r="F890" s="33"/>
    </row>
    <row r="891" spans="1:6" x14ac:dyDescent="0.35">
      <c r="A891" s="33"/>
      <c r="E891" s="34"/>
      <c r="F891" s="33"/>
    </row>
    <row r="892" spans="1:6" x14ac:dyDescent="0.35">
      <c r="A892" s="33"/>
      <c r="E892" s="34"/>
      <c r="F892" s="33"/>
    </row>
    <row r="893" spans="1:6" x14ac:dyDescent="0.35">
      <c r="A893" s="33"/>
      <c r="E893" s="34"/>
      <c r="F893" s="33"/>
    </row>
    <row r="894" spans="1:6" x14ac:dyDescent="0.35">
      <c r="A894" s="33"/>
      <c r="E894" s="34"/>
      <c r="F894" s="33"/>
    </row>
    <row r="895" spans="1:6" x14ac:dyDescent="0.35">
      <c r="A895" s="33"/>
      <c r="E895" s="34"/>
      <c r="F895" s="33"/>
    </row>
    <row r="896" spans="1:6" x14ac:dyDescent="0.35">
      <c r="A896" s="33"/>
      <c r="E896" s="34"/>
      <c r="F896" s="33"/>
    </row>
    <row r="897" spans="1:6" x14ac:dyDescent="0.35">
      <c r="A897" s="33"/>
      <c r="E897" s="34"/>
      <c r="F897" s="33"/>
    </row>
    <row r="898" spans="1:6" x14ac:dyDescent="0.35">
      <c r="A898" s="33"/>
      <c r="E898" s="34"/>
      <c r="F898" s="33"/>
    </row>
    <row r="899" spans="1:6" x14ac:dyDescent="0.35">
      <c r="A899" s="33"/>
      <c r="E899" s="34"/>
      <c r="F899" s="33"/>
    </row>
    <row r="900" spans="1:6" x14ac:dyDescent="0.35">
      <c r="A900" s="33"/>
      <c r="E900" s="34"/>
      <c r="F900" s="33"/>
    </row>
    <row r="901" spans="1:6" x14ac:dyDescent="0.35">
      <c r="A901" s="33"/>
      <c r="E901" s="34"/>
      <c r="F901" s="33"/>
    </row>
    <row r="902" spans="1:6" x14ac:dyDescent="0.35">
      <c r="A902" s="33"/>
      <c r="E902" s="34"/>
      <c r="F902" s="33"/>
    </row>
    <row r="903" spans="1:6" x14ac:dyDescent="0.35">
      <c r="A903" s="33"/>
      <c r="E903" s="34"/>
      <c r="F903" s="33"/>
    </row>
    <row r="904" spans="1:6" x14ac:dyDescent="0.35">
      <c r="A904" s="33"/>
      <c r="E904" s="34"/>
      <c r="F904" s="33"/>
    </row>
    <row r="905" spans="1:6" x14ac:dyDescent="0.35">
      <c r="A905" s="33"/>
      <c r="E905" s="34"/>
      <c r="F905" s="33"/>
    </row>
    <row r="906" spans="1:6" x14ac:dyDescent="0.35">
      <c r="A906" s="33"/>
      <c r="E906" s="34"/>
      <c r="F906" s="33"/>
    </row>
    <row r="907" spans="1:6" x14ac:dyDescent="0.35">
      <c r="A907" s="33"/>
      <c r="E907" s="34"/>
      <c r="F907" s="33"/>
    </row>
    <row r="908" spans="1:6" x14ac:dyDescent="0.35">
      <c r="A908" s="33"/>
      <c r="E908" s="34"/>
      <c r="F908" s="33"/>
    </row>
    <row r="909" spans="1:6" x14ac:dyDescent="0.35">
      <c r="A909" s="33"/>
      <c r="E909" s="34"/>
      <c r="F909" s="33"/>
    </row>
    <row r="910" spans="1:6" x14ac:dyDescent="0.35">
      <c r="A910" s="33"/>
      <c r="E910" s="34"/>
      <c r="F910" s="33"/>
    </row>
    <row r="911" spans="1:6" x14ac:dyDescent="0.35">
      <c r="A911" s="33"/>
      <c r="E911" s="34"/>
      <c r="F911" s="33"/>
    </row>
    <row r="912" spans="1:6" x14ac:dyDescent="0.35">
      <c r="A912" s="33"/>
      <c r="E912" s="34"/>
      <c r="F912" s="33"/>
    </row>
    <row r="913" spans="1:6" x14ac:dyDescent="0.35">
      <c r="A913" s="33"/>
      <c r="E913" s="34"/>
      <c r="F913" s="33"/>
    </row>
    <row r="914" spans="1:6" x14ac:dyDescent="0.35">
      <c r="A914" s="33"/>
      <c r="E914" s="34"/>
      <c r="F914" s="33"/>
    </row>
    <row r="915" spans="1:6" x14ac:dyDescent="0.35">
      <c r="A915" s="33"/>
      <c r="E915" s="34"/>
      <c r="F915" s="33"/>
    </row>
    <row r="916" spans="1:6" x14ac:dyDescent="0.35">
      <c r="A916" s="33"/>
      <c r="E916" s="34"/>
      <c r="F916" s="33"/>
    </row>
    <row r="917" spans="1:6" x14ac:dyDescent="0.35">
      <c r="A917" s="33"/>
      <c r="E917" s="34"/>
      <c r="F917" s="33"/>
    </row>
    <row r="918" spans="1:6" x14ac:dyDescent="0.35">
      <c r="A918" s="33"/>
      <c r="E918" s="34"/>
      <c r="F918" s="33"/>
    </row>
    <row r="919" spans="1:6" x14ac:dyDescent="0.35">
      <c r="A919" s="33"/>
      <c r="E919" s="34"/>
      <c r="F919" s="33"/>
    </row>
    <row r="920" spans="1:6" x14ac:dyDescent="0.35">
      <c r="A920" s="33"/>
      <c r="E920" s="34"/>
      <c r="F920" s="33"/>
    </row>
    <row r="921" spans="1:6" x14ac:dyDescent="0.35">
      <c r="A921" s="33"/>
      <c r="E921" s="34"/>
      <c r="F921" s="33"/>
    </row>
    <row r="922" spans="1:6" x14ac:dyDescent="0.35">
      <c r="A922" s="33"/>
      <c r="E922" s="34"/>
      <c r="F922" s="33"/>
    </row>
    <row r="923" spans="1:6" x14ac:dyDescent="0.35">
      <c r="A923" s="33"/>
      <c r="E923" s="34"/>
      <c r="F923" s="33"/>
    </row>
    <row r="924" spans="1:6" x14ac:dyDescent="0.35">
      <c r="A924" s="33"/>
      <c r="E924" s="34"/>
      <c r="F924" s="33"/>
    </row>
    <row r="925" spans="1:6" x14ac:dyDescent="0.35">
      <c r="A925" s="33"/>
      <c r="E925" s="34"/>
      <c r="F925" s="33"/>
    </row>
    <row r="926" spans="1:6" x14ac:dyDescent="0.35">
      <c r="A926" s="33"/>
      <c r="E926" s="34"/>
      <c r="F926" s="33"/>
    </row>
    <row r="927" spans="1:6" x14ac:dyDescent="0.35">
      <c r="A927" s="33"/>
      <c r="E927" s="34"/>
      <c r="F927" s="33"/>
    </row>
    <row r="928" spans="1:6" x14ac:dyDescent="0.35">
      <c r="A928" s="33"/>
      <c r="E928" s="34"/>
      <c r="F928" s="33"/>
    </row>
    <row r="929" spans="1:6" x14ac:dyDescent="0.35">
      <c r="A929" s="33"/>
      <c r="E929" s="34"/>
      <c r="F929" s="33"/>
    </row>
    <row r="930" spans="1:6" x14ac:dyDescent="0.35">
      <c r="A930" s="33"/>
      <c r="E930" s="34"/>
      <c r="F930" s="33"/>
    </row>
    <row r="931" spans="1:6" x14ac:dyDescent="0.35">
      <c r="A931" s="33"/>
      <c r="E931" s="34"/>
      <c r="F931" s="33"/>
    </row>
    <row r="932" spans="1:6" x14ac:dyDescent="0.35">
      <c r="A932" s="33"/>
      <c r="E932" s="34"/>
      <c r="F932" s="33"/>
    </row>
    <row r="933" spans="1:6" x14ac:dyDescent="0.35">
      <c r="A933" s="33"/>
      <c r="E933" s="34"/>
      <c r="F933" s="33"/>
    </row>
    <row r="934" spans="1:6" x14ac:dyDescent="0.35">
      <c r="A934" s="33"/>
      <c r="E934" s="34"/>
      <c r="F934" s="33"/>
    </row>
    <row r="935" spans="1:6" x14ac:dyDescent="0.35">
      <c r="A935" s="33"/>
      <c r="E935" s="34"/>
      <c r="F935" s="33"/>
    </row>
    <row r="936" spans="1:6" x14ac:dyDescent="0.35">
      <c r="A936" s="33"/>
      <c r="E936" s="34"/>
      <c r="F936" s="33"/>
    </row>
    <row r="937" spans="1:6" x14ac:dyDescent="0.35">
      <c r="A937" s="33"/>
      <c r="E937" s="34"/>
      <c r="F937" s="33"/>
    </row>
    <row r="938" spans="1:6" x14ac:dyDescent="0.35">
      <c r="A938" s="33"/>
      <c r="E938" s="34"/>
      <c r="F938" s="33"/>
    </row>
    <row r="939" spans="1:6" x14ac:dyDescent="0.35">
      <c r="A939" s="33"/>
      <c r="E939" s="34"/>
      <c r="F939" s="33"/>
    </row>
    <row r="940" spans="1:6" x14ac:dyDescent="0.35">
      <c r="A940" s="33"/>
      <c r="E940" s="34"/>
      <c r="F940" s="33"/>
    </row>
    <row r="941" spans="1:6" x14ac:dyDescent="0.35">
      <c r="A941" s="33"/>
      <c r="E941" s="34"/>
      <c r="F941" s="33"/>
    </row>
    <row r="942" spans="1:6" x14ac:dyDescent="0.35">
      <c r="A942" s="33"/>
      <c r="E942" s="34"/>
      <c r="F942" s="33"/>
    </row>
    <row r="943" spans="1:6" x14ac:dyDescent="0.35">
      <c r="A943" s="33"/>
      <c r="E943" s="34"/>
      <c r="F943" s="33"/>
    </row>
    <row r="944" spans="1:6" x14ac:dyDescent="0.35">
      <c r="A944" s="33"/>
      <c r="E944" s="34"/>
      <c r="F944" s="33"/>
    </row>
    <row r="945" spans="1:6" x14ac:dyDescent="0.35">
      <c r="A945" s="33"/>
      <c r="E945" s="34"/>
      <c r="F945" s="33"/>
    </row>
    <row r="946" spans="1:6" x14ac:dyDescent="0.35">
      <c r="A946" s="33"/>
      <c r="E946" s="34"/>
      <c r="F946" s="33"/>
    </row>
    <row r="947" spans="1:6" x14ac:dyDescent="0.35">
      <c r="A947" s="33"/>
      <c r="E947" s="34"/>
      <c r="F947" s="33"/>
    </row>
    <row r="948" spans="1:6" x14ac:dyDescent="0.35">
      <c r="A948" s="33"/>
      <c r="E948" s="34"/>
      <c r="F948" s="33"/>
    </row>
    <row r="949" spans="1:6" x14ac:dyDescent="0.35">
      <c r="A949" s="33"/>
      <c r="E949" s="34"/>
      <c r="F949" s="33"/>
    </row>
    <row r="950" spans="1:6" x14ac:dyDescent="0.35">
      <c r="A950" s="33"/>
      <c r="E950" s="34"/>
      <c r="F950" s="33"/>
    </row>
    <row r="951" spans="1:6" x14ac:dyDescent="0.35">
      <c r="A951" s="33"/>
      <c r="E951" s="34"/>
      <c r="F951" s="33"/>
    </row>
    <row r="952" spans="1:6" x14ac:dyDescent="0.35">
      <c r="A952" s="33"/>
      <c r="E952" s="34"/>
      <c r="F952" s="33"/>
    </row>
    <row r="953" spans="1:6" x14ac:dyDescent="0.35">
      <c r="A953" s="33"/>
      <c r="E953" s="34"/>
      <c r="F953" s="33"/>
    </row>
    <row r="954" spans="1:6" x14ac:dyDescent="0.35">
      <c r="A954" s="33"/>
      <c r="E954" s="34"/>
      <c r="F954" s="33"/>
    </row>
    <row r="955" spans="1:6" x14ac:dyDescent="0.35">
      <c r="A955" s="33"/>
      <c r="E955" s="34"/>
      <c r="F955" s="33"/>
    </row>
    <row r="956" spans="1:6" x14ac:dyDescent="0.35">
      <c r="A956" s="33"/>
      <c r="E956" s="34"/>
      <c r="F956" s="33"/>
    </row>
    <row r="957" spans="1:6" x14ac:dyDescent="0.35">
      <c r="A957" s="33"/>
      <c r="E957" s="34"/>
      <c r="F957" s="33"/>
    </row>
    <row r="958" spans="1:6" x14ac:dyDescent="0.35">
      <c r="A958" s="33"/>
      <c r="E958" s="34"/>
      <c r="F958" s="33"/>
    </row>
    <row r="959" spans="1:6" x14ac:dyDescent="0.35">
      <c r="A959" s="33"/>
      <c r="E959" s="34"/>
      <c r="F959" s="33"/>
    </row>
    <row r="960" spans="1:6" x14ac:dyDescent="0.35">
      <c r="A960" s="33"/>
      <c r="E960" s="34"/>
      <c r="F960" s="33"/>
    </row>
    <row r="961" spans="1:6" x14ac:dyDescent="0.35">
      <c r="A961" s="33"/>
      <c r="E961" s="34"/>
      <c r="F961" s="33"/>
    </row>
    <row r="962" spans="1:6" x14ac:dyDescent="0.35">
      <c r="A962" s="33"/>
      <c r="E962" s="34"/>
      <c r="F962" s="33"/>
    </row>
    <row r="963" spans="1:6" x14ac:dyDescent="0.35">
      <c r="A963" s="33"/>
      <c r="E963" s="34"/>
      <c r="F963" s="33"/>
    </row>
    <row r="964" spans="1:6" x14ac:dyDescent="0.35">
      <c r="A964" s="33"/>
      <c r="E964" s="34"/>
      <c r="F964" s="33"/>
    </row>
    <row r="965" spans="1:6" x14ac:dyDescent="0.35">
      <c r="A965" s="33"/>
      <c r="E965" s="34"/>
      <c r="F965" s="33"/>
    </row>
    <row r="966" spans="1:6" x14ac:dyDescent="0.35">
      <c r="A966" s="33"/>
      <c r="E966" s="34"/>
      <c r="F966" s="33"/>
    </row>
    <row r="967" spans="1:6" x14ac:dyDescent="0.35">
      <c r="A967" s="33"/>
      <c r="E967" s="34"/>
      <c r="F967" s="33"/>
    </row>
    <row r="968" spans="1:6" x14ac:dyDescent="0.35">
      <c r="A968" s="33"/>
      <c r="E968" s="34"/>
      <c r="F968" s="33"/>
    </row>
    <row r="969" spans="1:6" x14ac:dyDescent="0.35">
      <c r="A969" s="33"/>
      <c r="E969" s="34"/>
      <c r="F969" s="33"/>
    </row>
    <row r="970" spans="1:6" x14ac:dyDescent="0.35">
      <c r="A970" s="33"/>
      <c r="E970" s="34"/>
      <c r="F970" s="33"/>
    </row>
    <row r="971" spans="1:6" x14ac:dyDescent="0.35">
      <c r="A971" s="33"/>
      <c r="E971" s="34"/>
      <c r="F971" s="33"/>
    </row>
    <row r="972" spans="1:6" x14ac:dyDescent="0.35">
      <c r="A972" s="33"/>
      <c r="E972" s="34"/>
      <c r="F972" s="33"/>
    </row>
    <row r="973" spans="1:6" x14ac:dyDescent="0.35">
      <c r="A973" s="33"/>
      <c r="E973" s="34"/>
      <c r="F973" s="33"/>
    </row>
    <row r="974" spans="1:6" x14ac:dyDescent="0.35">
      <c r="A974" s="33"/>
      <c r="E974" s="34"/>
      <c r="F974" s="33"/>
    </row>
    <row r="975" spans="1:6" x14ac:dyDescent="0.35">
      <c r="A975" s="33"/>
      <c r="E975" s="34"/>
      <c r="F975" s="33"/>
    </row>
    <row r="976" spans="1:6" x14ac:dyDescent="0.35">
      <c r="A976" s="33"/>
      <c r="E976" s="34"/>
      <c r="F976" s="33"/>
    </row>
    <row r="977" spans="1:6" x14ac:dyDescent="0.35">
      <c r="A977" s="33"/>
      <c r="E977" s="34"/>
      <c r="F977" s="33"/>
    </row>
    <row r="978" spans="1:6" x14ac:dyDescent="0.35">
      <c r="A978" s="33"/>
      <c r="E978" s="34"/>
      <c r="F978" s="33"/>
    </row>
    <row r="979" spans="1:6" x14ac:dyDescent="0.35">
      <c r="A979" s="33"/>
      <c r="E979" s="34"/>
      <c r="F979" s="33"/>
    </row>
    <row r="980" spans="1:6" x14ac:dyDescent="0.35">
      <c r="A980" s="33"/>
      <c r="E980" s="34"/>
      <c r="F980" s="33"/>
    </row>
    <row r="981" spans="1:6" x14ac:dyDescent="0.35">
      <c r="A981" s="33"/>
      <c r="E981" s="34"/>
      <c r="F981" s="33"/>
    </row>
    <row r="982" spans="1:6" x14ac:dyDescent="0.35">
      <c r="A982" s="33"/>
      <c r="E982" s="34"/>
      <c r="F982" s="33"/>
    </row>
    <row r="983" spans="1:6" x14ac:dyDescent="0.35">
      <c r="A983" s="33"/>
      <c r="E983" s="34"/>
      <c r="F983" s="33"/>
    </row>
    <row r="984" spans="1:6" x14ac:dyDescent="0.35">
      <c r="A984" s="33"/>
      <c r="E984" s="34"/>
      <c r="F984" s="33"/>
    </row>
    <row r="985" spans="1:6" x14ac:dyDescent="0.35">
      <c r="A985" s="33"/>
      <c r="E985" s="34"/>
      <c r="F985" s="33"/>
    </row>
    <row r="986" spans="1:6" x14ac:dyDescent="0.35">
      <c r="A986" s="33"/>
      <c r="E986" s="34"/>
      <c r="F986" s="33"/>
    </row>
    <row r="987" spans="1:6" x14ac:dyDescent="0.35">
      <c r="A987" s="33"/>
      <c r="E987" s="34"/>
      <c r="F987" s="33"/>
    </row>
    <row r="988" spans="1:6" x14ac:dyDescent="0.35">
      <c r="A988" s="33"/>
      <c r="E988" s="34"/>
      <c r="F988" s="33"/>
    </row>
    <row r="989" spans="1:6" x14ac:dyDescent="0.35">
      <c r="A989" s="33"/>
      <c r="E989" s="34"/>
      <c r="F989" s="33"/>
    </row>
  </sheetData>
  <autoFilter ref="A1:H224" xr:uid="{00000000-0009-0000-0000-000004000000}"/>
  <dataValidations count="2">
    <dataValidation type="list" allowBlank="1" showErrorMessage="1" sqref="A2:A989" xr:uid="{00000000-0002-0000-0400-000000000000}">
      <formula1>"Deepseek V3.2,Kimi K2.5,Qwen 3.5 397B A17B,Llama 4 Maverick,Opus 4.6,GPT 5.4,Gemini 3.1 Pro"</formula1>
      <formula2>0</formula2>
    </dataValidation>
    <dataValidation type="list" allowBlank="1" showErrorMessage="1" sqref="F2:F989" xr:uid="{00000000-0002-0000-0400-000001000000}">
      <formula1>"material,move_legality,piece_placement,piece_relations,geometry,reasoning,other/unsure"</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I224"/>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10" t="s">
        <v>6</v>
      </c>
      <c r="B1" s="10" t="s">
        <v>7</v>
      </c>
      <c r="C1" s="10" t="s">
        <v>8</v>
      </c>
      <c r="D1" s="10" t="s">
        <v>9</v>
      </c>
      <c r="E1" s="10" t="s">
        <v>10</v>
      </c>
      <c r="F1" s="10" t="s">
        <v>11</v>
      </c>
      <c r="G1" s="10" t="s">
        <v>12</v>
      </c>
      <c r="H1" s="10" t="s">
        <v>13</v>
      </c>
      <c r="I1" s="10" t="s">
        <v>14</v>
      </c>
    </row>
    <row r="2" spans="1:9" ht="13.15" x14ac:dyDescent="0.35">
      <c r="A2" s="21">
        <v>1</v>
      </c>
      <c r="B2" s="16">
        <f>'Data OPUS'!B2</f>
        <v>1</v>
      </c>
      <c r="C2" s="22" t="str">
        <f>'Data OPUS'!F2</f>
        <v>piece_placement</v>
      </c>
      <c r="D2" s="16" t="str">
        <f>LOWER(TRIM('Data OPUS'!H2))</f>
        <v>major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6</v>
      </c>
      <c r="F2" s="23">
        <f>IF(D2="major",Parameters!$B$14,IF(D2="medium",Parameters!$B$15,Parameters!$B$16))</f>
        <v>3</v>
      </c>
      <c r="G2" s="16">
        <f t="shared" ref="G2:G65" si="0">COUNTIFS($B$2:$B$224,B2,$C$2:$C$224,C2,$F$2:$F$224,"&gt;"&amp;F2)+COUNTIFS($B$2:$B$224,B2,$C$2:$C$224,C2,$F$2:$F$224,F2,$A$2:$A$224,"&lt;="&amp;A2)</f>
        <v>1</v>
      </c>
      <c r="H2" s="24">
        <f>Parameters!$B$20^(G2-1)</f>
        <v>1</v>
      </c>
      <c r="I2" s="18">
        <f t="shared" ref="I2:I65" si="1">E2*F2*H2</f>
        <v>18</v>
      </c>
    </row>
    <row r="3" spans="1:9" ht="13.15" x14ac:dyDescent="0.35">
      <c r="A3" s="21">
        <v>2</v>
      </c>
      <c r="B3" s="16">
        <f>'Data OPUS'!B3</f>
        <v>1</v>
      </c>
      <c r="C3" s="22" t="str">
        <f>'Data OPUS'!F3</f>
        <v>reasoning</v>
      </c>
      <c r="D3" s="16" t="str">
        <f>LOWER(TRIM('Data OPUS'!H3))</f>
        <v>major</v>
      </c>
      <c r="E3" s="23">
        <f>IF(ISNUMBER(SEARCH("move_legality",C3)),Parameters!$B$4,IF(ISNUMBER(SEARCH("piece_placement",C3)),Parameters!$B$5,IF(ISNUMBER(SEARCH("material",C3)),Parameters!$B$6,IF(ISNUMBER(SEARCH("piece_relations",C3)),Parameters!$B$7,IF(ISNUMBER(SEARCH("geometry",C3)),Parameters!$B$8,IF(ISNUMBER(SEARCH("reasoning",C3)),Parameters!$B$9,Parameters!$B$10))))))</f>
        <v>2</v>
      </c>
      <c r="F3" s="23">
        <f>IF(D3="major",Parameters!$B$14,IF(D3="medium",Parameters!$B$15,Parameters!$B$16))</f>
        <v>3</v>
      </c>
      <c r="G3" s="16">
        <f t="shared" si="0"/>
        <v>1</v>
      </c>
      <c r="H3" s="24">
        <f>Parameters!$B$20^(G3-1)</f>
        <v>1</v>
      </c>
      <c r="I3" s="18">
        <f t="shared" si="1"/>
        <v>6</v>
      </c>
    </row>
    <row r="4" spans="1:9" ht="13.15" x14ac:dyDescent="0.35">
      <c r="A4" s="21">
        <v>3</v>
      </c>
      <c r="B4" s="16">
        <f>'Data OPUS'!B4</f>
        <v>1</v>
      </c>
      <c r="C4" s="22" t="str">
        <f>'Data OPUS'!F4</f>
        <v>reasoning</v>
      </c>
      <c r="D4" s="16" t="str">
        <f>LOWER(TRIM('Data OPUS'!H4))</f>
        <v>minor</v>
      </c>
      <c r="E4" s="23">
        <f>IF(ISNUMBER(SEARCH("move_legality",C4)),Parameters!$B$4,IF(ISNUMBER(SEARCH("piece_placement",C4)),Parameters!$B$5,IF(ISNUMBER(SEARCH("material",C4)),Parameters!$B$6,IF(ISNUMBER(SEARCH("piece_relations",C4)),Parameters!$B$7,IF(ISNUMBER(SEARCH("geometry",C4)),Parameters!$B$8,IF(ISNUMBER(SEARCH("reasoning",C4)),Parameters!$B$9,Parameters!$B$10))))))</f>
        <v>2</v>
      </c>
      <c r="F4" s="23">
        <f>IF(D4="major",Parameters!$B$14,IF(D4="medium",Parameters!$B$15,Parameters!$B$16))</f>
        <v>1</v>
      </c>
      <c r="G4" s="16">
        <f t="shared" si="0"/>
        <v>2</v>
      </c>
      <c r="H4" s="24">
        <f>Parameters!$B$20^(G4-1)</f>
        <v>0.7</v>
      </c>
      <c r="I4" s="18">
        <f t="shared" si="1"/>
        <v>1.4</v>
      </c>
    </row>
    <row r="5" spans="1:9" ht="13.15" x14ac:dyDescent="0.35">
      <c r="A5" s="21">
        <v>4</v>
      </c>
      <c r="B5" s="16">
        <f>'Data OPUS'!B5</f>
        <v>2</v>
      </c>
      <c r="C5" s="22" t="str">
        <f>'Data OPUS'!F5</f>
        <v>piece_relations</v>
      </c>
      <c r="D5" s="16" t="str">
        <f>LOWER(TRIM('Data OPUS'!H5))</f>
        <v>major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4</v>
      </c>
      <c r="F5" s="23">
        <f>IF(D5="major",Parameters!$B$14,IF(D5="medium",Parameters!$B$15,Parameters!$B$16))</f>
        <v>3</v>
      </c>
      <c r="G5" s="16">
        <f t="shared" si="0"/>
        <v>1</v>
      </c>
      <c r="H5" s="24">
        <f>Parameters!$B$20^(G5-1)</f>
        <v>1</v>
      </c>
      <c r="I5" s="18">
        <f t="shared" si="1"/>
        <v>12</v>
      </c>
    </row>
    <row r="6" spans="1:9" ht="13.15" x14ac:dyDescent="0.35">
      <c r="A6" s="21">
        <v>5</v>
      </c>
      <c r="B6" s="16">
        <f>'Data OPUS'!B6</f>
        <v>2</v>
      </c>
      <c r="C6" s="22" t="str">
        <f>'Data OPUS'!F6</f>
        <v>reasoning</v>
      </c>
      <c r="D6" s="16" t="str">
        <f>LOWER(TRIM('Data OPUS'!H6))</f>
        <v>medium</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2</v>
      </c>
      <c r="G6" s="16">
        <f t="shared" si="0"/>
        <v>5</v>
      </c>
      <c r="H6" s="24">
        <f>Parameters!$B$20^(G6-1)</f>
        <v>0.24009999999999992</v>
      </c>
      <c r="I6" s="18">
        <f t="shared" si="1"/>
        <v>0.9603999999999997</v>
      </c>
    </row>
    <row r="7" spans="1:9" ht="13.15" x14ac:dyDescent="0.35">
      <c r="A7" s="21">
        <v>6</v>
      </c>
      <c r="B7" s="16">
        <f>'Data OPUS'!B7</f>
        <v>2</v>
      </c>
      <c r="C7" s="22" t="str">
        <f>'Data OPUS'!F7</f>
        <v>geometry</v>
      </c>
      <c r="D7" s="16" t="str">
        <f>LOWER(TRIM('Data OPUS'!H7))</f>
        <v>medium</v>
      </c>
      <c r="E7" s="23">
        <f>IF(ISNUMBER(SEARCH("move_legality",C7)),Parameters!$B$4,IF(ISNUMBER(SEARCH("piece_placement",C7)),Parameters!$B$5,IF(ISNUMBER(SEARCH("material",C7)),Parameters!$B$6,IF(ISNUMBER(SEARCH("piece_relations",C7)),Parameters!$B$7,IF(ISNUMBER(SEARCH("geometry",C7)),Parameters!$B$8,IF(ISNUMBER(SEARCH("reasoning",C7)),Parameters!$B$9,Parameters!$B$10))))))</f>
        <v>3</v>
      </c>
      <c r="F7" s="23">
        <f>IF(D7="major",Parameters!$B$14,IF(D7="medium",Parameters!$B$15,Parameters!$B$16))</f>
        <v>2</v>
      </c>
      <c r="G7" s="16">
        <f t="shared" si="0"/>
        <v>2</v>
      </c>
      <c r="H7" s="24">
        <f>Parameters!$B$20^(G7-1)</f>
        <v>0.7</v>
      </c>
      <c r="I7" s="18">
        <f t="shared" si="1"/>
        <v>4.1999999999999993</v>
      </c>
    </row>
    <row r="8" spans="1:9" ht="13.15" x14ac:dyDescent="0.35">
      <c r="A8" s="21">
        <v>7</v>
      </c>
      <c r="B8" s="16">
        <f>'Data OPUS'!B8</f>
        <v>2</v>
      </c>
      <c r="C8" s="22" t="str">
        <f>'Data OPUS'!F8</f>
        <v>move_legality</v>
      </c>
      <c r="D8" s="16" t="str">
        <f>LOWER(TRIM('Data OPUS'!H8))</f>
        <v>minor</v>
      </c>
      <c r="E8" s="23">
        <f>IF(ISNUMBER(SEARCH("move_legality",C8)),Parameters!$B$4,IF(ISNUMBER(SEARCH("piece_placement",C8)),Parameters!$B$5,IF(ISNUMBER(SEARCH("material",C8)),Parameters!$B$6,IF(ISNUMBER(SEARCH("piece_relations",C8)),Parameters!$B$7,IF(ISNUMBER(SEARCH("geometry",C8)),Parameters!$B$8,IF(ISNUMBER(SEARCH("reasoning",C8)),Parameters!$B$9,Parameters!$B$10))))))</f>
        <v>8</v>
      </c>
      <c r="F8" s="23">
        <f>IF(D8="major",Parameters!$B$14,IF(D8="medium",Parameters!$B$15,Parameters!$B$16))</f>
        <v>1</v>
      </c>
      <c r="G8" s="16">
        <f t="shared" si="0"/>
        <v>1</v>
      </c>
      <c r="H8" s="24">
        <f>Parameters!$B$20^(G8-1)</f>
        <v>1</v>
      </c>
      <c r="I8" s="18">
        <f t="shared" si="1"/>
        <v>8</v>
      </c>
    </row>
    <row r="9" spans="1:9" ht="13.15" x14ac:dyDescent="0.35">
      <c r="A9" s="21">
        <v>8</v>
      </c>
      <c r="B9" s="16">
        <f>'Data OPUS'!B9</f>
        <v>2</v>
      </c>
      <c r="C9" s="22" t="str">
        <f>'Data OPUS'!F9</f>
        <v>reasoning</v>
      </c>
      <c r="D9" s="16" t="str">
        <f>LOWER(TRIM('Data OPUS'!H9))</f>
        <v>major</v>
      </c>
      <c r="E9" s="23">
        <f>IF(ISNUMBER(SEARCH("move_legality",C9)),Parameters!$B$4,IF(ISNUMBER(SEARCH("piece_placement",C9)),Parameters!$B$5,IF(ISNUMBER(SEARCH("material",C9)),Parameters!$B$6,IF(ISNUMBER(SEARCH("piece_relations",C9)),Parameters!$B$7,IF(ISNUMBER(SEARCH("geometry",C9)),Parameters!$B$8,IF(ISNUMBER(SEARCH("reasoning",C9)),Parameters!$B$9,Parameters!$B$10))))))</f>
        <v>2</v>
      </c>
      <c r="F9" s="23">
        <f>IF(D9="major",Parameters!$B$14,IF(D9="medium",Parameters!$B$15,Parameters!$B$16))</f>
        <v>3</v>
      </c>
      <c r="G9" s="16">
        <f t="shared" si="0"/>
        <v>1</v>
      </c>
      <c r="H9" s="24">
        <f>Parameters!$B$20^(G9-1)</f>
        <v>1</v>
      </c>
      <c r="I9" s="18">
        <f t="shared" si="1"/>
        <v>6</v>
      </c>
    </row>
    <row r="10" spans="1:9" ht="13.15" x14ac:dyDescent="0.35">
      <c r="A10" s="21">
        <v>9</v>
      </c>
      <c r="B10" s="16">
        <f>'Data OPUS'!B10</f>
        <v>2</v>
      </c>
      <c r="C10" s="22" t="str">
        <f>'Data OPUS'!F10</f>
        <v>reasoning</v>
      </c>
      <c r="D10" s="16" t="str">
        <f>LOWER(TRIM('Data OPUS'!H10))</f>
        <v>major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2</v>
      </c>
      <c r="F10" s="23">
        <f>IF(D10="major",Parameters!$B$14,IF(D10="medium",Parameters!$B$15,Parameters!$B$16))</f>
        <v>3</v>
      </c>
      <c r="G10" s="16">
        <f t="shared" si="0"/>
        <v>2</v>
      </c>
      <c r="H10" s="24">
        <f>Parameters!$B$20^(G10-1)</f>
        <v>0.7</v>
      </c>
      <c r="I10" s="18">
        <f t="shared" si="1"/>
        <v>4.1999999999999993</v>
      </c>
    </row>
    <row r="11" spans="1:9" ht="13.15" x14ac:dyDescent="0.35">
      <c r="A11" s="21">
        <v>10</v>
      </c>
      <c r="B11" s="16">
        <f>'Data OPUS'!B11</f>
        <v>2</v>
      </c>
      <c r="C11" s="22" t="str">
        <f>'Data OPUS'!F11</f>
        <v>geometry</v>
      </c>
      <c r="D11" s="16" t="str">
        <f>LOWER(TRIM('Data OPUS'!H11))</f>
        <v>medium</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3</v>
      </c>
      <c r="F11" s="23">
        <f>IF(D11="major",Parameters!$B$14,IF(D11="medium",Parameters!$B$15,Parameters!$B$16))</f>
        <v>2</v>
      </c>
      <c r="G11" s="16">
        <f t="shared" si="0"/>
        <v>3</v>
      </c>
      <c r="H11" s="24">
        <f>Parameters!$B$20^(G11-1)</f>
        <v>0.48999999999999994</v>
      </c>
      <c r="I11" s="18">
        <f t="shared" si="1"/>
        <v>2.9399999999999995</v>
      </c>
    </row>
    <row r="12" spans="1:9" ht="13.15" x14ac:dyDescent="0.35">
      <c r="A12" s="21">
        <v>11</v>
      </c>
      <c r="B12" s="16">
        <f>'Data OPUS'!B12</f>
        <v>2</v>
      </c>
      <c r="C12" s="22" t="str">
        <f>'Data OPUS'!F12</f>
        <v>reasoning</v>
      </c>
      <c r="D12" s="16" t="str">
        <f>LOWER(TRIM('Data OPUS'!H12))</f>
        <v>major</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2</v>
      </c>
      <c r="F12" s="23">
        <f>IF(D12="major",Parameters!$B$14,IF(D12="medium",Parameters!$B$15,Parameters!$B$16))</f>
        <v>3</v>
      </c>
      <c r="G12" s="16">
        <f t="shared" si="0"/>
        <v>3</v>
      </c>
      <c r="H12" s="24">
        <f>Parameters!$B$20^(G12-1)</f>
        <v>0.48999999999999994</v>
      </c>
      <c r="I12" s="18">
        <f t="shared" si="1"/>
        <v>2.9399999999999995</v>
      </c>
    </row>
    <row r="13" spans="1:9" ht="13.15" x14ac:dyDescent="0.35">
      <c r="A13" s="21">
        <v>12</v>
      </c>
      <c r="B13" s="16">
        <f>'Data OPUS'!B13</f>
        <v>2</v>
      </c>
      <c r="C13" s="22" t="str">
        <f>'Data OPUS'!F13</f>
        <v>piece_placement</v>
      </c>
      <c r="D13" s="16" t="str">
        <f>LOWER(TRIM('Data OPUS'!H13))</f>
        <v>major</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6</v>
      </c>
      <c r="F13" s="23">
        <f>IF(D13="major",Parameters!$B$14,IF(D13="medium",Parameters!$B$15,Parameters!$B$16))</f>
        <v>3</v>
      </c>
      <c r="G13" s="16">
        <f t="shared" si="0"/>
        <v>1</v>
      </c>
      <c r="H13" s="24">
        <f>Parameters!$B$20^(G13-1)</f>
        <v>1</v>
      </c>
      <c r="I13" s="18">
        <f t="shared" si="1"/>
        <v>18</v>
      </c>
    </row>
    <row r="14" spans="1:9" ht="13.15" x14ac:dyDescent="0.35">
      <c r="A14" s="21">
        <v>13</v>
      </c>
      <c r="B14" s="16">
        <f>'Data OPUS'!B14</f>
        <v>2</v>
      </c>
      <c r="C14" s="22" t="str">
        <f>'Data OPUS'!F14</f>
        <v>move_legality</v>
      </c>
      <c r="D14" s="16" t="str">
        <f>LOWER(TRIM('Data OPUS'!H14))</f>
        <v>minor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8</v>
      </c>
      <c r="F14" s="23">
        <f>IF(D14="major",Parameters!$B$14,IF(D14="medium",Parameters!$B$15,Parameters!$B$16))</f>
        <v>1</v>
      </c>
      <c r="G14" s="16">
        <f t="shared" si="0"/>
        <v>2</v>
      </c>
      <c r="H14" s="24">
        <f>Parameters!$B$20^(G14-1)</f>
        <v>0.7</v>
      </c>
      <c r="I14" s="18">
        <f t="shared" si="1"/>
        <v>5.6</v>
      </c>
    </row>
    <row r="15" spans="1:9" ht="13.15" x14ac:dyDescent="0.35">
      <c r="A15" s="21">
        <v>14</v>
      </c>
      <c r="B15" s="16">
        <f>'Data OPUS'!B15</f>
        <v>2</v>
      </c>
      <c r="C15" s="22" t="str">
        <f>'Data OPUS'!F15</f>
        <v>geometry</v>
      </c>
      <c r="D15" s="16" t="str">
        <f>LOWER(TRIM('Data OPUS'!H15))</f>
        <v>major</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3</v>
      </c>
      <c r="F15" s="23">
        <f>IF(D15="major",Parameters!$B$14,IF(D15="medium",Parameters!$B$15,Parameters!$B$16))</f>
        <v>3</v>
      </c>
      <c r="G15" s="16">
        <f t="shared" si="0"/>
        <v>1</v>
      </c>
      <c r="H15" s="24">
        <f>Parameters!$B$20^(G15-1)</f>
        <v>1</v>
      </c>
      <c r="I15" s="18">
        <f t="shared" si="1"/>
        <v>9</v>
      </c>
    </row>
    <row r="16" spans="1:9" ht="13.15" x14ac:dyDescent="0.35">
      <c r="A16" s="21">
        <v>15</v>
      </c>
      <c r="B16" s="16">
        <f>'Data OPUS'!B16</f>
        <v>2</v>
      </c>
      <c r="C16" s="22" t="str">
        <f>'Data OPUS'!F16</f>
        <v>piece_relations</v>
      </c>
      <c r="D16" s="16" t="str">
        <f>LOWER(TRIM('Data OPUS'!H16))</f>
        <v>medium</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4</v>
      </c>
      <c r="F16" s="23">
        <f>IF(D16="major",Parameters!$B$14,IF(D16="medium",Parameters!$B$15,Parameters!$B$16))</f>
        <v>2</v>
      </c>
      <c r="G16" s="16">
        <f t="shared" si="0"/>
        <v>2</v>
      </c>
      <c r="H16" s="24">
        <f>Parameters!$B$20^(G16-1)</f>
        <v>0.7</v>
      </c>
      <c r="I16" s="18">
        <f t="shared" si="1"/>
        <v>5.6</v>
      </c>
    </row>
    <row r="17" spans="1:9" ht="13.15" x14ac:dyDescent="0.35">
      <c r="A17" s="21">
        <v>16</v>
      </c>
      <c r="B17" s="16">
        <f>'Data OPUS'!B17</f>
        <v>2</v>
      </c>
      <c r="C17" s="22" t="str">
        <f>'Data OPUS'!F17</f>
        <v>reasoning</v>
      </c>
      <c r="D17" s="16" t="str">
        <f>LOWER(TRIM('Data OPUS'!H17))</f>
        <v>major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2</v>
      </c>
      <c r="F17" s="23">
        <f>IF(D17="major",Parameters!$B$14,IF(D17="medium",Parameters!$B$15,Parameters!$B$16))</f>
        <v>3</v>
      </c>
      <c r="G17" s="16">
        <f t="shared" si="0"/>
        <v>4</v>
      </c>
      <c r="H17" s="24">
        <f>Parameters!$B$20^(G17-1)</f>
        <v>0.34299999999999992</v>
      </c>
      <c r="I17" s="18">
        <f t="shared" si="1"/>
        <v>2.0579999999999994</v>
      </c>
    </row>
    <row r="18" spans="1:9" ht="13.15" x14ac:dyDescent="0.35">
      <c r="A18" s="21">
        <v>17</v>
      </c>
      <c r="B18" s="16">
        <f>'Data OPUS'!B18</f>
        <v>3</v>
      </c>
      <c r="C18" s="22" t="str">
        <f>'Data OPUS'!F18</f>
        <v>piece_placement</v>
      </c>
      <c r="D18" s="16" t="str">
        <f>LOWER(TRIM('Data OPUS'!H18))</f>
        <v>major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6</v>
      </c>
      <c r="F18" s="23">
        <f>IF(D18="major",Parameters!$B$14,IF(D18="medium",Parameters!$B$15,Parameters!$B$16))</f>
        <v>3</v>
      </c>
      <c r="G18" s="16">
        <f t="shared" si="0"/>
        <v>1</v>
      </c>
      <c r="H18" s="24">
        <f>Parameters!$B$20^(G18-1)</f>
        <v>1</v>
      </c>
      <c r="I18" s="18">
        <f t="shared" si="1"/>
        <v>18</v>
      </c>
    </row>
    <row r="19" spans="1:9" ht="13.15" x14ac:dyDescent="0.35">
      <c r="A19" s="21">
        <v>18</v>
      </c>
      <c r="B19" s="16">
        <f>'Data OPUS'!B19</f>
        <v>3</v>
      </c>
      <c r="C19" s="22" t="str">
        <f>'Data OPUS'!F19</f>
        <v>piece_placement</v>
      </c>
      <c r="D19" s="16" t="str">
        <f>LOWER(TRIM('Data OPUS'!H19))</f>
        <v>major</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6</v>
      </c>
      <c r="F19" s="23">
        <f>IF(D19="major",Parameters!$B$14,IF(D19="medium",Parameters!$B$15,Parameters!$B$16))</f>
        <v>3</v>
      </c>
      <c r="G19" s="16">
        <f t="shared" si="0"/>
        <v>2</v>
      </c>
      <c r="H19" s="24">
        <f>Parameters!$B$20^(G19-1)</f>
        <v>0.7</v>
      </c>
      <c r="I19" s="18">
        <f t="shared" si="1"/>
        <v>12.6</v>
      </c>
    </row>
    <row r="20" spans="1:9" ht="13.15" x14ac:dyDescent="0.35">
      <c r="A20" s="21">
        <v>19</v>
      </c>
      <c r="B20" s="16">
        <f>'Data OPUS'!B20</f>
        <v>3</v>
      </c>
      <c r="C20" s="22" t="str">
        <f>'Data OPUS'!F20</f>
        <v>geometry</v>
      </c>
      <c r="D20" s="16" t="str">
        <f>LOWER(TRIM('Data OPUS'!H20))</f>
        <v>major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3</v>
      </c>
      <c r="F20" s="23">
        <f>IF(D20="major",Parameters!$B$14,IF(D20="medium",Parameters!$B$15,Parameters!$B$16))</f>
        <v>3</v>
      </c>
      <c r="G20" s="16">
        <f t="shared" si="0"/>
        <v>1</v>
      </c>
      <c r="H20" s="24">
        <f>Parameters!$B$20^(G20-1)</f>
        <v>1</v>
      </c>
      <c r="I20" s="18">
        <f t="shared" si="1"/>
        <v>9</v>
      </c>
    </row>
    <row r="21" spans="1:9" ht="13.15" x14ac:dyDescent="0.35">
      <c r="A21" s="21">
        <v>20</v>
      </c>
      <c r="B21" s="16">
        <f>'Data OPUS'!B21</f>
        <v>3</v>
      </c>
      <c r="C21" s="22" t="str">
        <f>'Data OPUS'!F21</f>
        <v>reasoning</v>
      </c>
      <c r="D21" s="16" t="str">
        <f>LOWER(TRIM('Data OPUS'!H21))</f>
        <v>minor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2</v>
      </c>
      <c r="F21" s="23">
        <f>IF(D21="major",Parameters!$B$14,IF(D21="medium",Parameters!$B$15,Parameters!$B$16))</f>
        <v>1</v>
      </c>
      <c r="G21" s="16">
        <f t="shared" si="0"/>
        <v>7</v>
      </c>
      <c r="H21" s="24">
        <f>Parameters!$B$20^(G21-1)</f>
        <v>0.11764899999999995</v>
      </c>
      <c r="I21" s="18">
        <f t="shared" si="1"/>
        <v>0.2352979999999999</v>
      </c>
    </row>
    <row r="22" spans="1:9" ht="13.15" x14ac:dyDescent="0.35">
      <c r="A22" s="21">
        <v>21</v>
      </c>
      <c r="B22" s="16">
        <f>'Data OPUS'!B22</f>
        <v>3</v>
      </c>
      <c r="C22" s="22" t="str">
        <f>'Data OPUS'!F22</f>
        <v>reasoning</v>
      </c>
      <c r="D22" s="16" t="str">
        <f>LOWER(TRIM('Data OPUS'!H22))</f>
        <v>medium</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2</v>
      </c>
      <c r="F22" s="23">
        <f>IF(D22="major",Parameters!$B$14,IF(D22="medium",Parameters!$B$15,Parameters!$B$16))</f>
        <v>2</v>
      </c>
      <c r="G22" s="16">
        <f t="shared" si="0"/>
        <v>3</v>
      </c>
      <c r="H22" s="24">
        <f>Parameters!$B$20^(G22-1)</f>
        <v>0.48999999999999994</v>
      </c>
      <c r="I22" s="18">
        <f t="shared" si="1"/>
        <v>1.9599999999999997</v>
      </c>
    </row>
    <row r="23" spans="1:9" ht="13.15" x14ac:dyDescent="0.35">
      <c r="A23" s="21">
        <v>22</v>
      </c>
      <c r="B23" s="16">
        <f>'Data OPUS'!B23</f>
        <v>3</v>
      </c>
      <c r="C23" s="22" t="str">
        <f>'Data OPUS'!F23</f>
        <v>material</v>
      </c>
      <c r="D23" s="16" t="str">
        <f>LOWER(TRIM('Data OPUS'!H23))</f>
        <v>medium</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5</v>
      </c>
      <c r="F23" s="23">
        <f>IF(D23="major",Parameters!$B$14,IF(D23="medium",Parameters!$B$15,Parameters!$B$16))</f>
        <v>2</v>
      </c>
      <c r="G23" s="16">
        <f t="shared" si="0"/>
        <v>3</v>
      </c>
      <c r="H23" s="24">
        <f>Parameters!$B$20^(G23-1)</f>
        <v>0.48999999999999994</v>
      </c>
      <c r="I23" s="18">
        <f t="shared" si="1"/>
        <v>4.8999999999999995</v>
      </c>
    </row>
    <row r="24" spans="1:9" ht="13.15" x14ac:dyDescent="0.35">
      <c r="A24" s="21">
        <v>23</v>
      </c>
      <c r="B24" s="16">
        <f>'Data OPUS'!B24</f>
        <v>3</v>
      </c>
      <c r="C24" s="22" t="str">
        <f>'Data OPUS'!F24</f>
        <v>geometry</v>
      </c>
      <c r="D24" s="16" t="str">
        <f>LOWER(TRIM('Data OPUS'!H24))</f>
        <v>medium</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3</v>
      </c>
      <c r="F24" s="23">
        <f>IF(D24="major",Parameters!$B$14,IF(D24="medium",Parameters!$B$15,Parameters!$B$16))</f>
        <v>2</v>
      </c>
      <c r="G24" s="16">
        <f t="shared" si="0"/>
        <v>2</v>
      </c>
      <c r="H24" s="24">
        <f>Parameters!$B$20^(G24-1)</f>
        <v>0.7</v>
      </c>
      <c r="I24" s="18">
        <f t="shared" si="1"/>
        <v>4.1999999999999993</v>
      </c>
    </row>
    <row r="25" spans="1:9" ht="13.15" x14ac:dyDescent="0.35">
      <c r="A25" s="21">
        <v>24</v>
      </c>
      <c r="B25" s="16">
        <f>'Data OPUS'!B25</f>
        <v>3</v>
      </c>
      <c r="C25" s="22" t="str">
        <f>'Data OPUS'!F25</f>
        <v>piece_placement</v>
      </c>
      <c r="D25" s="16" t="str">
        <f>LOWER(TRIM('Data OPUS'!H25))</f>
        <v>minor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6</v>
      </c>
      <c r="F25" s="23">
        <f>IF(D25="major",Parameters!$B$14,IF(D25="medium",Parameters!$B$15,Parameters!$B$16))</f>
        <v>1</v>
      </c>
      <c r="G25" s="16">
        <f t="shared" si="0"/>
        <v>6</v>
      </c>
      <c r="H25" s="24">
        <f>Parameters!$B$20^(G25-1)</f>
        <v>0.16806999999999994</v>
      </c>
      <c r="I25" s="18">
        <f t="shared" si="1"/>
        <v>1.0084199999999996</v>
      </c>
    </row>
    <row r="26" spans="1:9" ht="13.15" x14ac:dyDescent="0.35">
      <c r="A26" s="21">
        <v>25</v>
      </c>
      <c r="B26" s="16">
        <f>'Data OPUS'!B26</f>
        <v>3</v>
      </c>
      <c r="C26" s="22" t="str">
        <f>'Data OPUS'!F26</f>
        <v>reasoning</v>
      </c>
      <c r="D26" s="16" t="str">
        <f>LOWER(TRIM('Data OPUS'!H26))</f>
        <v>major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2</v>
      </c>
      <c r="F26" s="23">
        <f>IF(D26="major",Parameters!$B$14,IF(D26="medium",Parameters!$B$15,Parameters!$B$16))</f>
        <v>3</v>
      </c>
      <c r="G26" s="16">
        <f t="shared" si="0"/>
        <v>1</v>
      </c>
      <c r="H26" s="24">
        <f>Parameters!$B$20^(G26-1)</f>
        <v>1</v>
      </c>
      <c r="I26" s="18">
        <f t="shared" si="1"/>
        <v>6</v>
      </c>
    </row>
    <row r="27" spans="1:9" ht="13.15" x14ac:dyDescent="0.35">
      <c r="A27" s="21">
        <v>26</v>
      </c>
      <c r="B27" s="16">
        <f>'Data OPUS'!B27</f>
        <v>3</v>
      </c>
      <c r="C27" s="22" t="str">
        <f>'Data OPUS'!F27</f>
        <v>reasoning</v>
      </c>
      <c r="D27" s="16" t="str">
        <f>LOWER(TRIM('Data OPUS'!H27))</f>
        <v>medium</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2</v>
      </c>
      <c r="F27" s="23">
        <f>IF(D27="major",Parameters!$B$14,IF(D27="medium",Parameters!$B$15,Parameters!$B$16))</f>
        <v>2</v>
      </c>
      <c r="G27" s="16">
        <f t="shared" si="0"/>
        <v>4</v>
      </c>
      <c r="H27" s="24">
        <f>Parameters!$B$20^(G27-1)</f>
        <v>0.34299999999999992</v>
      </c>
      <c r="I27" s="18">
        <f t="shared" si="1"/>
        <v>1.3719999999999997</v>
      </c>
    </row>
    <row r="28" spans="1:9" ht="13.15" x14ac:dyDescent="0.35">
      <c r="A28" s="21">
        <v>27</v>
      </c>
      <c r="B28" s="16">
        <f>'Data OPUS'!B28</f>
        <v>3</v>
      </c>
      <c r="C28" s="22" t="str">
        <f>'Data OPUS'!F28</f>
        <v>reasoning</v>
      </c>
      <c r="D28" s="16" t="str">
        <f>LOWER(TRIM('Data OPUS'!H28))</f>
        <v>medium</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2</v>
      </c>
      <c r="F28" s="23">
        <f>IF(D28="major",Parameters!$B$14,IF(D28="medium",Parameters!$B$15,Parameters!$B$16))</f>
        <v>2</v>
      </c>
      <c r="G28" s="16">
        <f t="shared" si="0"/>
        <v>5</v>
      </c>
      <c r="H28" s="24">
        <f>Parameters!$B$20^(G28-1)</f>
        <v>0.24009999999999992</v>
      </c>
      <c r="I28" s="18">
        <f t="shared" si="1"/>
        <v>0.9603999999999997</v>
      </c>
    </row>
    <row r="29" spans="1:9" ht="13.15" x14ac:dyDescent="0.35">
      <c r="A29" s="21">
        <v>28</v>
      </c>
      <c r="B29" s="16">
        <f>'Data OPUS'!B29</f>
        <v>3</v>
      </c>
      <c r="C29" s="22" t="str">
        <f>'Data OPUS'!F29</f>
        <v>reasoning</v>
      </c>
      <c r="D29" s="16" t="str">
        <f>LOWER(TRIM('Data OPUS'!H29))</f>
        <v>medium</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2</v>
      </c>
      <c r="G29" s="16">
        <f t="shared" si="0"/>
        <v>6</v>
      </c>
      <c r="H29" s="24">
        <f>Parameters!$B$20^(G29-1)</f>
        <v>0.16806999999999994</v>
      </c>
      <c r="I29" s="18">
        <f t="shared" si="1"/>
        <v>0.67227999999999977</v>
      </c>
    </row>
    <row r="30" spans="1:9" ht="13.15" x14ac:dyDescent="0.35">
      <c r="A30" s="21">
        <v>29</v>
      </c>
      <c r="B30" s="16">
        <f>'Data OPUS'!B30</f>
        <v>3</v>
      </c>
      <c r="C30" s="22" t="str">
        <f>'Data OPUS'!F30</f>
        <v>material</v>
      </c>
      <c r="D30" s="16" t="str">
        <f>LOWER(TRIM('Data OPUS'!H30))</f>
        <v>medium</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5</v>
      </c>
      <c r="F30" s="23">
        <f>IF(D30="major",Parameters!$B$14,IF(D30="medium",Parameters!$B$15,Parameters!$B$16))</f>
        <v>2</v>
      </c>
      <c r="G30" s="16">
        <f t="shared" si="0"/>
        <v>4</v>
      </c>
      <c r="H30" s="24">
        <f>Parameters!$B$20^(G30-1)</f>
        <v>0.34299999999999992</v>
      </c>
      <c r="I30" s="18">
        <f t="shared" si="1"/>
        <v>3.4299999999999993</v>
      </c>
    </row>
    <row r="31" spans="1:9" ht="13.15" x14ac:dyDescent="0.35">
      <c r="A31" s="21">
        <v>30</v>
      </c>
      <c r="B31" s="16">
        <f>'Data OPUS'!B31</f>
        <v>3</v>
      </c>
      <c r="C31" s="22" t="str">
        <f>'Data OPUS'!F31</f>
        <v>reasoning</v>
      </c>
      <c r="D31" s="16" t="str">
        <f>LOWER(TRIM('Data OPUS'!H31))</f>
        <v>major</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3</v>
      </c>
      <c r="G31" s="16">
        <f t="shared" si="0"/>
        <v>2</v>
      </c>
      <c r="H31" s="24">
        <f>Parameters!$B$20^(G31-1)</f>
        <v>0.7</v>
      </c>
      <c r="I31" s="18">
        <f t="shared" si="1"/>
        <v>4.1999999999999993</v>
      </c>
    </row>
    <row r="32" spans="1:9" ht="13.15" x14ac:dyDescent="0.35">
      <c r="A32" s="21">
        <v>31</v>
      </c>
      <c r="B32" s="16">
        <f>'Data OPUS'!B32</f>
        <v>3</v>
      </c>
      <c r="C32" s="22" t="str">
        <f>'Data OPUS'!F32</f>
        <v>piece_placement</v>
      </c>
      <c r="D32" s="16" t="str">
        <f>LOWER(TRIM('Data OPUS'!H32))</f>
        <v>major</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6</v>
      </c>
      <c r="F32" s="23">
        <f>IF(D32="major",Parameters!$B$14,IF(D32="medium",Parameters!$B$15,Parameters!$B$16))</f>
        <v>3</v>
      </c>
      <c r="G32" s="16">
        <f t="shared" si="0"/>
        <v>3</v>
      </c>
      <c r="H32" s="24">
        <f>Parameters!$B$20^(G32-1)</f>
        <v>0.48999999999999994</v>
      </c>
      <c r="I32" s="18">
        <f t="shared" si="1"/>
        <v>8.8199999999999985</v>
      </c>
    </row>
    <row r="33" spans="1:9" ht="13.15" x14ac:dyDescent="0.35">
      <c r="A33" s="21">
        <v>32</v>
      </c>
      <c r="B33" s="16">
        <f>'Data OPUS'!B33</f>
        <v>3</v>
      </c>
      <c r="C33" s="22" t="str">
        <f>'Data OPUS'!F33</f>
        <v>move_legality</v>
      </c>
      <c r="D33" s="16" t="str">
        <f>LOWER(TRIM('Data OPUS'!H33))</f>
        <v>medium</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8</v>
      </c>
      <c r="F33" s="23">
        <f>IF(D33="major",Parameters!$B$14,IF(D33="medium",Parameters!$B$15,Parameters!$B$16))</f>
        <v>2</v>
      </c>
      <c r="G33" s="16">
        <f t="shared" si="0"/>
        <v>2</v>
      </c>
      <c r="H33" s="24">
        <f>Parameters!$B$20^(G33-1)</f>
        <v>0.7</v>
      </c>
      <c r="I33" s="18">
        <f t="shared" si="1"/>
        <v>11.2</v>
      </c>
    </row>
    <row r="34" spans="1:9" ht="13.15" x14ac:dyDescent="0.35">
      <c r="A34" s="21">
        <v>33</v>
      </c>
      <c r="B34" s="16">
        <f>'Data OPUS'!B34</f>
        <v>3</v>
      </c>
      <c r="C34" s="22" t="str">
        <f>'Data OPUS'!F34</f>
        <v>move_legality</v>
      </c>
      <c r="D34" s="16" t="str">
        <f>LOWER(TRIM('Data OPUS'!H34))</f>
        <v>major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8</v>
      </c>
      <c r="F34" s="23">
        <f>IF(D34="major",Parameters!$B$14,IF(D34="medium",Parameters!$B$15,Parameters!$B$16))</f>
        <v>3</v>
      </c>
      <c r="G34" s="16">
        <f t="shared" si="0"/>
        <v>1</v>
      </c>
      <c r="H34" s="24">
        <f>Parameters!$B$20^(G34-1)</f>
        <v>1</v>
      </c>
      <c r="I34" s="18">
        <f t="shared" si="1"/>
        <v>24</v>
      </c>
    </row>
    <row r="35" spans="1:9" ht="13.15" x14ac:dyDescent="0.35">
      <c r="A35" s="21">
        <v>34</v>
      </c>
      <c r="B35" s="16">
        <f>'Data OPUS'!B35</f>
        <v>3</v>
      </c>
      <c r="C35" s="22" t="str">
        <f>'Data OPUS'!F35</f>
        <v>piece_relations</v>
      </c>
      <c r="D35" s="16" t="str">
        <f>LOWER(TRIM('Data OPUS'!H35))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4</v>
      </c>
      <c r="F35" s="23">
        <f>IF(D35="major",Parameters!$B$14,IF(D35="medium",Parameters!$B$15,Parameters!$B$16))</f>
        <v>3</v>
      </c>
      <c r="G35" s="16">
        <f t="shared" si="0"/>
        <v>1</v>
      </c>
      <c r="H35" s="24">
        <f>Parameters!$B$20^(G35-1)</f>
        <v>1</v>
      </c>
      <c r="I35" s="18">
        <f t="shared" si="1"/>
        <v>12</v>
      </c>
    </row>
    <row r="36" spans="1:9" ht="13.15" x14ac:dyDescent="0.35">
      <c r="A36" s="21">
        <v>35</v>
      </c>
      <c r="B36" s="16">
        <f>'Data OPUS'!B36</f>
        <v>3</v>
      </c>
      <c r="C36" s="22" t="str">
        <f>'Data OPUS'!F36</f>
        <v>piece_placement</v>
      </c>
      <c r="D36" s="16" t="str">
        <f>LOWER(TRIM('Data OPUS'!H36))</f>
        <v>major</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6</v>
      </c>
      <c r="F36" s="23">
        <f>IF(D36="major",Parameters!$B$14,IF(D36="medium",Parameters!$B$15,Parameters!$B$16))</f>
        <v>3</v>
      </c>
      <c r="G36" s="16">
        <f t="shared" si="0"/>
        <v>4</v>
      </c>
      <c r="H36" s="24">
        <f>Parameters!$B$20^(G36-1)</f>
        <v>0.34299999999999992</v>
      </c>
      <c r="I36" s="18">
        <f t="shared" si="1"/>
        <v>6.1739999999999986</v>
      </c>
    </row>
    <row r="37" spans="1:9" ht="13.15" x14ac:dyDescent="0.35">
      <c r="A37" s="21">
        <v>36</v>
      </c>
      <c r="B37" s="16">
        <f>'Data OPUS'!B37</f>
        <v>3</v>
      </c>
      <c r="C37" s="22" t="str">
        <f>'Data OPUS'!F37</f>
        <v>piece_placement</v>
      </c>
      <c r="D37" s="16" t="str">
        <f>LOWER(TRIM('Data OPUS'!H37))</f>
        <v>major</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6</v>
      </c>
      <c r="F37" s="23">
        <f>IF(D37="major",Parameters!$B$14,IF(D37="medium",Parameters!$B$15,Parameters!$B$16))</f>
        <v>3</v>
      </c>
      <c r="G37" s="16">
        <f t="shared" si="0"/>
        <v>5</v>
      </c>
      <c r="H37" s="24">
        <f>Parameters!$B$20^(G37-1)</f>
        <v>0.24009999999999992</v>
      </c>
      <c r="I37" s="18">
        <f t="shared" si="1"/>
        <v>4.3217999999999988</v>
      </c>
    </row>
    <row r="38" spans="1:9" ht="13.15" x14ac:dyDescent="0.35">
      <c r="A38" s="21">
        <v>37</v>
      </c>
      <c r="B38" s="16">
        <f>'Data OPUS'!B38</f>
        <v>3</v>
      </c>
      <c r="C38" s="22" t="str">
        <f>'Data OPUS'!F38</f>
        <v>material</v>
      </c>
      <c r="D38" s="16" t="str">
        <f>LOWER(TRIM('Data OPUS'!H38))</f>
        <v>major</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5</v>
      </c>
      <c r="F38" s="23">
        <f>IF(D38="major",Parameters!$B$14,IF(D38="medium",Parameters!$B$15,Parameters!$B$16))</f>
        <v>3</v>
      </c>
      <c r="G38" s="16">
        <f t="shared" si="0"/>
        <v>1</v>
      </c>
      <c r="H38" s="24">
        <f>Parameters!$B$20^(G38-1)</f>
        <v>1</v>
      </c>
      <c r="I38" s="18">
        <f t="shared" si="1"/>
        <v>15</v>
      </c>
    </row>
    <row r="39" spans="1:9" ht="13.15" x14ac:dyDescent="0.35">
      <c r="A39" s="21">
        <v>38</v>
      </c>
      <c r="B39" s="16">
        <f>'Data OPUS'!B39</f>
        <v>3</v>
      </c>
      <c r="C39" s="22" t="str">
        <f>'Data OPUS'!F39</f>
        <v>material</v>
      </c>
      <c r="D39" s="16" t="str">
        <f>LOWER(TRIM('Data OPUS'!H39))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5</v>
      </c>
      <c r="F39" s="23">
        <f>IF(D39="major",Parameters!$B$14,IF(D39="medium",Parameters!$B$15,Parameters!$B$16))</f>
        <v>3</v>
      </c>
      <c r="G39" s="16">
        <f t="shared" si="0"/>
        <v>2</v>
      </c>
      <c r="H39" s="24">
        <f>Parameters!$B$20^(G39-1)</f>
        <v>0.7</v>
      </c>
      <c r="I39" s="18">
        <f t="shared" si="1"/>
        <v>10.5</v>
      </c>
    </row>
    <row r="40" spans="1:9" ht="13.15" x14ac:dyDescent="0.35">
      <c r="A40" s="21">
        <v>39</v>
      </c>
      <c r="B40" s="16">
        <f>'Data OPUS'!B40</f>
        <v>5</v>
      </c>
      <c r="C40" s="22" t="str">
        <f>'Data OPUS'!F40</f>
        <v>move_legality</v>
      </c>
      <c r="D40" s="16" t="str">
        <f>LOWER(TRIM('Data OPUS'!H40))</f>
        <v>minor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8</v>
      </c>
      <c r="F40" s="23">
        <f>IF(D40="major",Parameters!$B$14,IF(D40="medium",Parameters!$B$15,Parameters!$B$16))</f>
        <v>1</v>
      </c>
      <c r="G40" s="16">
        <f t="shared" si="0"/>
        <v>2</v>
      </c>
      <c r="H40" s="24">
        <f>Parameters!$B$20^(G40-1)</f>
        <v>0.7</v>
      </c>
      <c r="I40" s="18">
        <f t="shared" si="1"/>
        <v>5.6</v>
      </c>
    </row>
    <row r="41" spans="1:9" ht="13.15" x14ac:dyDescent="0.35">
      <c r="A41" s="21">
        <v>40</v>
      </c>
      <c r="B41" s="16">
        <f>'Data OPUS'!B41</f>
        <v>5</v>
      </c>
      <c r="C41" s="22" t="str">
        <f>'Data OPUS'!F41</f>
        <v>reasoning</v>
      </c>
      <c r="D41" s="16" t="str">
        <f>LOWER(TRIM('Data OPUS'!H41))</f>
        <v>minor</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2</v>
      </c>
      <c r="F41" s="23">
        <f>IF(D41="major",Parameters!$B$14,IF(D41="medium",Parameters!$B$15,Parameters!$B$16))</f>
        <v>1</v>
      </c>
      <c r="G41" s="16">
        <f t="shared" si="0"/>
        <v>2</v>
      </c>
      <c r="H41" s="24">
        <f>Parameters!$B$20^(G41-1)</f>
        <v>0.7</v>
      </c>
      <c r="I41" s="18">
        <f t="shared" si="1"/>
        <v>1.4</v>
      </c>
    </row>
    <row r="42" spans="1:9" ht="13.15" x14ac:dyDescent="0.35">
      <c r="A42" s="21">
        <v>41</v>
      </c>
      <c r="B42" s="16">
        <f>'Data OPUS'!B42</f>
        <v>5</v>
      </c>
      <c r="C42" s="22" t="str">
        <f>'Data OPUS'!F42</f>
        <v>move_legality</v>
      </c>
      <c r="D42" s="16" t="str">
        <f>LOWER(TRIM('Data OPUS'!H42))</f>
        <v>major</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8</v>
      </c>
      <c r="F42" s="23">
        <f>IF(D42="major",Parameters!$B$14,IF(D42="medium",Parameters!$B$15,Parameters!$B$16))</f>
        <v>3</v>
      </c>
      <c r="G42" s="16">
        <f t="shared" si="0"/>
        <v>1</v>
      </c>
      <c r="H42" s="24">
        <f>Parameters!$B$20^(G42-1)</f>
        <v>1</v>
      </c>
      <c r="I42" s="18">
        <f t="shared" si="1"/>
        <v>24</v>
      </c>
    </row>
    <row r="43" spans="1:9" ht="13.15" x14ac:dyDescent="0.35">
      <c r="A43" s="21">
        <v>42</v>
      </c>
      <c r="B43" s="16">
        <f>'Data OPUS'!B43</f>
        <v>5</v>
      </c>
      <c r="C43" s="22" t="str">
        <f>'Data OPUS'!F43</f>
        <v>piece_relations</v>
      </c>
      <c r="D43" s="16" t="str">
        <f>LOWER(TRIM('Data OPUS'!H43))</f>
        <v>medium</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4</v>
      </c>
      <c r="F43" s="23">
        <f>IF(D43="major",Parameters!$B$14,IF(D43="medium",Parameters!$B$15,Parameters!$B$16))</f>
        <v>2</v>
      </c>
      <c r="G43" s="16">
        <f t="shared" si="0"/>
        <v>1</v>
      </c>
      <c r="H43" s="24">
        <f>Parameters!$B$20^(G43-1)</f>
        <v>1</v>
      </c>
      <c r="I43" s="18">
        <f t="shared" si="1"/>
        <v>8</v>
      </c>
    </row>
    <row r="44" spans="1:9" ht="13.15" x14ac:dyDescent="0.35">
      <c r="A44" s="21">
        <v>43</v>
      </c>
      <c r="B44" s="16">
        <f>'Data OPUS'!B44</f>
        <v>5</v>
      </c>
      <c r="C44" s="22" t="str">
        <f>'Data OPUS'!F44</f>
        <v>material</v>
      </c>
      <c r="D44" s="16" t="str">
        <f>LOWER(TRIM('Data OPUS'!H44))</f>
        <v>major</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5</v>
      </c>
      <c r="F44" s="23">
        <f>IF(D44="major",Parameters!$B$14,IF(D44="medium",Parameters!$B$15,Parameters!$B$16))</f>
        <v>3</v>
      </c>
      <c r="G44" s="16">
        <f t="shared" si="0"/>
        <v>1</v>
      </c>
      <c r="H44" s="24">
        <f>Parameters!$B$20^(G44-1)</f>
        <v>1</v>
      </c>
      <c r="I44" s="18">
        <f t="shared" si="1"/>
        <v>15</v>
      </c>
    </row>
    <row r="45" spans="1:9" ht="13.15" x14ac:dyDescent="0.35">
      <c r="A45" s="21">
        <v>44</v>
      </c>
      <c r="B45" s="16">
        <f>'Data OPUS'!B45</f>
        <v>5</v>
      </c>
      <c r="C45" s="22" t="str">
        <f>'Data OPUS'!F45</f>
        <v>reasoning</v>
      </c>
      <c r="D45" s="16" t="str">
        <f>LOWER(TRIM('Data OPUS'!H45))</f>
        <v>medium</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2</v>
      </c>
      <c r="F45" s="23">
        <f>IF(D45="major",Parameters!$B$14,IF(D45="medium",Parameters!$B$15,Parameters!$B$16))</f>
        <v>2</v>
      </c>
      <c r="G45" s="16">
        <f t="shared" si="0"/>
        <v>1</v>
      </c>
      <c r="H45" s="24">
        <f>Parameters!$B$20^(G45-1)</f>
        <v>1</v>
      </c>
      <c r="I45" s="18">
        <f t="shared" si="1"/>
        <v>4</v>
      </c>
    </row>
    <row r="46" spans="1:9" ht="13.15" x14ac:dyDescent="0.35">
      <c r="A46" s="21">
        <v>45</v>
      </c>
      <c r="B46" s="16">
        <f>'Data OPUS'!B46</f>
        <v>5</v>
      </c>
      <c r="C46" s="22" t="str">
        <f>'Data OPUS'!F46</f>
        <v>material</v>
      </c>
      <c r="D46" s="16" t="str">
        <f>LOWER(TRIM('Data OPUS'!H46))</f>
        <v>major</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5</v>
      </c>
      <c r="F46" s="23">
        <f>IF(D46="major",Parameters!$B$14,IF(D46="medium",Parameters!$B$15,Parameters!$B$16))</f>
        <v>3</v>
      </c>
      <c r="G46" s="16">
        <f t="shared" si="0"/>
        <v>2</v>
      </c>
      <c r="H46" s="24">
        <f>Parameters!$B$20^(G46-1)</f>
        <v>0.7</v>
      </c>
      <c r="I46" s="18">
        <f t="shared" si="1"/>
        <v>10.5</v>
      </c>
    </row>
    <row r="47" spans="1:9" ht="13.15" x14ac:dyDescent="0.35">
      <c r="A47" s="21">
        <v>46</v>
      </c>
      <c r="B47" s="16">
        <f>'Data OPUS'!B47</f>
        <v>5</v>
      </c>
      <c r="C47" s="22" t="str">
        <f>'Data OPUS'!F47</f>
        <v>material</v>
      </c>
      <c r="D47" s="16" t="str">
        <f>LOWER(TRIM('Data OPUS'!H47))</f>
        <v>major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5</v>
      </c>
      <c r="F47" s="23">
        <f>IF(D47="major",Parameters!$B$14,IF(D47="medium",Parameters!$B$15,Parameters!$B$16))</f>
        <v>3</v>
      </c>
      <c r="G47" s="16">
        <f t="shared" si="0"/>
        <v>3</v>
      </c>
      <c r="H47" s="24">
        <f>Parameters!$B$20^(G47-1)</f>
        <v>0.48999999999999994</v>
      </c>
      <c r="I47" s="18">
        <f t="shared" si="1"/>
        <v>7.3499999999999988</v>
      </c>
    </row>
    <row r="48" spans="1:9" ht="13.15" x14ac:dyDescent="0.35">
      <c r="A48" s="21">
        <v>47</v>
      </c>
      <c r="B48" s="16">
        <f>'Data OPUS'!B48</f>
        <v>6</v>
      </c>
      <c r="C48" s="22" t="str">
        <f>'Data OPUS'!F48</f>
        <v>reasoning</v>
      </c>
      <c r="D48" s="16" t="str">
        <f>LOWER(TRIM('Data OPUS'!H48))</f>
        <v>major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3</v>
      </c>
      <c r="G48" s="16">
        <f t="shared" si="0"/>
        <v>1</v>
      </c>
      <c r="H48" s="24">
        <f>Parameters!$B$20^(G48-1)</f>
        <v>1</v>
      </c>
      <c r="I48" s="18">
        <f t="shared" si="1"/>
        <v>6</v>
      </c>
    </row>
    <row r="49" spans="1:9" ht="13.15" x14ac:dyDescent="0.35">
      <c r="A49" s="21">
        <v>48</v>
      </c>
      <c r="B49" s="16">
        <f>'Data OPUS'!B49</f>
        <v>6</v>
      </c>
      <c r="C49" s="22" t="str">
        <f>'Data OPUS'!F49</f>
        <v>reasoning</v>
      </c>
      <c r="D49" s="16" t="str">
        <f>LOWER(TRIM('Data OPUS'!H49))</f>
        <v>major</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2</v>
      </c>
      <c r="F49" s="23">
        <f>IF(D49="major",Parameters!$B$14,IF(D49="medium",Parameters!$B$15,Parameters!$B$16))</f>
        <v>3</v>
      </c>
      <c r="G49" s="16">
        <f t="shared" si="0"/>
        <v>2</v>
      </c>
      <c r="H49" s="24">
        <f>Parameters!$B$20^(G49-1)</f>
        <v>0.7</v>
      </c>
      <c r="I49" s="18">
        <f t="shared" si="1"/>
        <v>4.1999999999999993</v>
      </c>
    </row>
    <row r="50" spans="1:9" ht="13.15" x14ac:dyDescent="0.35">
      <c r="A50" s="21">
        <v>49</v>
      </c>
      <c r="B50" s="16">
        <f>'Data OPUS'!B50</f>
        <v>6</v>
      </c>
      <c r="C50" s="22" t="str">
        <f>'Data OPUS'!F50</f>
        <v>reasoning</v>
      </c>
      <c r="D50" s="16" t="str">
        <f>LOWER(TRIM('Data OPUS'!H50))</f>
        <v>major</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2</v>
      </c>
      <c r="F50" s="23">
        <f>IF(D50="major",Parameters!$B$14,IF(D50="medium",Parameters!$B$15,Parameters!$B$16))</f>
        <v>3</v>
      </c>
      <c r="G50" s="16">
        <f t="shared" si="0"/>
        <v>3</v>
      </c>
      <c r="H50" s="24">
        <f>Parameters!$B$20^(G50-1)</f>
        <v>0.48999999999999994</v>
      </c>
      <c r="I50" s="18">
        <f t="shared" si="1"/>
        <v>2.9399999999999995</v>
      </c>
    </row>
    <row r="51" spans="1:9" ht="13.15" x14ac:dyDescent="0.35">
      <c r="A51" s="21">
        <v>50</v>
      </c>
      <c r="B51" s="16">
        <f>'Data OPUS'!B51</f>
        <v>6</v>
      </c>
      <c r="C51" s="22" t="str">
        <f>'Data OPUS'!F51</f>
        <v>reasoning</v>
      </c>
      <c r="D51" s="16" t="str">
        <f>LOWER(TRIM('Data OPUS'!H51))</f>
        <v>major</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2</v>
      </c>
      <c r="F51" s="23">
        <f>IF(D51="major",Parameters!$B$14,IF(D51="medium",Parameters!$B$15,Parameters!$B$16))</f>
        <v>3</v>
      </c>
      <c r="G51" s="16">
        <f t="shared" si="0"/>
        <v>4</v>
      </c>
      <c r="H51" s="24">
        <f>Parameters!$B$20^(G51-1)</f>
        <v>0.34299999999999992</v>
      </c>
      <c r="I51" s="18">
        <f t="shared" si="1"/>
        <v>2.0579999999999994</v>
      </c>
    </row>
    <row r="52" spans="1:9" ht="13.15" x14ac:dyDescent="0.35">
      <c r="A52" s="21">
        <v>51</v>
      </c>
      <c r="B52" s="16">
        <f>'Data OPUS'!B52</f>
        <v>6</v>
      </c>
      <c r="C52" s="22" t="str">
        <f>'Data OPUS'!F52</f>
        <v>reasoning</v>
      </c>
      <c r="D52" s="16" t="str">
        <f>LOWER(TRIM('Data OPUS'!H52))</f>
        <v>major</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2</v>
      </c>
      <c r="F52" s="23">
        <f>IF(D52="major",Parameters!$B$14,IF(D52="medium",Parameters!$B$15,Parameters!$B$16))</f>
        <v>3</v>
      </c>
      <c r="G52" s="16">
        <f t="shared" si="0"/>
        <v>5</v>
      </c>
      <c r="H52" s="24">
        <f>Parameters!$B$20^(G52-1)</f>
        <v>0.24009999999999992</v>
      </c>
      <c r="I52" s="18">
        <f t="shared" si="1"/>
        <v>1.4405999999999994</v>
      </c>
    </row>
    <row r="53" spans="1:9" ht="13.15" x14ac:dyDescent="0.35">
      <c r="A53" s="21">
        <v>52</v>
      </c>
      <c r="B53" s="16">
        <f>'Data OPUS'!B53</f>
        <v>6</v>
      </c>
      <c r="C53" s="22" t="str">
        <f>'Data OPUS'!F53</f>
        <v>reasoning</v>
      </c>
      <c r="D53" s="16" t="str">
        <f>LOWER(TRIM('Data OPUS'!H53))</f>
        <v>major</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2</v>
      </c>
      <c r="F53" s="23">
        <f>IF(D53="major",Parameters!$B$14,IF(D53="medium",Parameters!$B$15,Parameters!$B$16))</f>
        <v>3</v>
      </c>
      <c r="G53" s="16">
        <f t="shared" si="0"/>
        <v>6</v>
      </c>
      <c r="H53" s="24">
        <f>Parameters!$B$20^(G53-1)</f>
        <v>0.16806999999999994</v>
      </c>
      <c r="I53" s="18">
        <f t="shared" si="1"/>
        <v>1.0084199999999996</v>
      </c>
    </row>
    <row r="54" spans="1:9" ht="13.15" x14ac:dyDescent="0.35">
      <c r="A54" s="21">
        <v>53</v>
      </c>
      <c r="B54" s="16">
        <f>'Data OPUS'!B54</f>
        <v>6</v>
      </c>
      <c r="C54" s="22" t="str">
        <f>'Data OPUS'!F54</f>
        <v>reasoning</v>
      </c>
      <c r="D54" s="16" t="str">
        <f>LOWER(TRIM('Data OPUS'!H54))</f>
        <v>medium</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2</v>
      </c>
      <c r="F54" s="23">
        <f>IF(D54="major",Parameters!$B$14,IF(D54="medium",Parameters!$B$15,Parameters!$B$16))</f>
        <v>2</v>
      </c>
      <c r="G54" s="16">
        <f t="shared" si="0"/>
        <v>11</v>
      </c>
      <c r="H54" s="24">
        <f>Parameters!$B$20^(G54-1)</f>
        <v>2.824752489999998E-2</v>
      </c>
      <c r="I54" s="18">
        <f t="shared" si="1"/>
        <v>0.11299009959999992</v>
      </c>
    </row>
    <row r="55" spans="1:9" ht="13.15" x14ac:dyDescent="0.35">
      <c r="A55" s="21">
        <v>54</v>
      </c>
      <c r="B55" s="16">
        <f>'Data OPUS'!B55</f>
        <v>6</v>
      </c>
      <c r="C55" s="22" t="str">
        <f>'Data OPUS'!F55</f>
        <v>reasoning</v>
      </c>
      <c r="D55" s="16" t="str">
        <f>LOWER(TRIM('Data OPUS'!H55))</f>
        <v>medium</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2</v>
      </c>
      <c r="F55" s="23">
        <f>IF(D55="major",Parameters!$B$14,IF(D55="medium",Parameters!$B$15,Parameters!$B$16))</f>
        <v>2</v>
      </c>
      <c r="G55" s="16">
        <f t="shared" si="0"/>
        <v>12</v>
      </c>
      <c r="H55" s="24">
        <f>Parameters!$B$20^(G55-1)</f>
        <v>1.9773267429999984E-2</v>
      </c>
      <c r="I55" s="18">
        <f t="shared" si="1"/>
        <v>7.9093069719999937E-2</v>
      </c>
    </row>
    <row r="56" spans="1:9" ht="13.15" x14ac:dyDescent="0.35">
      <c r="A56" s="21">
        <v>55</v>
      </c>
      <c r="B56" s="16">
        <f>'Data OPUS'!B56</f>
        <v>6</v>
      </c>
      <c r="C56" s="22" t="str">
        <f>'Data OPUS'!F56</f>
        <v>reasoning</v>
      </c>
      <c r="D56" s="16" t="str">
        <f>LOWER(TRIM('Data OPUS'!H56))</f>
        <v>minor</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2</v>
      </c>
      <c r="F56" s="23">
        <f>IF(D56="major",Parameters!$B$14,IF(D56="medium",Parameters!$B$15,Parameters!$B$16))</f>
        <v>1</v>
      </c>
      <c r="G56" s="16">
        <f t="shared" si="0"/>
        <v>13</v>
      </c>
      <c r="H56" s="24">
        <f>Parameters!$B$20^(G56-1)</f>
        <v>1.3841287200999986E-2</v>
      </c>
      <c r="I56" s="18">
        <f t="shared" si="1"/>
        <v>2.7682574401999973E-2</v>
      </c>
    </row>
    <row r="57" spans="1:9" ht="13.15" x14ac:dyDescent="0.35">
      <c r="A57" s="21">
        <v>56</v>
      </c>
      <c r="B57" s="16">
        <f>'Data OPUS'!B57</f>
        <v>6</v>
      </c>
      <c r="C57" s="22" t="str">
        <f>'Data OPUS'!F57</f>
        <v>move_legality</v>
      </c>
      <c r="D57" s="16" t="str">
        <f>LOWER(TRIM('Data OPUS'!H57))</f>
        <v>medium</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8</v>
      </c>
      <c r="F57" s="23">
        <f>IF(D57="major",Parameters!$B$14,IF(D57="medium",Parameters!$B$15,Parameters!$B$16))</f>
        <v>2</v>
      </c>
      <c r="G57" s="16">
        <f t="shared" si="0"/>
        <v>1</v>
      </c>
      <c r="H57" s="24">
        <f>Parameters!$B$20^(G57-1)</f>
        <v>1</v>
      </c>
      <c r="I57" s="18">
        <f t="shared" si="1"/>
        <v>16</v>
      </c>
    </row>
    <row r="58" spans="1:9" ht="13.15" x14ac:dyDescent="0.35">
      <c r="A58" s="21">
        <v>57</v>
      </c>
      <c r="B58" s="16">
        <f>'Data OPUS'!B58</f>
        <v>6</v>
      </c>
      <c r="C58" s="22" t="str">
        <f>'Data OPUS'!F58</f>
        <v>reasoning</v>
      </c>
      <c r="D58" s="16" t="str">
        <f>LOWER(TRIM('Data OPUS'!H58))</f>
        <v>major</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2</v>
      </c>
      <c r="F58" s="23">
        <f>IF(D58="major",Parameters!$B$14,IF(D58="medium",Parameters!$B$15,Parameters!$B$16))</f>
        <v>3</v>
      </c>
      <c r="G58" s="16">
        <f t="shared" si="0"/>
        <v>7</v>
      </c>
      <c r="H58" s="24">
        <f>Parameters!$B$20^(G58-1)</f>
        <v>0.11764899999999995</v>
      </c>
      <c r="I58" s="18">
        <f t="shared" si="1"/>
        <v>0.70589399999999969</v>
      </c>
    </row>
    <row r="59" spans="1:9" ht="13.15" x14ac:dyDescent="0.35">
      <c r="A59" s="21">
        <v>58</v>
      </c>
      <c r="B59" s="16">
        <f>'Data OPUS'!B59</f>
        <v>6</v>
      </c>
      <c r="C59" s="22" t="str">
        <f>'Data OPUS'!F59</f>
        <v>material</v>
      </c>
      <c r="D59" s="16" t="str">
        <f>LOWER(TRIM('Data OPUS'!H59))</f>
        <v>major</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5</v>
      </c>
      <c r="F59" s="23">
        <f>IF(D59="major",Parameters!$B$14,IF(D59="medium",Parameters!$B$15,Parameters!$B$16))</f>
        <v>3</v>
      </c>
      <c r="G59" s="16">
        <f t="shared" si="0"/>
        <v>1</v>
      </c>
      <c r="H59" s="24">
        <f>Parameters!$B$20^(G59-1)</f>
        <v>1</v>
      </c>
      <c r="I59" s="18">
        <f t="shared" si="1"/>
        <v>15</v>
      </c>
    </row>
    <row r="60" spans="1:9" ht="13.15" x14ac:dyDescent="0.35">
      <c r="A60" s="21">
        <v>59</v>
      </c>
      <c r="B60" s="16">
        <f>'Data OPUS'!B60</f>
        <v>6</v>
      </c>
      <c r="C60" s="22" t="str">
        <f>'Data OPUS'!F60</f>
        <v>piece_relations</v>
      </c>
      <c r="D60" s="16" t="str">
        <f>LOWER(TRIM('Data OPUS'!H60))</f>
        <v>minor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4</v>
      </c>
      <c r="F60" s="23">
        <f>IF(D60="major",Parameters!$B$14,IF(D60="medium",Parameters!$B$15,Parameters!$B$16))</f>
        <v>1</v>
      </c>
      <c r="G60" s="16">
        <f t="shared" si="0"/>
        <v>1</v>
      </c>
      <c r="H60" s="24">
        <f>Parameters!$B$20^(G60-1)</f>
        <v>1</v>
      </c>
      <c r="I60" s="18">
        <f t="shared" si="1"/>
        <v>4</v>
      </c>
    </row>
    <row r="61" spans="1:9" ht="13.15" x14ac:dyDescent="0.35">
      <c r="A61" s="21">
        <v>60</v>
      </c>
      <c r="B61" s="16">
        <f>'Data OPUS'!B61</f>
        <v>6</v>
      </c>
      <c r="C61" s="22" t="str">
        <f>'Data OPUS'!F61</f>
        <v>material</v>
      </c>
      <c r="D61" s="16" t="str">
        <f>LOWER(TRIM('Data OPUS'!H61))</f>
        <v>major</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5</v>
      </c>
      <c r="F61" s="23">
        <f>IF(D61="major",Parameters!$B$14,IF(D61="medium",Parameters!$B$15,Parameters!$B$16))</f>
        <v>3</v>
      </c>
      <c r="G61" s="16">
        <f t="shared" si="0"/>
        <v>2</v>
      </c>
      <c r="H61" s="24">
        <f>Parameters!$B$20^(G61-1)</f>
        <v>0.7</v>
      </c>
      <c r="I61" s="18">
        <f t="shared" si="1"/>
        <v>10.5</v>
      </c>
    </row>
    <row r="62" spans="1:9" ht="13.15" x14ac:dyDescent="0.35">
      <c r="A62" s="21">
        <v>61</v>
      </c>
      <c r="B62" s="16">
        <f>'Data OPUS'!B62</f>
        <v>6</v>
      </c>
      <c r="C62" s="22" t="str">
        <f>'Data OPUS'!F62</f>
        <v>reasoning</v>
      </c>
      <c r="D62" s="16" t="str">
        <f>LOWER(TRIM('Data OPUS'!H62))</f>
        <v>major</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2</v>
      </c>
      <c r="F62" s="23">
        <f>IF(D62="major",Parameters!$B$14,IF(D62="medium",Parameters!$B$15,Parameters!$B$16))</f>
        <v>3</v>
      </c>
      <c r="G62" s="16">
        <f t="shared" si="0"/>
        <v>8</v>
      </c>
      <c r="H62" s="24">
        <f>Parameters!$B$20^(G62-1)</f>
        <v>8.235429999999995E-2</v>
      </c>
      <c r="I62" s="18">
        <f t="shared" si="1"/>
        <v>0.49412579999999973</v>
      </c>
    </row>
    <row r="63" spans="1:9" ht="13.15" x14ac:dyDescent="0.35">
      <c r="A63" s="21">
        <v>62</v>
      </c>
      <c r="B63" s="16">
        <f>'Data OPUS'!B63</f>
        <v>6</v>
      </c>
      <c r="C63" s="22" t="str">
        <f>'Data OPUS'!F63</f>
        <v>reasoning</v>
      </c>
      <c r="D63" s="16" t="str">
        <f>LOWER(TRIM('Data OPUS'!H63))</f>
        <v>major</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2</v>
      </c>
      <c r="F63" s="23">
        <f>IF(D63="major",Parameters!$B$14,IF(D63="medium",Parameters!$B$15,Parameters!$B$16))</f>
        <v>3</v>
      </c>
      <c r="G63" s="16">
        <f t="shared" si="0"/>
        <v>9</v>
      </c>
      <c r="H63" s="24">
        <f>Parameters!$B$20^(G63-1)</f>
        <v>5.7648009999999965E-2</v>
      </c>
      <c r="I63" s="18">
        <f t="shared" si="1"/>
        <v>0.34588805999999978</v>
      </c>
    </row>
    <row r="64" spans="1:9" ht="13.15" x14ac:dyDescent="0.35">
      <c r="A64" s="21">
        <v>63</v>
      </c>
      <c r="B64" s="16">
        <f>'Data OPUS'!B64</f>
        <v>6</v>
      </c>
      <c r="C64" s="22" t="str">
        <f>'Data OPUS'!F64</f>
        <v>reasoning</v>
      </c>
      <c r="D64" s="16" t="str">
        <f>LOWER(TRIM('Data OPUS'!H64))</f>
        <v>major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2</v>
      </c>
      <c r="F64" s="23">
        <f>IF(D64="major",Parameters!$B$14,IF(D64="medium",Parameters!$B$15,Parameters!$B$16))</f>
        <v>3</v>
      </c>
      <c r="G64" s="16">
        <f t="shared" si="0"/>
        <v>10</v>
      </c>
      <c r="H64" s="24">
        <f>Parameters!$B$20^(G64-1)</f>
        <v>4.0353606999999972E-2</v>
      </c>
      <c r="I64" s="18">
        <f t="shared" si="1"/>
        <v>0.24212164199999983</v>
      </c>
    </row>
    <row r="65" spans="1:9" ht="13.15" x14ac:dyDescent="0.35">
      <c r="A65" s="21">
        <v>64</v>
      </c>
      <c r="B65" s="16">
        <f>'Data OPUS'!B65</f>
        <v>7</v>
      </c>
      <c r="C65" s="22" t="str">
        <f>'Data OPUS'!F65</f>
        <v>reasoning</v>
      </c>
      <c r="D65" s="16" t="str">
        <f>LOWER(TRIM('Data OPUS'!H65))</f>
        <v>medium</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2</v>
      </c>
      <c r="F65" s="23">
        <f>IF(D65="major",Parameters!$B$14,IF(D65="medium",Parameters!$B$15,Parameters!$B$16))</f>
        <v>2</v>
      </c>
      <c r="G65" s="16">
        <f t="shared" si="0"/>
        <v>3</v>
      </c>
      <c r="H65" s="24">
        <f>Parameters!$B$20^(G65-1)</f>
        <v>0.48999999999999994</v>
      </c>
      <c r="I65" s="18">
        <f t="shared" si="1"/>
        <v>1.9599999999999997</v>
      </c>
    </row>
    <row r="66" spans="1:9" ht="13.15" x14ac:dyDescent="0.35">
      <c r="A66" s="21">
        <v>65</v>
      </c>
      <c r="B66" s="16">
        <f>'Data OPUS'!B66</f>
        <v>7</v>
      </c>
      <c r="C66" s="22" t="str">
        <f>'Data OPUS'!F66</f>
        <v>reasoning</v>
      </c>
      <c r="D66" s="16" t="str">
        <f>LOWER(TRIM('Data OPUS'!H66))</f>
        <v>major</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3</v>
      </c>
      <c r="G66" s="16">
        <f t="shared" ref="G66:G129" si="2">COUNTIFS($B$2:$B$224,B66,$C$2:$C$224,C66,$F$2:$F$224,"&gt;"&amp;F66)+COUNTIFS($B$2:$B$224,B66,$C$2:$C$224,C66,$F$2:$F$224,F66,$A$2:$A$224,"&lt;="&amp;A66)</f>
        <v>1</v>
      </c>
      <c r="H66" s="24">
        <f>Parameters!$B$20^(G66-1)</f>
        <v>1</v>
      </c>
      <c r="I66" s="18">
        <f t="shared" ref="I66:I129" si="3">E66*F66*H66</f>
        <v>6</v>
      </c>
    </row>
    <row r="67" spans="1:9" ht="13.15" x14ac:dyDescent="0.35">
      <c r="A67" s="21">
        <v>66</v>
      </c>
      <c r="B67" s="16">
        <f>'Data OPUS'!B67</f>
        <v>7</v>
      </c>
      <c r="C67" s="22" t="str">
        <f>'Data OPUS'!F67</f>
        <v>reasoning</v>
      </c>
      <c r="D67" s="16" t="str">
        <f>LOWER(TRIM('Data OPUS'!H67))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2</v>
      </c>
      <c r="F67" s="23">
        <f>IF(D67="major",Parameters!$B$14,IF(D67="medium",Parameters!$B$15,Parameters!$B$16))</f>
        <v>3</v>
      </c>
      <c r="G67" s="16">
        <f t="shared" si="2"/>
        <v>2</v>
      </c>
      <c r="H67" s="24">
        <f>Parameters!$B$20^(G67-1)</f>
        <v>0.7</v>
      </c>
      <c r="I67" s="18">
        <f t="shared" si="3"/>
        <v>4.1999999999999993</v>
      </c>
    </row>
    <row r="68" spans="1:9" ht="13.15" x14ac:dyDescent="0.35">
      <c r="A68" s="21">
        <v>67</v>
      </c>
      <c r="B68" s="16">
        <f>'Data OPUS'!B68</f>
        <v>7</v>
      </c>
      <c r="C68" s="22" t="str">
        <f>'Data OPUS'!F68</f>
        <v>material</v>
      </c>
      <c r="D68" s="16" t="str">
        <f>LOWER(TRIM('Data OPUS'!H68))</f>
        <v>minor</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5</v>
      </c>
      <c r="F68" s="23">
        <f>IF(D68="major",Parameters!$B$14,IF(D68="medium",Parameters!$B$15,Parameters!$B$16))</f>
        <v>1</v>
      </c>
      <c r="G68" s="16">
        <f t="shared" si="2"/>
        <v>1</v>
      </c>
      <c r="H68" s="24">
        <f>Parameters!$B$20^(G68-1)</f>
        <v>1</v>
      </c>
      <c r="I68" s="18">
        <f t="shared" si="3"/>
        <v>5</v>
      </c>
    </row>
    <row r="69" spans="1:9" ht="13.15" x14ac:dyDescent="0.35">
      <c r="A69" s="21">
        <v>68</v>
      </c>
      <c r="B69" s="16">
        <f>'Data OPUS'!B69</f>
        <v>8</v>
      </c>
      <c r="C69" s="22" t="str">
        <f>'Data OPUS'!F69</f>
        <v>reasoning</v>
      </c>
      <c r="D69" s="16" t="str">
        <f>LOWER(TRIM('Data OPUS'!H69))</f>
        <v>minor</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2</v>
      </c>
      <c r="F69" s="23">
        <f>IF(D69="major",Parameters!$B$14,IF(D69="medium",Parameters!$B$15,Parameters!$B$16))</f>
        <v>1</v>
      </c>
      <c r="G69" s="16">
        <f t="shared" si="2"/>
        <v>7</v>
      </c>
      <c r="H69" s="24">
        <f>Parameters!$B$20^(G69-1)</f>
        <v>0.11764899999999995</v>
      </c>
      <c r="I69" s="18">
        <f t="shared" si="3"/>
        <v>0.2352979999999999</v>
      </c>
    </row>
    <row r="70" spans="1:9" ht="13.15" x14ac:dyDescent="0.35">
      <c r="A70" s="21">
        <v>69</v>
      </c>
      <c r="B70" s="16">
        <f>'Data OPUS'!B70</f>
        <v>8</v>
      </c>
      <c r="C70" s="22" t="str">
        <f>'Data OPUS'!F70</f>
        <v>piece_relations</v>
      </c>
      <c r="D70" s="16" t="str">
        <f>LOWER(TRIM('Data OPUS'!H70))</f>
        <v>major</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4</v>
      </c>
      <c r="F70" s="23">
        <f>IF(D70="major",Parameters!$B$14,IF(D70="medium",Parameters!$B$15,Parameters!$B$16))</f>
        <v>3</v>
      </c>
      <c r="G70" s="16">
        <f t="shared" si="2"/>
        <v>1</v>
      </c>
      <c r="H70" s="24">
        <f>Parameters!$B$20^(G70-1)</f>
        <v>1</v>
      </c>
      <c r="I70" s="18">
        <f t="shared" si="3"/>
        <v>12</v>
      </c>
    </row>
    <row r="71" spans="1:9" ht="13.15" x14ac:dyDescent="0.35">
      <c r="A71" s="21">
        <v>70</v>
      </c>
      <c r="B71" s="16">
        <f>'Data OPUS'!B71</f>
        <v>8</v>
      </c>
      <c r="C71" s="22" t="str">
        <f>'Data OPUS'!F71</f>
        <v>reasoning</v>
      </c>
      <c r="D71" s="16" t="str">
        <f>LOWER(TRIM('Data OPUS'!H71))</f>
        <v>medium</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2</v>
      </c>
      <c r="F71" s="23">
        <f>IF(D71="major",Parameters!$B$14,IF(D71="medium",Parameters!$B$15,Parameters!$B$16))</f>
        <v>2</v>
      </c>
      <c r="G71" s="16">
        <f t="shared" si="2"/>
        <v>6</v>
      </c>
      <c r="H71" s="24">
        <f>Parameters!$B$20^(G71-1)</f>
        <v>0.16806999999999994</v>
      </c>
      <c r="I71" s="18">
        <f t="shared" si="3"/>
        <v>0.67227999999999977</v>
      </c>
    </row>
    <row r="72" spans="1:9" ht="13.15" x14ac:dyDescent="0.35">
      <c r="A72" s="21">
        <v>71</v>
      </c>
      <c r="B72" s="16">
        <f>'Data OPUS'!B72</f>
        <v>8</v>
      </c>
      <c r="C72" s="22" t="str">
        <f>'Data OPUS'!F72</f>
        <v>reasoning</v>
      </c>
      <c r="D72" s="16" t="str">
        <f>LOWER(TRIM('Data OPUS'!H72))</f>
        <v>major</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2</v>
      </c>
      <c r="F72" s="23">
        <f>IF(D72="major",Parameters!$B$14,IF(D72="medium",Parameters!$B$15,Parameters!$B$16))</f>
        <v>3</v>
      </c>
      <c r="G72" s="16">
        <f t="shared" si="2"/>
        <v>1</v>
      </c>
      <c r="H72" s="24">
        <f>Parameters!$B$20^(G72-1)</f>
        <v>1</v>
      </c>
      <c r="I72" s="18">
        <f t="shared" si="3"/>
        <v>6</v>
      </c>
    </row>
    <row r="73" spans="1:9" ht="13.15" x14ac:dyDescent="0.35">
      <c r="A73" s="21">
        <v>72</v>
      </c>
      <c r="B73" s="16">
        <f>'Data OPUS'!B73</f>
        <v>8</v>
      </c>
      <c r="C73" s="22" t="str">
        <f>'Data OPUS'!F73</f>
        <v>reasoning</v>
      </c>
      <c r="D73" s="16" t="str">
        <f>LOWER(TRIM('Data OPUS'!H73))</f>
        <v>major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2</v>
      </c>
      <c r="F73" s="23">
        <f>IF(D73="major",Parameters!$B$14,IF(D73="medium",Parameters!$B$15,Parameters!$B$16))</f>
        <v>3</v>
      </c>
      <c r="G73" s="16">
        <f t="shared" si="2"/>
        <v>2</v>
      </c>
      <c r="H73" s="24">
        <f>Parameters!$B$20^(G73-1)</f>
        <v>0.7</v>
      </c>
      <c r="I73" s="18">
        <f t="shared" si="3"/>
        <v>4.1999999999999993</v>
      </c>
    </row>
    <row r="74" spans="1:9" ht="13.15" x14ac:dyDescent="0.35">
      <c r="A74" s="21">
        <v>73</v>
      </c>
      <c r="B74" s="16">
        <f>'Data OPUS'!B74</f>
        <v>8</v>
      </c>
      <c r="C74" s="22" t="str">
        <f>'Data OPUS'!F74</f>
        <v>piece_relations</v>
      </c>
      <c r="D74" s="16" t="str">
        <f>LOWER(TRIM('Data OPUS'!H74))</f>
        <v>major</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4</v>
      </c>
      <c r="F74" s="23">
        <f>IF(D74="major",Parameters!$B$14,IF(D74="medium",Parameters!$B$15,Parameters!$B$16))</f>
        <v>3</v>
      </c>
      <c r="G74" s="16">
        <f t="shared" si="2"/>
        <v>2</v>
      </c>
      <c r="H74" s="24">
        <f>Parameters!$B$20^(G74-1)</f>
        <v>0.7</v>
      </c>
      <c r="I74" s="18">
        <f t="shared" si="3"/>
        <v>8.3999999999999986</v>
      </c>
    </row>
    <row r="75" spans="1:9" ht="13.15" x14ac:dyDescent="0.35">
      <c r="A75" s="21">
        <v>74</v>
      </c>
      <c r="B75" s="16">
        <f>'Data OPUS'!B75</f>
        <v>8</v>
      </c>
      <c r="C75" s="22" t="str">
        <f>'Data OPUS'!F75</f>
        <v>move_legality</v>
      </c>
      <c r="D75" s="16" t="str">
        <f>LOWER(TRIM('Data OPUS'!H75))</f>
        <v>major</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8</v>
      </c>
      <c r="F75" s="23">
        <f>IF(D75="major",Parameters!$B$14,IF(D75="medium",Parameters!$B$15,Parameters!$B$16))</f>
        <v>3</v>
      </c>
      <c r="G75" s="16">
        <f t="shared" si="2"/>
        <v>1</v>
      </c>
      <c r="H75" s="24">
        <f>Parameters!$B$20^(G75-1)</f>
        <v>1</v>
      </c>
      <c r="I75" s="18">
        <f t="shared" si="3"/>
        <v>24</v>
      </c>
    </row>
    <row r="76" spans="1:9" ht="13.15" x14ac:dyDescent="0.35">
      <c r="A76" s="21">
        <v>75</v>
      </c>
      <c r="B76" s="16">
        <f>'Data OPUS'!B76</f>
        <v>8</v>
      </c>
      <c r="C76" s="22" t="str">
        <f>'Data OPUS'!F76</f>
        <v>reasoning</v>
      </c>
      <c r="D76" s="16" t="str">
        <f>LOWER(TRIM('Data OPUS'!H76))</f>
        <v>major</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2</v>
      </c>
      <c r="F76" s="23">
        <f>IF(D76="major",Parameters!$B$14,IF(D76="medium",Parameters!$B$15,Parameters!$B$16))</f>
        <v>3</v>
      </c>
      <c r="G76" s="16">
        <f t="shared" si="2"/>
        <v>3</v>
      </c>
      <c r="H76" s="24">
        <f>Parameters!$B$20^(G76-1)</f>
        <v>0.48999999999999994</v>
      </c>
      <c r="I76" s="18">
        <f t="shared" si="3"/>
        <v>2.9399999999999995</v>
      </c>
    </row>
    <row r="77" spans="1:9" ht="13.15" x14ac:dyDescent="0.35">
      <c r="A77" s="21">
        <v>76</v>
      </c>
      <c r="B77" s="16">
        <f>'Data OPUS'!B77</f>
        <v>8</v>
      </c>
      <c r="C77" s="22" t="str">
        <f>'Data OPUS'!F77</f>
        <v>piece_relations</v>
      </c>
      <c r="D77" s="16" t="str">
        <f>LOWER(TRIM('Data OPUS'!H77))</f>
        <v>major</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4</v>
      </c>
      <c r="F77" s="23">
        <f>IF(D77="major",Parameters!$B$14,IF(D77="medium",Parameters!$B$15,Parameters!$B$16))</f>
        <v>3</v>
      </c>
      <c r="G77" s="16">
        <f t="shared" si="2"/>
        <v>3</v>
      </c>
      <c r="H77" s="24">
        <f>Parameters!$B$20^(G77-1)</f>
        <v>0.48999999999999994</v>
      </c>
      <c r="I77" s="18">
        <f t="shared" si="3"/>
        <v>5.879999999999999</v>
      </c>
    </row>
    <row r="78" spans="1:9" ht="13.15" x14ac:dyDescent="0.35">
      <c r="A78" s="21">
        <v>77</v>
      </c>
      <c r="B78" s="16">
        <f>'Data OPUS'!B78</f>
        <v>8</v>
      </c>
      <c r="C78" s="22" t="str">
        <f>'Data OPUS'!F78</f>
        <v>move_legality</v>
      </c>
      <c r="D78" s="16" t="str">
        <f>LOWER(TRIM('Data OPUS'!H78))</f>
        <v>major</v>
      </c>
      <c r="E78" s="23">
        <f>IF(ISNUMBER(SEARCH("move_legality",C78)),Parameters!$B$4,IF(ISNUMBER(SEARCH("piece_placement",C78)),Parameters!$B$5,IF(ISNUMBER(SEARCH("material",C78)),Parameters!$B$6,IF(ISNUMBER(SEARCH("piece_relations",C78)),Parameters!$B$7,IF(ISNUMBER(SEARCH("geometry",C78)),Parameters!$B$8,IF(ISNUMBER(SEARCH("reasoning",C78)),Parameters!$B$9,Parameters!$B$10))))))</f>
        <v>8</v>
      </c>
      <c r="F78" s="23">
        <f>IF(D78="major",Parameters!$B$14,IF(D78="medium",Parameters!$B$15,Parameters!$B$16))</f>
        <v>3</v>
      </c>
      <c r="G78" s="16">
        <f t="shared" si="2"/>
        <v>2</v>
      </c>
      <c r="H78" s="24">
        <f>Parameters!$B$20^(G78-1)</f>
        <v>0.7</v>
      </c>
      <c r="I78" s="18">
        <f t="shared" si="3"/>
        <v>16.799999999999997</v>
      </c>
    </row>
    <row r="79" spans="1:9" ht="13.15" x14ac:dyDescent="0.35">
      <c r="A79" s="21">
        <v>78</v>
      </c>
      <c r="B79" s="16">
        <f>'Data OPUS'!B79</f>
        <v>8</v>
      </c>
      <c r="C79" s="22" t="str">
        <f>'Data OPUS'!F79</f>
        <v>reasoning</v>
      </c>
      <c r="D79" s="16" t="str">
        <f>LOWER(TRIM('Data OPUS'!H79))</f>
        <v>major</v>
      </c>
      <c r="E79" s="23">
        <f>IF(ISNUMBER(SEARCH("move_legality",C79)),Parameters!$B$4,IF(ISNUMBER(SEARCH("piece_placement",C79)),Parameters!$B$5,IF(ISNUMBER(SEARCH("material",C79)),Parameters!$B$6,IF(ISNUMBER(SEARCH("piece_relations",C79)),Parameters!$B$7,IF(ISNUMBER(SEARCH("geometry",C79)),Parameters!$B$8,IF(ISNUMBER(SEARCH("reasoning",C79)),Parameters!$B$9,Parameters!$B$10))))))</f>
        <v>2</v>
      </c>
      <c r="F79" s="23">
        <f>IF(D79="major",Parameters!$B$14,IF(D79="medium",Parameters!$B$15,Parameters!$B$16))</f>
        <v>3</v>
      </c>
      <c r="G79" s="16">
        <f t="shared" si="2"/>
        <v>4</v>
      </c>
      <c r="H79" s="24">
        <f>Parameters!$B$20^(G79-1)</f>
        <v>0.34299999999999992</v>
      </c>
      <c r="I79" s="18">
        <f t="shared" si="3"/>
        <v>2.0579999999999994</v>
      </c>
    </row>
    <row r="80" spans="1:9" ht="13.15" x14ac:dyDescent="0.35">
      <c r="A80" s="21">
        <v>79</v>
      </c>
      <c r="B80" s="16">
        <f>'Data OPUS'!B80</f>
        <v>8</v>
      </c>
      <c r="C80" s="22" t="str">
        <f>'Data OPUS'!F80</f>
        <v>piece_relations</v>
      </c>
      <c r="D80" s="16" t="str">
        <f>LOWER(TRIM('Data OPUS'!H80))</f>
        <v>major</v>
      </c>
      <c r="E80" s="23">
        <f>IF(ISNUMBER(SEARCH("move_legality",C80)),Parameters!$B$4,IF(ISNUMBER(SEARCH("piece_placement",C80)),Parameters!$B$5,IF(ISNUMBER(SEARCH("material",C80)),Parameters!$B$6,IF(ISNUMBER(SEARCH("piece_relations",C80)),Parameters!$B$7,IF(ISNUMBER(SEARCH("geometry",C80)),Parameters!$B$8,IF(ISNUMBER(SEARCH("reasoning",C80)),Parameters!$B$9,Parameters!$B$10))))))</f>
        <v>4</v>
      </c>
      <c r="F80" s="23">
        <f>IF(D80="major",Parameters!$B$14,IF(D80="medium",Parameters!$B$15,Parameters!$B$16))</f>
        <v>3</v>
      </c>
      <c r="G80" s="16">
        <f t="shared" si="2"/>
        <v>4</v>
      </c>
      <c r="H80" s="24">
        <f>Parameters!$B$20^(G80-1)</f>
        <v>0.34299999999999992</v>
      </c>
      <c r="I80" s="18">
        <f t="shared" si="3"/>
        <v>4.1159999999999988</v>
      </c>
    </row>
    <row r="81" spans="1:9" ht="13.15" x14ac:dyDescent="0.35">
      <c r="A81" s="21">
        <v>80</v>
      </c>
      <c r="B81" s="16">
        <f>'Data OPUS'!B81</f>
        <v>8</v>
      </c>
      <c r="C81" s="22" t="str">
        <f>'Data OPUS'!F81</f>
        <v>reasoning</v>
      </c>
      <c r="D81" s="16" t="str">
        <f>LOWER(TRIM('Data OPUS'!H81))</f>
        <v>minor</v>
      </c>
      <c r="E81" s="23">
        <f>IF(ISNUMBER(SEARCH("move_legality",C81)),Parameters!$B$4,IF(ISNUMBER(SEARCH("piece_placement",C81)),Parameters!$B$5,IF(ISNUMBER(SEARCH("material",C81)),Parameters!$B$6,IF(ISNUMBER(SEARCH("piece_relations",C81)),Parameters!$B$7,IF(ISNUMBER(SEARCH("geometry",C81)),Parameters!$B$8,IF(ISNUMBER(SEARCH("reasoning",C81)),Parameters!$B$9,Parameters!$B$10))))))</f>
        <v>2</v>
      </c>
      <c r="F81" s="23">
        <f>IF(D81="major",Parameters!$B$14,IF(D81="medium",Parameters!$B$15,Parameters!$B$16))</f>
        <v>1</v>
      </c>
      <c r="G81" s="16">
        <f t="shared" si="2"/>
        <v>8</v>
      </c>
      <c r="H81" s="24">
        <f>Parameters!$B$20^(G81-1)</f>
        <v>8.235429999999995E-2</v>
      </c>
      <c r="I81" s="18">
        <f t="shared" si="3"/>
        <v>0.1647085999999999</v>
      </c>
    </row>
    <row r="82" spans="1:9" ht="13.15" x14ac:dyDescent="0.35">
      <c r="A82" s="21">
        <v>81</v>
      </c>
      <c r="B82" s="16">
        <f>'Data OPUS'!B82</f>
        <v>8</v>
      </c>
      <c r="C82" s="22" t="str">
        <f>'Data OPUS'!F82</f>
        <v>material</v>
      </c>
      <c r="D82" s="16" t="str">
        <f>LOWER(TRIM('Data OPUS'!H82))</f>
        <v>major</v>
      </c>
      <c r="E82" s="23">
        <f>IF(ISNUMBER(SEARCH("move_legality",C82)),Parameters!$B$4,IF(ISNUMBER(SEARCH("piece_placement",C82)),Parameters!$B$5,IF(ISNUMBER(SEARCH("material",C82)),Parameters!$B$6,IF(ISNUMBER(SEARCH("piece_relations",C82)),Parameters!$B$7,IF(ISNUMBER(SEARCH("geometry",C82)),Parameters!$B$8,IF(ISNUMBER(SEARCH("reasoning",C82)),Parameters!$B$9,Parameters!$B$10))))))</f>
        <v>5</v>
      </c>
      <c r="F82" s="23">
        <f>IF(D82="major",Parameters!$B$14,IF(D82="medium",Parameters!$B$15,Parameters!$B$16))</f>
        <v>3</v>
      </c>
      <c r="G82" s="16">
        <f t="shared" si="2"/>
        <v>1</v>
      </c>
      <c r="H82" s="24">
        <f>Parameters!$B$20^(G82-1)</f>
        <v>1</v>
      </c>
      <c r="I82" s="18">
        <f t="shared" si="3"/>
        <v>15</v>
      </c>
    </row>
    <row r="83" spans="1:9" ht="13.15" x14ac:dyDescent="0.35">
      <c r="A83" s="21">
        <v>82</v>
      </c>
      <c r="B83" s="16">
        <f>'Data OPUS'!B83</f>
        <v>8</v>
      </c>
      <c r="C83" s="22" t="str">
        <f>'Data OPUS'!F83</f>
        <v>reasoning</v>
      </c>
      <c r="D83" s="16" t="str">
        <f>LOWER(TRIM('Data OPUS'!H83))</f>
        <v>major</v>
      </c>
      <c r="E83" s="23">
        <f>IF(ISNUMBER(SEARCH("move_legality",C83)),Parameters!$B$4,IF(ISNUMBER(SEARCH("piece_placement",C83)),Parameters!$B$5,IF(ISNUMBER(SEARCH("material",C83)),Parameters!$B$6,IF(ISNUMBER(SEARCH("piece_relations",C83)),Parameters!$B$7,IF(ISNUMBER(SEARCH("geometry",C83)),Parameters!$B$8,IF(ISNUMBER(SEARCH("reasoning",C83)),Parameters!$B$9,Parameters!$B$10))))))</f>
        <v>2</v>
      </c>
      <c r="F83" s="23">
        <f>IF(D83="major",Parameters!$B$14,IF(D83="medium",Parameters!$B$15,Parameters!$B$16))</f>
        <v>3</v>
      </c>
      <c r="G83" s="16">
        <f t="shared" si="2"/>
        <v>5</v>
      </c>
      <c r="H83" s="24">
        <f>Parameters!$B$20^(G83-1)</f>
        <v>0.24009999999999992</v>
      </c>
      <c r="I83" s="18">
        <f t="shared" si="3"/>
        <v>1.4405999999999994</v>
      </c>
    </row>
    <row r="84" spans="1:9" ht="13.15" x14ac:dyDescent="0.35">
      <c r="A84" s="21">
        <v>83</v>
      </c>
      <c r="B84" s="16">
        <f>'Data OPUS'!B84</f>
        <v>8</v>
      </c>
      <c r="C84" s="22" t="str">
        <f>'Data OPUS'!F84</f>
        <v>piece_relations</v>
      </c>
      <c r="D84" s="16" t="str">
        <f>LOWER(TRIM('Data OPUS'!H84))</f>
        <v>major</v>
      </c>
      <c r="E84" s="23">
        <f>IF(ISNUMBER(SEARCH("move_legality",C84)),Parameters!$B$4,IF(ISNUMBER(SEARCH("piece_placement",C84)),Parameters!$B$5,IF(ISNUMBER(SEARCH("material",C84)),Parameters!$B$6,IF(ISNUMBER(SEARCH("piece_relations",C84)),Parameters!$B$7,IF(ISNUMBER(SEARCH("geometry",C84)),Parameters!$B$8,IF(ISNUMBER(SEARCH("reasoning",C84)),Parameters!$B$9,Parameters!$B$10))))))</f>
        <v>4</v>
      </c>
      <c r="F84" s="23">
        <f>IF(D84="major",Parameters!$B$14,IF(D84="medium",Parameters!$B$15,Parameters!$B$16))</f>
        <v>3</v>
      </c>
      <c r="G84" s="16">
        <f t="shared" si="2"/>
        <v>5</v>
      </c>
      <c r="H84" s="24">
        <f>Parameters!$B$20^(G84-1)</f>
        <v>0.24009999999999992</v>
      </c>
      <c r="I84" s="18">
        <f t="shared" si="3"/>
        <v>2.8811999999999989</v>
      </c>
    </row>
    <row r="85" spans="1:9" ht="13.15" x14ac:dyDescent="0.35">
      <c r="A85" s="21">
        <v>84</v>
      </c>
      <c r="B85" s="16">
        <f>'Data OPUS'!B85</f>
        <v>8</v>
      </c>
      <c r="C85" s="22" t="str">
        <f>'Data OPUS'!F85</f>
        <v>reasoning</v>
      </c>
      <c r="D85" s="16" t="str">
        <f>LOWER(TRIM('Data OPUS'!H85))</f>
        <v>minor</v>
      </c>
      <c r="E85" s="23">
        <f>IF(ISNUMBER(SEARCH("move_legality",C85)),Parameters!$B$4,IF(ISNUMBER(SEARCH("piece_placement",C85)),Parameters!$B$5,IF(ISNUMBER(SEARCH("material",C85)),Parameters!$B$6,IF(ISNUMBER(SEARCH("piece_relations",C85)),Parameters!$B$7,IF(ISNUMBER(SEARCH("geometry",C85)),Parameters!$B$8,IF(ISNUMBER(SEARCH("reasoning",C85)),Parameters!$B$9,Parameters!$B$10))))))</f>
        <v>2</v>
      </c>
      <c r="F85" s="23">
        <f>IF(D85="major",Parameters!$B$14,IF(D85="medium",Parameters!$B$15,Parameters!$B$16))</f>
        <v>1</v>
      </c>
      <c r="G85" s="16">
        <f t="shared" si="2"/>
        <v>9</v>
      </c>
      <c r="H85" s="24">
        <f>Parameters!$B$20^(G85-1)</f>
        <v>5.7648009999999965E-2</v>
      </c>
      <c r="I85" s="18">
        <f t="shared" si="3"/>
        <v>0.11529601999999993</v>
      </c>
    </row>
    <row r="86" spans="1:9" ht="13.15" x14ac:dyDescent="0.35">
      <c r="A86" s="21">
        <v>85</v>
      </c>
      <c r="B86" s="16">
        <f>'Data OPUS'!B86</f>
        <v>8</v>
      </c>
      <c r="C86" s="22" t="str">
        <f>'Data OPUS'!F86</f>
        <v>reasoning</v>
      </c>
      <c r="D86" s="16" t="str">
        <f>LOWER(TRIM('Data OPUS'!H86))</f>
        <v>minor</v>
      </c>
      <c r="E86" s="23">
        <f>IF(ISNUMBER(SEARCH("move_legality",C86)),Parameters!$B$4,IF(ISNUMBER(SEARCH("piece_placement",C86)),Parameters!$B$5,IF(ISNUMBER(SEARCH("material",C86)),Parameters!$B$6,IF(ISNUMBER(SEARCH("piece_relations",C86)),Parameters!$B$7,IF(ISNUMBER(SEARCH("geometry",C86)),Parameters!$B$8,IF(ISNUMBER(SEARCH("reasoning",C86)),Parameters!$B$9,Parameters!$B$10))))))</f>
        <v>2</v>
      </c>
      <c r="F86" s="23">
        <f>IF(D86="major",Parameters!$B$14,IF(D86="medium",Parameters!$B$15,Parameters!$B$16))</f>
        <v>1</v>
      </c>
      <c r="G86" s="16">
        <f t="shared" si="2"/>
        <v>10</v>
      </c>
      <c r="H86" s="24">
        <f>Parameters!$B$20^(G86-1)</f>
        <v>4.0353606999999972E-2</v>
      </c>
      <c r="I86" s="18">
        <f t="shared" si="3"/>
        <v>8.0707213999999944E-2</v>
      </c>
    </row>
    <row r="87" spans="1:9" ht="13.15" x14ac:dyDescent="0.35">
      <c r="A87" s="21">
        <v>86</v>
      </c>
      <c r="B87" s="16">
        <f>'Data OPUS'!B87</f>
        <v>9</v>
      </c>
      <c r="C87" s="22" t="str">
        <f>'Data OPUS'!F87</f>
        <v>geometry</v>
      </c>
      <c r="D87" s="16" t="str">
        <f>LOWER(TRIM('Data OPUS'!H87))</f>
        <v>major</v>
      </c>
      <c r="E87" s="23">
        <f>IF(ISNUMBER(SEARCH("move_legality",C87)),Parameters!$B$4,IF(ISNUMBER(SEARCH("piece_placement",C87)),Parameters!$B$5,IF(ISNUMBER(SEARCH("material",C87)),Parameters!$B$6,IF(ISNUMBER(SEARCH("piece_relations",C87)),Parameters!$B$7,IF(ISNUMBER(SEARCH("geometry",C87)),Parameters!$B$8,IF(ISNUMBER(SEARCH("reasoning",C87)),Parameters!$B$9,Parameters!$B$10))))))</f>
        <v>3</v>
      </c>
      <c r="F87" s="23">
        <f>IF(D87="major",Parameters!$B$14,IF(D87="medium",Parameters!$B$15,Parameters!$B$16))</f>
        <v>3</v>
      </c>
      <c r="G87" s="16">
        <f t="shared" si="2"/>
        <v>1</v>
      </c>
      <c r="H87" s="24">
        <f>Parameters!$B$20^(G87-1)</f>
        <v>1</v>
      </c>
      <c r="I87" s="18">
        <f t="shared" si="3"/>
        <v>9</v>
      </c>
    </row>
    <row r="88" spans="1:9" ht="13.15" x14ac:dyDescent="0.35">
      <c r="A88" s="21">
        <v>87</v>
      </c>
      <c r="B88" s="16">
        <f>'Data OPUS'!B88</f>
        <v>9</v>
      </c>
      <c r="C88" s="22" t="str">
        <f>'Data OPUS'!F88</f>
        <v>geometry</v>
      </c>
      <c r="D88" s="16" t="str">
        <f>LOWER(TRIM('Data OPUS'!H88))</f>
        <v>major</v>
      </c>
      <c r="E88" s="23">
        <f>IF(ISNUMBER(SEARCH("move_legality",C88)),Parameters!$B$4,IF(ISNUMBER(SEARCH("piece_placement",C88)),Parameters!$B$5,IF(ISNUMBER(SEARCH("material",C88)),Parameters!$B$6,IF(ISNUMBER(SEARCH("piece_relations",C88)),Parameters!$B$7,IF(ISNUMBER(SEARCH("geometry",C88)),Parameters!$B$8,IF(ISNUMBER(SEARCH("reasoning",C88)),Parameters!$B$9,Parameters!$B$10))))))</f>
        <v>3</v>
      </c>
      <c r="F88" s="23">
        <f>IF(D88="major",Parameters!$B$14,IF(D88="medium",Parameters!$B$15,Parameters!$B$16))</f>
        <v>3</v>
      </c>
      <c r="G88" s="16">
        <f t="shared" si="2"/>
        <v>2</v>
      </c>
      <c r="H88" s="24">
        <f>Parameters!$B$20^(G88-1)</f>
        <v>0.7</v>
      </c>
      <c r="I88" s="18">
        <f t="shared" si="3"/>
        <v>6.3</v>
      </c>
    </row>
    <row r="89" spans="1:9" ht="13.15" x14ac:dyDescent="0.35">
      <c r="A89" s="21">
        <v>88</v>
      </c>
      <c r="B89" s="16">
        <f>'Data OPUS'!B89</f>
        <v>9</v>
      </c>
      <c r="C89" s="22" t="str">
        <f>'Data OPUS'!F89</f>
        <v>reasoning</v>
      </c>
      <c r="D89" s="16" t="str">
        <f>LOWER(TRIM('Data OPUS'!H89))</f>
        <v>major</v>
      </c>
      <c r="E89" s="23">
        <f>IF(ISNUMBER(SEARCH("move_legality",C89)),Parameters!$B$4,IF(ISNUMBER(SEARCH("piece_placement",C89)),Parameters!$B$5,IF(ISNUMBER(SEARCH("material",C89)),Parameters!$B$6,IF(ISNUMBER(SEARCH("piece_relations",C89)),Parameters!$B$7,IF(ISNUMBER(SEARCH("geometry",C89)),Parameters!$B$8,IF(ISNUMBER(SEARCH("reasoning",C89)),Parameters!$B$9,Parameters!$B$10))))))</f>
        <v>2</v>
      </c>
      <c r="F89" s="23">
        <f>IF(D89="major",Parameters!$B$14,IF(D89="medium",Parameters!$B$15,Parameters!$B$16))</f>
        <v>3</v>
      </c>
      <c r="G89" s="16">
        <f t="shared" si="2"/>
        <v>1</v>
      </c>
      <c r="H89" s="24">
        <f>Parameters!$B$20^(G89-1)</f>
        <v>1</v>
      </c>
      <c r="I89" s="18">
        <f t="shared" si="3"/>
        <v>6</v>
      </c>
    </row>
    <row r="90" spans="1:9" ht="13.15" x14ac:dyDescent="0.35">
      <c r="A90" s="21">
        <v>89</v>
      </c>
      <c r="B90" s="16">
        <f>'Data OPUS'!B90</f>
        <v>9</v>
      </c>
      <c r="C90" s="22" t="str">
        <f>'Data OPUS'!F90</f>
        <v>reasoning</v>
      </c>
      <c r="D90" s="16" t="str">
        <f>LOWER(TRIM('Data OPUS'!H90))</f>
        <v>minor</v>
      </c>
      <c r="E90" s="23">
        <f>IF(ISNUMBER(SEARCH("move_legality",C90)),Parameters!$B$4,IF(ISNUMBER(SEARCH("piece_placement",C90)),Parameters!$B$5,IF(ISNUMBER(SEARCH("material",C90)),Parameters!$B$6,IF(ISNUMBER(SEARCH("piece_relations",C90)),Parameters!$B$7,IF(ISNUMBER(SEARCH("geometry",C90)),Parameters!$B$8,IF(ISNUMBER(SEARCH("reasoning",C90)),Parameters!$B$9,Parameters!$B$10))))))</f>
        <v>2</v>
      </c>
      <c r="F90" s="23">
        <f>IF(D90="major",Parameters!$B$14,IF(D90="medium",Parameters!$B$15,Parameters!$B$16))</f>
        <v>1</v>
      </c>
      <c r="G90" s="16">
        <f t="shared" si="2"/>
        <v>7</v>
      </c>
      <c r="H90" s="24">
        <f>Parameters!$B$20^(G90-1)</f>
        <v>0.11764899999999995</v>
      </c>
      <c r="I90" s="18">
        <f t="shared" si="3"/>
        <v>0.2352979999999999</v>
      </c>
    </row>
    <row r="91" spans="1:9" ht="13.15" x14ac:dyDescent="0.35">
      <c r="A91" s="21">
        <v>90</v>
      </c>
      <c r="B91" s="16">
        <f>'Data OPUS'!B91</f>
        <v>9</v>
      </c>
      <c r="C91" s="22" t="str">
        <f>'Data OPUS'!F91</f>
        <v>reasoning</v>
      </c>
      <c r="D91" s="16" t="str">
        <f>LOWER(TRIM('Data OPUS'!H91))</f>
        <v>major</v>
      </c>
      <c r="E91" s="23">
        <f>IF(ISNUMBER(SEARCH("move_legality",C91)),Parameters!$B$4,IF(ISNUMBER(SEARCH("piece_placement",C91)),Parameters!$B$5,IF(ISNUMBER(SEARCH("material",C91)),Parameters!$B$6,IF(ISNUMBER(SEARCH("piece_relations",C91)),Parameters!$B$7,IF(ISNUMBER(SEARCH("geometry",C91)),Parameters!$B$8,IF(ISNUMBER(SEARCH("reasoning",C91)),Parameters!$B$9,Parameters!$B$10))))))</f>
        <v>2</v>
      </c>
      <c r="F91" s="23">
        <f>IF(D91="major",Parameters!$B$14,IF(D91="medium",Parameters!$B$15,Parameters!$B$16))</f>
        <v>3</v>
      </c>
      <c r="G91" s="16">
        <f t="shared" si="2"/>
        <v>2</v>
      </c>
      <c r="H91" s="24">
        <f>Parameters!$B$20^(G91-1)</f>
        <v>0.7</v>
      </c>
      <c r="I91" s="18">
        <f t="shared" si="3"/>
        <v>4.1999999999999993</v>
      </c>
    </row>
    <row r="92" spans="1:9" ht="13.15" x14ac:dyDescent="0.35">
      <c r="A92" s="21">
        <v>91</v>
      </c>
      <c r="B92" s="16">
        <f>'Data OPUS'!B92</f>
        <v>9</v>
      </c>
      <c r="C92" s="22" t="str">
        <f>'Data OPUS'!F92</f>
        <v>reasoning</v>
      </c>
      <c r="D92" s="16" t="str">
        <f>LOWER(TRIM('Data OPUS'!H92))</f>
        <v>major</v>
      </c>
      <c r="E92" s="23">
        <f>IF(ISNUMBER(SEARCH("move_legality",C92)),Parameters!$B$4,IF(ISNUMBER(SEARCH("piece_placement",C92)),Parameters!$B$5,IF(ISNUMBER(SEARCH("material",C92)),Parameters!$B$6,IF(ISNUMBER(SEARCH("piece_relations",C92)),Parameters!$B$7,IF(ISNUMBER(SEARCH("geometry",C92)),Parameters!$B$8,IF(ISNUMBER(SEARCH("reasoning",C92)),Parameters!$B$9,Parameters!$B$10))))))</f>
        <v>2</v>
      </c>
      <c r="F92" s="23">
        <f>IF(D92="major",Parameters!$B$14,IF(D92="medium",Parameters!$B$15,Parameters!$B$16))</f>
        <v>3</v>
      </c>
      <c r="G92" s="16">
        <f t="shared" si="2"/>
        <v>3</v>
      </c>
      <c r="H92" s="24">
        <f>Parameters!$B$20^(G92-1)</f>
        <v>0.48999999999999994</v>
      </c>
      <c r="I92" s="18">
        <f t="shared" si="3"/>
        <v>2.9399999999999995</v>
      </c>
    </row>
    <row r="93" spans="1:9" ht="13.15" x14ac:dyDescent="0.35">
      <c r="A93" s="21">
        <v>92</v>
      </c>
      <c r="B93" s="16">
        <f>'Data OPUS'!B93</f>
        <v>9</v>
      </c>
      <c r="C93" s="22" t="str">
        <f>'Data OPUS'!F93</f>
        <v>piece_relations</v>
      </c>
      <c r="D93" s="16" t="str">
        <f>LOWER(TRIM('Data OPUS'!H93))</f>
        <v>major</v>
      </c>
      <c r="E93" s="23">
        <f>IF(ISNUMBER(SEARCH("move_legality",C93)),Parameters!$B$4,IF(ISNUMBER(SEARCH("piece_placement",C93)),Parameters!$B$5,IF(ISNUMBER(SEARCH("material",C93)),Parameters!$B$6,IF(ISNUMBER(SEARCH("piece_relations",C93)),Parameters!$B$7,IF(ISNUMBER(SEARCH("geometry",C93)),Parameters!$B$8,IF(ISNUMBER(SEARCH("reasoning",C93)),Parameters!$B$9,Parameters!$B$10))))))</f>
        <v>4</v>
      </c>
      <c r="F93" s="23">
        <f>IF(D93="major",Parameters!$B$14,IF(D93="medium",Parameters!$B$15,Parameters!$B$16))</f>
        <v>3</v>
      </c>
      <c r="G93" s="16">
        <f t="shared" si="2"/>
        <v>1</v>
      </c>
      <c r="H93" s="24">
        <f>Parameters!$B$20^(G93-1)</f>
        <v>1</v>
      </c>
      <c r="I93" s="18">
        <f t="shared" si="3"/>
        <v>12</v>
      </c>
    </row>
    <row r="94" spans="1:9" ht="13.15" x14ac:dyDescent="0.35">
      <c r="A94" s="21">
        <v>93</v>
      </c>
      <c r="B94" s="16">
        <f>'Data OPUS'!B94</f>
        <v>9</v>
      </c>
      <c r="C94" s="22" t="str">
        <f>'Data OPUS'!F94</f>
        <v>piece_relations</v>
      </c>
      <c r="D94" s="16" t="str">
        <f>LOWER(TRIM('Data OPUS'!H94))</f>
        <v>major</v>
      </c>
      <c r="E94" s="23">
        <f>IF(ISNUMBER(SEARCH("move_legality",C94)),Parameters!$B$4,IF(ISNUMBER(SEARCH("piece_placement",C94)),Parameters!$B$5,IF(ISNUMBER(SEARCH("material",C94)),Parameters!$B$6,IF(ISNUMBER(SEARCH("piece_relations",C94)),Parameters!$B$7,IF(ISNUMBER(SEARCH("geometry",C94)),Parameters!$B$8,IF(ISNUMBER(SEARCH("reasoning",C94)),Parameters!$B$9,Parameters!$B$10))))))</f>
        <v>4</v>
      </c>
      <c r="F94" s="23">
        <f>IF(D94="major",Parameters!$B$14,IF(D94="medium",Parameters!$B$15,Parameters!$B$16))</f>
        <v>3</v>
      </c>
      <c r="G94" s="16">
        <f t="shared" si="2"/>
        <v>2</v>
      </c>
      <c r="H94" s="24">
        <f>Parameters!$B$20^(G94-1)</f>
        <v>0.7</v>
      </c>
      <c r="I94" s="18">
        <f t="shared" si="3"/>
        <v>8.3999999999999986</v>
      </c>
    </row>
    <row r="95" spans="1:9" ht="13.15" x14ac:dyDescent="0.35">
      <c r="A95" s="21">
        <v>94</v>
      </c>
      <c r="B95" s="16">
        <f>'Data OPUS'!B95</f>
        <v>9</v>
      </c>
      <c r="C95" s="22" t="str">
        <f>'Data OPUS'!F95</f>
        <v>reasoning</v>
      </c>
      <c r="D95" s="16" t="str">
        <f>LOWER(TRIM('Data OPUS'!H95))</f>
        <v>major</v>
      </c>
      <c r="E95" s="23">
        <f>IF(ISNUMBER(SEARCH("move_legality",C95)),Parameters!$B$4,IF(ISNUMBER(SEARCH("piece_placement",C95)),Parameters!$B$5,IF(ISNUMBER(SEARCH("material",C95)),Parameters!$B$6,IF(ISNUMBER(SEARCH("piece_relations",C95)),Parameters!$B$7,IF(ISNUMBER(SEARCH("geometry",C95)),Parameters!$B$8,IF(ISNUMBER(SEARCH("reasoning",C95)),Parameters!$B$9,Parameters!$B$10))))))</f>
        <v>2</v>
      </c>
      <c r="F95" s="23">
        <f>IF(D95="major",Parameters!$B$14,IF(D95="medium",Parameters!$B$15,Parameters!$B$16))</f>
        <v>3</v>
      </c>
      <c r="G95" s="16">
        <f t="shared" si="2"/>
        <v>4</v>
      </c>
      <c r="H95" s="24">
        <f>Parameters!$B$20^(G95-1)</f>
        <v>0.34299999999999992</v>
      </c>
      <c r="I95" s="18">
        <f t="shared" si="3"/>
        <v>2.0579999999999994</v>
      </c>
    </row>
    <row r="96" spans="1:9" ht="13.15" x14ac:dyDescent="0.35">
      <c r="A96" s="21">
        <v>95</v>
      </c>
      <c r="B96" s="16">
        <f>'Data OPUS'!B96</f>
        <v>9</v>
      </c>
      <c r="C96" s="22" t="str">
        <f>'Data OPUS'!F96</f>
        <v>reasoning</v>
      </c>
      <c r="D96" s="16" t="str">
        <f>LOWER(TRIM('Data OPUS'!H96))</f>
        <v>major</v>
      </c>
      <c r="E96" s="23">
        <f>IF(ISNUMBER(SEARCH("move_legality",C96)),Parameters!$B$4,IF(ISNUMBER(SEARCH("piece_placement",C96)),Parameters!$B$5,IF(ISNUMBER(SEARCH("material",C96)),Parameters!$B$6,IF(ISNUMBER(SEARCH("piece_relations",C96)),Parameters!$B$7,IF(ISNUMBER(SEARCH("geometry",C96)),Parameters!$B$8,IF(ISNUMBER(SEARCH("reasoning",C96)),Parameters!$B$9,Parameters!$B$10))))))</f>
        <v>2</v>
      </c>
      <c r="F96" s="23">
        <f>IF(D96="major",Parameters!$B$14,IF(D96="medium",Parameters!$B$15,Parameters!$B$16))</f>
        <v>3</v>
      </c>
      <c r="G96" s="16">
        <f t="shared" si="2"/>
        <v>5</v>
      </c>
      <c r="H96" s="24">
        <f>Parameters!$B$20^(G96-1)</f>
        <v>0.24009999999999992</v>
      </c>
      <c r="I96" s="18">
        <f t="shared" si="3"/>
        <v>1.4405999999999994</v>
      </c>
    </row>
    <row r="97" spans="1:9" ht="13.15" x14ac:dyDescent="0.35">
      <c r="A97" s="21">
        <v>96</v>
      </c>
      <c r="B97" s="16">
        <f>'Data OPUS'!B97</f>
        <v>9</v>
      </c>
      <c r="C97" s="22" t="str">
        <f>'Data OPUS'!F97</f>
        <v>geometry</v>
      </c>
      <c r="D97" s="16" t="str">
        <f>LOWER(TRIM('Data OPUS'!H97))</f>
        <v>medium</v>
      </c>
      <c r="E97" s="23">
        <f>IF(ISNUMBER(SEARCH("move_legality",C97)),Parameters!$B$4,IF(ISNUMBER(SEARCH("piece_placement",C97)),Parameters!$B$5,IF(ISNUMBER(SEARCH("material",C97)),Parameters!$B$6,IF(ISNUMBER(SEARCH("piece_relations",C97)),Parameters!$B$7,IF(ISNUMBER(SEARCH("geometry",C97)),Parameters!$B$8,IF(ISNUMBER(SEARCH("reasoning",C97)),Parameters!$B$9,Parameters!$B$10))))))</f>
        <v>3</v>
      </c>
      <c r="F97" s="23">
        <f>IF(D97="major",Parameters!$B$14,IF(D97="medium",Parameters!$B$15,Parameters!$B$16))</f>
        <v>2</v>
      </c>
      <c r="G97" s="16">
        <f t="shared" si="2"/>
        <v>3</v>
      </c>
      <c r="H97" s="24">
        <f>Parameters!$B$20^(G97-1)</f>
        <v>0.48999999999999994</v>
      </c>
      <c r="I97" s="18">
        <f t="shared" si="3"/>
        <v>2.9399999999999995</v>
      </c>
    </row>
    <row r="98" spans="1:9" ht="13.15" x14ac:dyDescent="0.35">
      <c r="A98" s="21">
        <v>97</v>
      </c>
      <c r="B98" s="16">
        <f>'Data OPUS'!B98</f>
        <v>9</v>
      </c>
      <c r="C98" s="22" t="str">
        <f>'Data OPUS'!F98</f>
        <v>reasoning</v>
      </c>
      <c r="D98" s="16" t="str">
        <f>LOWER(TRIM('Data OPUS'!H98))</f>
        <v>major</v>
      </c>
      <c r="E98" s="23">
        <f>IF(ISNUMBER(SEARCH("move_legality",C98)),Parameters!$B$4,IF(ISNUMBER(SEARCH("piece_placement",C98)),Parameters!$B$5,IF(ISNUMBER(SEARCH("material",C98)),Parameters!$B$6,IF(ISNUMBER(SEARCH("piece_relations",C98)),Parameters!$B$7,IF(ISNUMBER(SEARCH("geometry",C98)),Parameters!$B$8,IF(ISNUMBER(SEARCH("reasoning",C98)),Parameters!$B$9,Parameters!$B$10))))))</f>
        <v>2</v>
      </c>
      <c r="F98" s="23">
        <f>IF(D98="major",Parameters!$B$14,IF(D98="medium",Parameters!$B$15,Parameters!$B$16))</f>
        <v>3</v>
      </c>
      <c r="G98" s="16">
        <f t="shared" si="2"/>
        <v>6</v>
      </c>
      <c r="H98" s="24">
        <f>Parameters!$B$20^(G98-1)</f>
        <v>0.16806999999999994</v>
      </c>
      <c r="I98" s="18">
        <f t="shared" si="3"/>
        <v>1.0084199999999996</v>
      </c>
    </row>
    <row r="99" spans="1:9" ht="13.15" x14ac:dyDescent="0.35">
      <c r="A99" s="21">
        <v>98</v>
      </c>
      <c r="B99" s="16">
        <f>'Data OPUS'!B99</f>
        <v>9</v>
      </c>
      <c r="C99" s="22" t="str">
        <f>'Data OPUS'!F99</f>
        <v>reasoning</v>
      </c>
      <c r="D99" s="16" t="str">
        <f>LOWER(TRIM('Data OPUS'!H99))</f>
        <v>minor</v>
      </c>
      <c r="E99" s="23">
        <f>IF(ISNUMBER(SEARCH("move_legality",C99)),Parameters!$B$4,IF(ISNUMBER(SEARCH("piece_placement",C99)),Parameters!$B$5,IF(ISNUMBER(SEARCH("material",C99)),Parameters!$B$6,IF(ISNUMBER(SEARCH("piece_relations",C99)),Parameters!$B$7,IF(ISNUMBER(SEARCH("geometry",C99)),Parameters!$B$8,IF(ISNUMBER(SEARCH("reasoning",C99)),Parameters!$B$9,Parameters!$B$10))))))</f>
        <v>2</v>
      </c>
      <c r="F99" s="23">
        <f>IF(D99="major",Parameters!$B$14,IF(D99="medium",Parameters!$B$15,Parameters!$B$16))</f>
        <v>1</v>
      </c>
      <c r="G99" s="16">
        <f t="shared" si="2"/>
        <v>8</v>
      </c>
      <c r="H99" s="24">
        <f>Parameters!$B$20^(G99-1)</f>
        <v>8.235429999999995E-2</v>
      </c>
      <c r="I99" s="18">
        <f t="shared" si="3"/>
        <v>0.1647085999999999</v>
      </c>
    </row>
    <row r="100" spans="1:9" ht="13.15" x14ac:dyDescent="0.35">
      <c r="A100" s="21">
        <v>99</v>
      </c>
      <c r="B100" s="16">
        <f>'Data OPUS'!B100</f>
        <v>9</v>
      </c>
      <c r="C100" s="22" t="str">
        <f>'Data OPUS'!F100</f>
        <v>reasoning</v>
      </c>
      <c r="D100" s="16" t="str">
        <f>LOWER(TRIM('Data OPUS'!H100))</f>
        <v>minor</v>
      </c>
      <c r="E100" s="23">
        <f>IF(ISNUMBER(SEARCH("move_legality",C100)),Parameters!$B$4,IF(ISNUMBER(SEARCH("piece_placement",C100)),Parameters!$B$5,IF(ISNUMBER(SEARCH("material",C100)),Parameters!$B$6,IF(ISNUMBER(SEARCH("piece_relations",C100)),Parameters!$B$7,IF(ISNUMBER(SEARCH("geometry",C100)),Parameters!$B$8,IF(ISNUMBER(SEARCH("reasoning",C100)),Parameters!$B$9,Parameters!$B$10))))))</f>
        <v>2</v>
      </c>
      <c r="F100" s="23">
        <f>IF(D100="major",Parameters!$B$14,IF(D100="medium",Parameters!$B$15,Parameters!$B$16))</f>
        <v>1</v>
      </c>
      <c r="G100" s="16">
        <f t="shared" si="2"/>
        <v>9</v>
      </c>
      <c r="H100" s="24">
        <f>Parameters!$B$20^(G100-1)</f>
        <v>5.7648009999999965E-2</v>
      </c>
      <c r="I100" s="18">
        <f t="shared" si="3"/>
        <v>0.11529601999999993</v>
      </c>
    </row>
    <row r="101" spans="1:9" ht="13.15" x14ac:dyDescent="0.35">
      <c r="A101" s="21">
        <v>100</v>
      </c>
      <c r="B101" s="16">
        <f>'Data OPUS'!B101</f>
        <v>10</v>
      </c>
      <c r="C101" s="22" t="str">
        <f>'Data OPUS'!F101</f>
        <v>piece_relations</v>
      </c>
      <c r="D101" s="16" t="str">
        <f>LOWER(TRIM('Data OPUS'!H101))</f>
        <v>medium</v>
      </c>
      <c r="E101" s="23">
        <f>IF(ISNUMBER(SEARCH("move_legality",C101)),Parameters!$B$4,IF(ISNUMBER(SEARCH("piece_placement",C101)),Parameters!$B$5,IF(ISNUMBER(SEARCH("material",C101)),Parameters!$B$6,IF(ISNUMBER(SEARCH("piece_relations",C101)),Parameters!$B$7,IF(ISNUMBER(SEARCH("geometry",C101)),Parameters!$B$8,IF(ISNUMBER(SEARCH("reasoning",C101)),Parameters!$B$9,Parameters!$B$10))))))</f>
        <v>4</v>
      </c>
      <c r="F101" s="23">
        <f>IF(D101="major",Parameters!$B$14,IF(D101="medium",Parameters!$B$15,Parameters!$B$16))</f>
        <v>2</v>
      </c>
      <c r="G101" s="16">
        <f t="shared" si="2"/>
        <v>1</v>
      </c>
      <c r="H101" s="24">
        <f>Parameters!$B$20^(G101-1)</f>
        <v>1</v>
      </c>
      <c r="I101" s="18">
        <f t="shared" si="3"/>
        <v>8</v>
      </c>
    </row>
    <row r="102" spans="1:9" ht="13.15" x14ac:dyDescent="0.35">
      <c r="A102" s="21">
        <v>101</v>
      </c>
      <c r="B102" s="16">
        <f>'Data OPUS'!B102</f>
        <v>10</v>
      </c>
      <c r="C102" s="22" t="str">
        <f>'Data OPUS'!F102</f>
        <v>geometry</v>
      </c>
      <c r="D102" s="16" t="str">
        <f>LOWER(TRIM('Data OPUS'!H102))</f>
        <v>medium</v>
      </c>
      <c r="E102" s="23">
        <f>IF(ISNUMBER(SEARCH("move_legality",C102)),Parameters!$B$4,IF(ISNUMBER(SEARCH("piece_placement",C102)),Parameters!$B$5,IF(ISNUMBER(SEARCH("material",C102)),Parameters!$B$6,IF(ISNUMBER(SEARCH("piece_relations",C102)),Parameters!$B$7,IF(ISNUMBER(SEARCH("geometry",C102)),Parameters!$B$8,IF(ISNUMBER(SEARCH("reasoning",C102)),Parameters!$B$9,Parameters!$B$10))))))</f>
        <v>3</v>
      </c>
      <c r="F102" s="23">
        <f>IF(D102="major",Parameters!$B$14,IF(D102="medium",Parameters!$B$15,Parameters!$B$16))</f>
        <v>2</v>
      </c>
      <c r="G102" s="16">
        <f t="shared" si="2"/>
        <v>3</v>
      </c>
      <c r="H102" s="24">
        <f>Parameters!$B$20^(G102-1)</f>
        <v>0.48999999999999994</v>
      </c>
      <c r="I102" s="18">
        <f t="shared" si="3"/>
        <v>2.9399999999999995</v>
      </c>
    </row>
    <row r="103" spans="1:9" ht="13.15" x14ac:dyDescent="0.35">
      <c r="A103" s="21">
        <v>102</v>
      </c>
      <c r="B103" s="16">
        <f>'Data OPUS'!B103</f>
        <v>10</v>
      </c>
      <c r="C103" s="22" t="str">
        <f>'Data OPUS'!F103</f>
        <v>reasoning</v>
      </c>
      <c r="D103" s="16" t="str">
        <f>LOWER(TRIM('Data OPUS'!H103))</f>
        <v>medium</v>
      </c>
      <c r="E103" s="23">
        <f>IF(ISNUMBER(SEARCH("move_legality",C103)),Parameters!$B$4,IF(ISNUMBER(SEARCH("piece_placement",C103)),Parameters!$B$5,IF(ISNUMBER(SEARCH("material",C103)),Parameters!$B$6,IF(ISNUMBER(SEARCH("piece_relations",C103)),Parameters!$B$7,IF(ISNUMBER(SEARCH("geometry",C103)),Parameters!$B$8,IF(ISNUMBER(SEARCH("reasoning",C103)),Parameters!$B$9,Parameters!$B$10))))))</f>
        <v>2</v>
      </c>
      <c r="F103" s="23">
        <f>IF(D103="major",Parameters!$B$14,IF(D103="medium",Parameters!$B$15,Parameters!$B$16))</f>
        <v>2</v>
      </c>
      <c r="G103" s="16">
        <f t="shared" si="2"/>
        <v>2</v>
      </c>
      <c r="H103" s="24">
        <f>Parameters!$B$20^(G103-1)</f>
        <v>0.7</v>
      </c>
      <c r="I103" s="18">
        <f t="shared" si="3"/>
        <v>2.8</v>
      </c>
    </row>
    <row r="104" spans="1:9" ht="13.15" x14ac:dyDescent="0.35">
      <c r="A104" s="21">
        <v>103</v>
      </c>
      <c r="B104" s="16">
        <f>'Data OPUS'!B104</f>
        <v>10</v>
      </c>
      <c r="C104" s="22" t="str">
        <f>'Data OPUS'!F104</f>
        <v>geometry</v>
      </c>
      <c r="D104" s="16" t="str">
        <f>LOWER(TRIM('Data OPUS'!H104))</f>
        <v>major</v>
      </c>
      <c r="E104" s="23">
        <f>IF(ISNUMBER(SEARCH("move_legality",C104)),Parameters!$B$4,IF(ISNUMBER(SEARCH("piece_placement",C104)),Parameters!$B$5,IF(ISNUMBER(SEARCH("material",C104)),Parameters!$B$6,IF(ISNUMBER(SEARCH("piece_relations",C104)),Parameters!$B$7,IF(ISNUMBER(SEARCH("geometry",C104)),Parameters!$B$8,IF(ISNUMBER(SEARCH("reasoning",C104)),Parameters!$B$9,Parameters!$B$10))))))</f>
        <v>3</v>
      </c>
      <c r="F104" s="23">
        <f>IF(D104="major",Parameters!$B$14,IF(D104="medium",Parameters!$B$15,Parameters!$B$16))</f>
        <v>3</v>
      </c>
      <c r="G104" s="16">
        <f t="shared" si="2"/>
        <v>1</v>
      </c>
      <c r="H104" s="24">
        <f>Parameters!$B$20^(G104-1)</f>
        <v>1</v>
      </c>
      <c r="I104" s="18">
        <f t="shared" si="3"/>
        <v>9</v>
      </c>
    </row>
    <row r="105" spans="1:9" ht="13.15" x14ac:dyDescent="0.35">
      <c r="A105" s="21">
        <v>104</v>
      </c>
      <c r="B105" s="16">
        <f>'Data OPUS'!B105</f>
        <v>10</v>
      </c>
      <c r="C105" s="22" t="str">
        <f>'Data OPUS'!F105</f>
        <v>geometry</v>
      </c>
      <c r="D105" s="16" t="str">
        <f>LOWER(TRIM('Data OPUS'!H105))</f>
        <v>major</v>
      </c>
      <c r="E105" s="23">
        <f>IF(ISNUMBER(SEARCH("move_legality",C105)),Parameters!$B$4,IF(ISNUMBER(SEARCH("piece_placement",C105)),Parameters!$B$5,IF(ISNUMBER(SEARCH("material",C105)),Parameters!$B$6,IF(ISNUMBER(SEARCH("piece_relations",C105)),Parameters!$B$7,IF(ISNUMBER(SEARCH("geometry",C105)),Parameters!$B$8,IF(ISNUMBER(SEARCH("reasoning",C105)),Parameters!$B$9,Parameters!$B$10))))))</f>
        <v>3</v>
      </c>
      <c r="F105" s="23">
        <f>IF(D105="major",Parameters!$B$14,IF(D105="medium",Parameters!$B$15,Parameters!$B$16))</f>
        <v>3</v>
      </c>
      <c r="G105" s="16">
        <f t="shared" si="2"/>
        <v>2</v>
      </c>
      <c r="H105" s="24">
        <f>Parameters!$B$20^(G105-1)</f>
        <v>0.7</v>
      </c>
      <c r="I105" s="18">
        <f t="shared" si="3"/>
        <v>6.3</v>
      </c>
    </row>
    <row r="106" spans="1:9" ht="13.15" x14ac:dyDescent="0.35">
      <c r="A106" s="21">
        <v>105</v>
      </c>
      <c r="B106" s="16">
        <f>'Data OPUS'!B106</f>
        <v>10</v>
      </c>
      <c r="C106" s="22" t="str">
        <f>'Data OPUS'!F106</f>
        <v>piece_placement</v>
      </c>
      <c r="D106" s="16" t="str">
        <f>LOWER(TRIM('Data OPUS'!H106))</f>
        <v>major</v>
      </c>
      <c r="E106" s="23">
        <f>IF(ISNUMBER(SEARCH("move_legality",C106)),Parameters!$B$4,IF(ISNUMBER(SEARCH("piece_placement",C106)),Parameters!$B$5,IF(ISNUMBER(SEARCH("material",C106)),Parameters!$B$6,IF(ISNUMBER(SEARCH("piece_relations",C106)),Parameters!$B$7,IF(ISNUMBER(SEARCH("geometry",C106)),Parameters!$B$8,IF(ISNUMBER(SEARCH("reasoning",C106)),Parameters!$B$9,Parameters!$B$10))))))</f>
        <v>6</v>
      </c>
      <c r="F106" s="23">
        <f>IF(D106="major",Parameters!$B$14,IF(D106="medium",Parameters!$B$15,Parameters!$B$16))</f>
        <v>3</v>
      </c>
      <c r="G106" s="16">
        <f t="shared" si="2"/>
        <v>1</v>
      </c>
      <c r="H106" s="24">
        <f>Parameters!$B$20^(G106-1)</f>
        <v>1</v>
      </c>
      <c r="I106" s="18">
        <f t="shared" si="3"/>
        <v>18</v>
      </c>
    </row>
    <row r="107" spans="1:9" ht="13.15" x14ac:dyDescent="0.35">
      <c r="A107" s="21">
        <v>106</v>
      </c>
      <c r="B107" s="16">
        <f>'Data OPUS'!B107</f>
        <v>10</v>
      </c>
      <c r="C107" s="22" t="str">
        <f>'Data OPUS'!F107</f>
        <v>piece_placement</v>
      </c>
      <c r="D107" s="16" t="str">
        <f>LOWER(TRIM('Data OPUS'!H107))</f>
        <v>major</v>
      </c>
      <c r="E107" s="23">
        <f>IF(ISNUMBER(SEARCH("move_legality",C107)),Parameters!$B$4,IF(ISNUMBER(SEARCH("piece_placement",C107)),Parameters!$B$5,IF(ISNUMBER(SEARCH("material",C107)),Parameters!$B$6,IF(ISNUMBER(SEARCH("piece_relations",C107)),Parameters!$B$7,IF(ISNUMBER(SEARCH("geometry",C107)),Parameters!$B$8,IF(ISNUMBER(SEARCH("reasoning",C107)),Parameters!$B$9,Parameters!$B$10))))))</f>
        <v>6</v>
      </c>
      <c r="F107" s="23">
        <f>IF(D107="major",Parameters!$B$14,IF(D107="medium",Parameters!$B$15,Parameters!$B$16))</f>
        <v>3</v>
      </c>
      <c r="G107" s="16">
        <f t="shared" si="2"/>
        <v>2</v>
      </c>
      <c r="H107" s="24">
        <f>Parameters!$B$20^(G107-1)</f>
        <v>0.7</v>
      </c>
      <c r="I107" s="18">
        <f t="shared" si="3"/>
        <v>12.6</v>
      </c>
    </row>
    <row r="108" spans="1:9" ht="13.15" x14ac:dyDescent="0.35">
      <c r="A108" s="21">
        <v>107</v>
      </c>
      <c r="B108" s="16">
        <f>'Data OPUS'!B108</f>
        <v>10</v>
      </c>
      <c r="C108" s="22" t="str">
        <f>'Data OPUS'!F108</f>
        <v>reasoning</v>
      </c>
      <c r="D108" s="16" t="str">
        <f>LOWER(TRIM('Data OPUS'!H108))</f>
        <v>major</v>
      </c>
      <c r="E108" s="23">
        <f>IF(ISNUMBER(SEARCH("move_legality",C108)),Parameters!$B$4,IF(ISNUMBER(SEARCH("piece_placement",C108)),Parameters!$B$5,IF(ISNUMBER(SEARCH("material",C108)),Parameters!$B$6,IF(ISNUMBER(SEARCH("piece_relations",C108)),Parameters!$B$7,IF(ISNUMBER(SEARCH("geometry",C108)),Parameters!$B$8,IF(ISNUMBER(SEARCH("reasoning",C108)),Parameters!$B$9,Parameters!$B$10))))))</f>
        <v>2</v>
      </c>
      <c r="F108" s="23">
        <f>IF(D108="major",Parameters!$B$14,IF(D108="medium",Parameters!$B$15,Parameters!$B$16))</f>
        <v>3</v>
      </c>
      <c r="G108" s="16">
        <f t="shared" si="2"/>
        <v>1</v>
      </c>
      <c r="H108" s="24">
        <f>Parameters!$B$20^(G108-1)</f>
        <v>1</v>
      </c>
      <c r="I108" s="18">
        <f t="shared" si="3"/>
        <v>6</v>
      </c>
    </row>
    <row r="109" spans="1:9" ht="13.15" x14ac:dyDescent="0.35">
      <c r="A109" s="21">
        <v>108</v>
      </c>
      <c r="B109" s="16">
        <f>'Data OPUS'!B109</f>
        <v>10</v>
      </c>
      <c r="C109" s="22" t="str">
        <f>'Data OPUS'!F109</f>
        <v>reasoning</v>
      </c>
      <c r="D109" s="16" t="str">
        <f>LOWER(TRIM('Data OPUS'!H109))</f>
        <v>minor</v>
      </c>
      <c r="E109" s="23">
        <f>IF(ISNUMBER(SEARCH("move_legality",C109)),Parameters!$B$4,IF(ISNUMBER(SEARCH("piece_placement",C109)),Parameters!$B$5,IF(ISNUMBER(SEARCH("material",C109)),Parameters!$B$6,IF(ISNUMBER(SEARCH("piece_relations",C109)),Parameters!$B$7,IF(ISNUMBER(SEARCH("geometry",C109)),Parameters!$B$8,IF(ISNUMBER(SEARCH("reasoning",C109)),Parameters!$B$9,Parameters!$B$10))))))</f>
        <v>2</v>
      </c>
      <c r="F109" s="23">
        <f>IF(D109="major",Parameters!$B$14,IF(D109="medium",Parameters!$B$15,Parameters!$B$16))</f>
        <v>1</v>
      </c>
      <c r="G109" s="16">
        <f t="shared" si="2"/>
        <v>3</v>
      </c>
      <c r="H109" s="24">
        <f>Parameters!$B$20^(G109-1)</f>
        <v>0.48999999999999994</v>
      </c>
      <c r="I109" s="18">
        <f t="shared" si="3"/>
        <v>0.97999999999999987</v>
      </c>
    </row>
    <row r="110" spans="1:9" ht="13.15" x14ac:dyDescent="0.35">
      <c r="A110" s="21">
        <v>109</v>
      </c>
      <c r="B110" s="16">
        <f>'Data OPUS'!B110</f>
        <v>11</v>
      </c>
      <c r="C110" s="22" t="str">
        <f>'Data OPUS'!F110</f>
        <v>geometry</v>
      </c>
      <c r="D110" s="16" t="str">
        <f>LOWER(TRIM('Data OPUS'!H110))</f>
        <v>minor</v>
      </c>
      <c r="E110" s="23">
        <f>IF(ISNUMBER(SEARCH("move_legality",C110)),Parameters!$B$4,IF(ISNUMBER(SEARCH("piece_placement",C110)),Parameters!$B$5,IF(ISNUMBER(SEARCH("material",C110)),Parameters!$B$6,IF(ISNUMBER(SEARCH("piece_relations",C110)),Parameters!$B$7,IF(ISNUMBER(SEARCH("geometry",C110)),Parameters!$B$8,IF(ISNUMBER(SEARCH("reasoning",C110)),Parameters!$B$9,Parameters!$B$10))))))</f>
        <v>3</v>
      </c>
      <c r="F110" s="23">
        <f>IF(D110="major",Parameters!$B$14,IF(D110="medium",Parameters!$B$15,Parameters!$B$16))</f>
        <v>1</v>
      </c>
      <c r="G110" s="16">
        <f t="shared" si="2"/>
        <v>1</v>
      </c>
      <c r="H110" s="24">
        <f>Parameters!$B$20^(G110-1)</f>
        <v>1</v>
      </c>
      <c r="I110" s="18">
        <f t="shared" si="3"/>
        <v>3</v>
      </c>
    </row>
    <row r="111" spans="1:9" ht="13.15" x14ac:dyDescent="0.35">
      <c r="A111" s="21">
        <v>110</v>
      </c>
      <c r="B111" s="16">
        <f>'Data OPUS'!B111</f>
        <v>11</v>
      </c>
      <c r="C111" s="22" t="str">
        <f>'Data OPUS'!F111</f>
        <v>reasoning</v>
      </c>
      <c r="D111" s="16" t="str">
        <f>LOWER(TRIM('Data OPUS'!H111))</f>
        <v>major</v>
      </c>
      <c r="E111" s="23">
        <f>IF(ISNUMBER(SEARCH("move_legality",C111)),Parameters!$B$4,IF(ISNUMBER(SEARCH("piece_placement",C111)),Parameters!$B$5,IF(ISNUMBER(SEARCH("material",C111)),Parameters!$B$6,IF(ISNUMBER(SEARCH("piece_relations",C111)),Parameters!$B$7,IF(ISNUMBER(SEARCH("geometry",C111)),Parameters!$B$8,IF(ISNUMBER(SEARCH("reasoning",C111)),Parameters!$B$9,Parameters!$B$10))))))</f>
        <v>2</v>
      </c>
      <c r="F111" s="23">
        <f>IF(D111="major",Parameters!$B$14,IF(D111="medium",Parameters!$B$15,Parameters!$B$16))</f>
        <v>3</v>
      </c>
      <c r="G111" s="16">
        <f t="shared" si="2"/>
        <v>1</v>
      </c>
      <c r="H111" s="24">
        <f>Parameters!$B$20^(G111-1)</f>
        <v>1</v>
      </c>
      <c r="I111" s="18">
        <f t="shared" si="3"/>
        <v>6</v>
      </c>
    </row>
    <row r="112" spans="1:9" ht="13.15" x14ac:dyDescent="0.35">
      <c r="A112" s="21">
        <v>111</v>
      </c>
      <c r="B112" s="16">
        <f>'Data OPUS'!B112</f>
        <v>11</v>
      </c>
      <c r="C112" s="22" t="str">
        <f>'Data OPUS'!F112</f>
        <v>move_legality</v>
      </c>
      <c r="D112" s="16" t="str">
        <f>LOWER(TRIM('Data OPUS'!H112))</f>
        <v>major</v>
      </c>
      <c r="E112" s="23">
        <f>IF(ISNUMBER(SEARCH("move_legality",C112)),Parameters!$B$4,IF(ISNUMBER(SEARCH("piece_placement",C112)),Parameters!$B$5,IF(ISNUMBER(SEARCH("material",C112)),Parameters!$B$6,IF(ISNUMBER(SEARCH("piece_relations",C112)),Parameters!$B$7,IF(ISNUMBER(SEARCH("geometry",C112)),Parameters!$B$8,IF(ISNUMBER(SEARCH("reasoning",C112)),Parameters!$B$9,Parameters!$B$10))))))</f>
        <v>8</v>
      </c>
      <c r="F112" s="23">
        <f>IF(D112="major",Parameters!$B$14,IF(D112="medium",Parameters!$B$15,Parameters!$B$16))</f>
        <v>3</v>
      </c>
      <c r="G112" s="16">
        <f t="shared" si="2"/>
        <v>1</v>
      </c>
      <c r="H112" s="24">
        <f>Parameters!$B$20^(G112-1)</f>
        <v>1</v>
      </c>
      <c r="I112" s="18">
        <f t="shared" si="3"/>
        <v>24</v>
      </c>
    </row>
    <row r="113" spans="1:9" ht="13.15" x14ac:dyDescent="0.35">
      <c r="A113" s="21">
        <v>112</v>
      </c>
      <c r="B113" s="16">
        <f>'Data OPUS'!B113</f>
        <v>12</v>
      </c>
      <c r="C113" s="22" t="str">
        <f>'Data OPUS'!F113</f>
        <v>reasoning</v>
      </c>
      <c r="D113" s="16" t="str">
        <f>LOWER(TRIM('Data OPUS'!H113))</f>
        <v>minor</v>
      </c>
      <c r="E113" s="23">
        <f>IF(ISNUMBER(SEARCH("move_legality",C113)),Parameters!$B$4,IF(ISNUMBER(SEARCH("piece_placement",C113)),Parameters!$B$5,IF(ISNUMBER(SEARCH("material",C113)),Parameters!$B$6,IF(ISNUMBER(SEARCH("piece_relations",C113)),Parameters!$B$7,IF(ISNUMBER(SEARCH("geometry",C113)),Parameters!$B$8,IF(ISNUMBER(SEARCH("reasoning",C113)),Parameters!$B$9,Parameters!$B$10))))))</f>
        <v>2</v>
      </c>
      <c r="F113" s="23">
        <f>IF(D113="major",Parameters!$B$14,IF(D113="medium",Parameters!$B$15,Parameters!$B$16))</f>
        <v>1</v>
      </c>
      <c r="G113" s="16">
        <f t="shared" si="2"/>
        <v>2</v>
      </c>
      <c r="H113" s="24">
        <f>Parameters!$B$20^(G113-1)</f>
        <v>0.7</v>
      </c>
      <c r="I113" s="18">
        <f t="shared" si="3"/>
        <v>1.4</v>
      </c>
    </row>
    <row r="114" spans="1:9" ht="13.15" x14ac:dyDescent="0.35">
      <c r="A114" s="21">
        <v>113</v>
      </c>
      <c r="B114" s="16">
        <f>'Data OPUS'!B114</f>
        <v>12</v>
      </c>
      <c r="C114" s="22" t="str">
        <f>'Data OPUS'!F114</f>
        <v>piece_relations</v>
      </c>
      <c r="D114" s="16" t="str">
        <f>LOWER(TRIM('Data OPUS'!H114))</f>
        <v>major</v>
      </c>
      <c r="E114" s="23">
        <f>IF(ISNUMBER(SEARCH("move_legality",C114)),Parameters!$B$4,IF(ISNUMBER(SEARCH("piece_placement",C114)),Parameters!$B$5,IF(ISNUMBER(SEARCH("material",C114)),Parameters!$B$6,IF(ISNUMBER(SEARCH("piece_relations",C114)),Parameters!$B$7,IF(ISNUMBER(SEARCH("geometry",C114)),Parameters!$B$8,IF(ISNUMBER(SEARCH("reasoning",C114)),Parameters!$B$9,Parameters!$B$10))))))</f>
        <v>4</v>
      </c>
      <c r="F114" s="23">
        <f>IF(D114="major",Parameters!$B$14,IF(D114="medium",Parameters!$B$15,Parameters!$B$16))</f>
        <v>3</v>
      </c>
      <c r="G114" s="16">
        <f t="shared" si="2"/>
        <v>1</v>
      </c>
      <c r="H114" s="24">
        <f>Parameters!$B$20^(G114-1)</f>
        <v>1</v>
      </c>
      <c r="I114" s="18">
        <f t="shared" si="3"/>
        <v>12</v>
      </c>
    </row>
    <row r="115" spans="1:9" ht="13.15" x14ac:dyDescent="0.35">
      <c r="A115" s="21">
        <v>114</v>
      </c>
      <c r="B115" s="16">
        <f>'Data OPUS'!B115</f>
        <v>12</v>
      </c>
      <c r="C115" s="22" t="str">
        <f>'Data OPUS'!F115</f>
        <v>piece_relations</v>
      </c>
      <c r="D115" s="16" t="str">
        <f>LOWER(TRIM('Data OPUS'!H115))</f>
        <v>major</v>
      </c>
      <c r="E115" s="23">
        <f>IF(ISNUMBER(SEARCH("move_legality",C115)),Parameters!$B$4,IF(ISNUMBER(SEARCH("piece_placement",C115)),Parameters!$B$5,IF(ISNUMBER(SEARCH("material",C115)),Parameters!$B$6,IF(ISNUMBER(SEARCH("piece_relations",C115)),Parameters!$B$7,IF(ISNUMBER(SEARCH("geometry",C115)),Parameters!$B$8,IF(ISNUMBER(SEARCH("reasoning",C115)),Parameters!$B$9,Parameters!$B$10))))))</f>
        <v>4</v>
      </c>
      <c r="F115" s="23">
        <f>IF(D115="major",Parameters!$B$14,IF(D115="medium",Parameters!$B$15,Parameters!$B$16))</f>
        <v>3</v>
      </c>
      <c r="G115" s="16">
        <f t="shared" si="2"/>
        <v>2</v>
      </c>
      <c r="H115" s="24">
        <f>Parameters!$B$20^(G115-1)</f>
        <v>0.7</v>
      </c>
      <c r="I115" s="18">
        <f t="shared" si="3"/>
        <v>8.3999999999999986</v>
      </c>
    </row>
    <row r="116" spans="1:9" ht="13.15" x14ac:dyDescent="0.35">
      <c r="A116" s="21">
        <v>115</v>
      </c>
      <c r="B116" s="16">
        <f>'Data OPUS'!B116</f>
        <v>12</v>
      </c>
      <c r="C116" s="22" t="str">
        <f>'Data OPUS'!F116</f>
        <v>piece_relations</v>
      </c>
      <c r="D116" s="16" t="str">
        <f>LOWER(TRIM('Data OPUS'!H116))</f>
        <v>medium</v>
      </c>
      <c r="E116" s="23">
        <f>IF(ISNUMBER(SEARCH("move_legality",C116)),Parameters!$B$4,IF(ISNUMBER(SEARCH("piece_placement",C116)),Parameters!$B$5,IF(ISNUMBER(SEARCH("material",C116)),Parameters!$B$6,IF(ISNUMBER(SEARCH("piece_relations",C116)),Parameters!$B$7,IF(ISNUMBER(SEARCH("geometry",C116)),Parameters!$B$8,IF(ISNUMBER(SEARCH("reasoning",C116)),Parameters!$B$9,Parameters!$B$10))))))</f>
        <v>4</v>
      </c>
      <c r="F116" s="23">
        <f>IF(D116="major",Parameters!$B$14,IF(D116="medium",Parameters!$B$15,Parameters!$B$16))</f>
        <v>2</v>
      </c>
      <c r="G116" s="16">
        <f t="shared" si="2"/>
        <v>3</v>
      </c>
      <c r="H116" s="24">
        <f>Parameters!$B$20^(G116-1)</f>
        <v>0.48999999999999994</v>
      </c>
      <c r="I116" s="18">
        <f t="shared" si="3"/>
        <v>3.9199999999999995</v>
      </c>
    </row>
    <row r="117" spans="1:9" ht="13.15" x14ac:dyDescent="0.35">
      <c r="A117" s="21">
        <v>116</v>
      </c>
      <c r="B117" s="16">
        <f>'Data OPUS'!B117</f>
        <v>12</v>
      </c>
      <c r="C117" s="22" t="str">
        <f>'Data OPUS'!F117</f>
        <v>reasoning</v>
      </c>
      <c r="D117" s="16" t="str">
        <f>LOWER(TRIM('Data OPUS'!H117))</f>
        <v>medium</v>
      </c>
      <c r="E117" s="23">
        <f>IF(ISNUMBER(SEARCH("move_legality",C117)),Parameters!$B$4,IF(ISNUMBER(SEARCH("piece_placement",C117)),Parameters!$B$5,IF(ISNUMBER(SEARCH("material",C117)),Parameters!$B$6,IF(ISNUMBER(SEARCH("piece_relations",C117)),Parameters!$B$7,IF(ISNUMBER(SEARCH("geometry",C117)),Parameters!$B$8,IF(ISNUMBER(SEARCH("reasoning",C117)),Parameters!$B$9,Parameters!$B$10))))))</f>
        <v>2</v>
      </c>
      <c r="F117" s="23">
        <f>IF(D117="major",Parameters!$B$14,IF(D117="medium",Parameters!$B$15,Parameters!$B$16))</f>
        <v>2</v>
      </c>
      <c r="G117" s="16">
        <f t="shared" si="2"/>
        <v>1</v>
      </c>
      <c r="H117" s="24">
        <f>Parameters!$B$20^(G117-1)</f>
        <v>1</v>
      </c>
      <c r="I117" s="18">
        <f t="shared" si="3"/>
        <v>4</v>
      </c>
    </row>
    <row r="118" spans="1:9" ht="13.15" x14ac:dyDescent="0.35">
      <c r="A118" s="21">
        <v>117</v>
      </c>
      <c r="B118" s="16">
        <f>'Data OPUS'!B118</f>
        <v>12</v>
      </c>
      <c r="C118" s="22" t="str">
        <f>'Data OPUS'!F118</f>
        <v>reasoning</v>
      </c>
      <c r="D118" s="16" t="str">
        <f>LOWER(TRIM('Data OPUS'!H118))</f>
        <v>minor</v>
      </c>
      <c r="E118" s="23">
        <f>IF(ISNUMBER(SEARCH("move_legality",C118)),Parameters!$B$4,IF(ISNUMBER(SEARCH("piece_placement",C118)),Parameters!$B$5,IF(ISNUMBER(SEARCH("material",C118)),Parameters!$B$6,IF(ISNUMBER(SEARCH("piece_relations",C118)),Parameters!$B$7,IF(ISNUMBER(SEARCH("geometry",C118)),Parameters!$B$8,IF(ISNUMBER(SEARCH("reasoning",C118)),Parameters!$B$9,Parameters!$B$10))))))</f>
        <v>2</v>
      </c>
      <c r="F118" s="23">
        <f>IF(D118="major",Parameters!$B$14,IF(D118="medium",Parameters!$B$15,Parameters!$B$16))</f>
        <v>1</v>
      </c>
      <c r="G118" s="16">
        <f t="shared" si="2"/>
        <v>3</v>
      </c>
      <c r="H118" s="24">
        <f>Parameters!$B$20^(G118-1)</f>
        <v>0.48999999999999994</v>
      </c>
      <c r="I118" s="18">
        <f t="shared" si="3"/>
        <v>0.97999999999999987</v>
      </c>
    </row>
    <row r="119" spans="1:9" ht="13.15" x14ac:dyDescent="0.35">
      <c r="A119" s="21">
        <v>118</v>
      </c>
      <c r="B119" s="16">
        <f>'Data OPUS'!B119</f>
        <v>13</v>
      </c>
      <c r="C119" s="22" t="str">
        <f>'Data OPUS'!F119</f>
        <v>reasoning</v>
      </c>
      <c r="D119" s="16" t="str">
        <f>LOWER(TRIM('Data OPUS'!H119))</f>
        <v>minor</v>
      </c>
      <c r="E119" s="23">
        <f>IF(ISNUMBER(SEARCH("move_legality",C119)),Parameters!$B$4,IF(ISNUMBER(SEARCH("piece_placement",C119)),Parameters!$B$5,IF(ISNUMBER(SEARCH("material",C119)),Parameters!$B$6,IF(ISNUMBER(SEARCH("piece_relations",C119)),Parameters!$B$7,IF(ISNUMBER(SEARCH("geometry",C119)),Parameters!$B$8,IF(ISNUMBER(SEARCH("reasoning",C119)),Parameters!$B$9,Parameters!$B$10))))))</f>
        <v>2</v>
      </c>
      <c r="F119" s="23">
        <f>IF(D119="major",Parameters!$B$14,IF(D119="medium",Parameters!$B$15,Parameters!$B$16))</f>
        <v>1</v>
      </c>
      <c r="G119" s="16">
        <f t="shared" si="2"/>
        <v>7</v>
      </c>
      <c r="H119" s="24">
        <f>Parameters!$B$20^(G119-1)</f>
        <v>0.11764899999999995</v>
      </c>
      <c r="I119" s="18">
        <f t="shared" si="3"/>
        <v>0.2352979999999999</v>
      </c>
    </row>
    <row r="120" spans="1:9" ht="13.15" x14ac:dyDescent="0.35">
      <c r="A120" s="21">
        <v>119</v>
      </c>
      <c r="B120" s="16">
        <f>'Data OPUS'!B120</f>
        <v>13</v>
      </c>
      <c r="C120" s="22" t="str">
        <f>'Data OPUS'!F120</f>
        <v>move_legality</v>
      </c>
      <c r="D120" s="16" t="str">
        <f>LOWER(TRIM('Data OPUS'!H120))</f>
        <v>major</v>
      </c>
      <c r="E120" s="23">
        <f>IF(ISNUMBER(SEARCH("move_legality",C120)),Parameters!$B$4,IF(ISNUMBER(SEARCH("piece_placement",C120)),Parameters!$B$5,IF(ISNUMBER(SEARCH("material",C120)),Parameters!$B$6,IF(ISNUMBER(SEARCH("piece_relations",C120)),Parameters!$B$7,IF(ISNUMBER(SEARCH("geometry",C120)),Parameters!$B$8,IF(ISNUMBER(SEARCH("reasoning",C120)),Parameters!$B$9,Parameters!$B$10))))))</f>
        <v>8</v>
      </c>
      <c r="F120" s="23">
        <f>IF(D120="major",Parameters!$B$14,IF(D120="medium",Parameters!$B$15,Parameters!$B$16))</f>
        <v>3</v>
      </c>
      <c r="G120" s="16">
        <f t="shared" si="2"/>
        <v>1</v>
      </c>
      <c r="H120" s="24">
        <f>Parameters!$B$20^(G120-1)</f>
        <v>1</v>
      </c>
      <c r="I120" s="18">
        <f t="shared" si="3"/>
        <v>24</v>
      </c>
    </row>
    <row r="121" spans="1:9" ht="13.15" x14ac:dyDescent="0.35">
      <c r="A121" s="21">
        <v>120</v>
      </c>
      <c r="B121" s="16">
        <f>'Data OPUS'!B121</f>
        <v>13</v>
      </c>
      <c r="C121" s="22" t="str">
        <f>'Data OPUS'!F121</f>
        <v>piece_relations</v>
      </c>
      <c r="D121" s="16" t="str">
        <f>LOWER(TRIM('Data OPUS'!H121))</f>
        <v>major</v>
      </c>
      <c r="E121" s="23">
        <f>IF(ISNUMBER(SEARCH("move_legality",C121)),Parameters!$B$4,IF(ISNUMBER(SEARCH("piece_placement",C121)),Parameters!$B$5,IF(ISNUMBER(SEARCH("material",C121)),Parameters!$B$6,IF(ISNUMBER(SEARCH("piece_relations",C121)),Parameters!$B$7,IF(ISNUMBER(SEARCH("geometry",C121)),Parameters!$B$8,IF(ISNUMBER(SEARCH("reasoning",C121)),Parameters!$B$9,Parameters!$B$10))))))</f>
        <v>4</v>
      </c>
      <c r="F121" s="23">
        <f>IF(D121="major",Parameters!$B$14,IF(D121="medium",Parameters!$B$15,Parameters!$B$16))</f>
        <v>3</v>
      </c>
      <c r="G121" s="16">
        <f t="shared" si="2"/>
        <v>1</v>
      </c>
      <c r="H121" s="24">
        <f>Parameters!$B$20^(G121-1)</f>
        <v>1</v>
      </c>
      <c r="I121" s="18">
        <f t="shared" si="3"/>
        <v>12</v>
      </c>
    </row>
    <row r="122" spans="1:9" ht="13.15" x14ac:dyDescent="0.35">
      <c r="A122" s="21">
        <v>121</v>
      </c>
      <c r="B122" s="16">
        <f>'Data OPUS'!B122</f>
        <v>13</v>
      </c>
      <c r="C122" s="22" t="str">
        <f>'Data OPUS'!F122</f>
        <v>reasoning</v>
      </c>
      <c r="D122" s="16" t="str">
        <f>LOWER(TRIM('Data OPUS'!H122))</f>
        <v>minor</v>
      </c>
      <c r="E122" s="23">
        <f>IF(ISNUMBER(SEARCH("move_legality",C122)),Parameters!$B$4,IF(ISNUMBER(SEARCH("piece_placement",C122)),Parameters!$B$5,IF(ISNUMBER(SEARCH("material",C122)),Parameters!$B$6,IF(ISNUMBER(SEARCH("piece_relations",C122)),Parameters!$B$7,IF(ISNUMBER(SEARCH("geometry",C122)),Parameters!$B$8,IF(ISNUMBER(SEARCH("reasoning",C122)),Parameters!$B$9,Parameters!$B$10))))))</f>
        <v>2</v>
      </c>
      <c r="F122" s="23">
        <f>IF(D122="major",Parameters!$B$14,IF(D122="medium",Parameters!$B$15,Parameters!$B$16))</f>
        <v>1</v>
      </c>
      <c r="G122" s="16">
        <f t="shared" si="2"/>
        <v>8</v>
      </c>
      <c r="H122" s="24">
        <f>Parameters!$B$20^(G122-1)</f>
        <v>8.235429999999995E-2</v>
      </c>
      <c r="I122" s="18">
        <f t="shared" si="3"/>
        <v>0.1647085999999999</v>
      </c>
    </row>
    <row r="123" spans="1:9" ht="13.15" x14ac:dyDescent="0.35">
      <c r="A123" s="21">
        <v>122</v>
      </c>
      <c r="B123" s="16">
        <f>'Data OPUS'!B123</f>
        <v>13</v>
      </c>
      <c r="C123" s="22" t="str">
        <f>'Data OPUS'!F123</f>
        <v>reasoning</v>
      </c>
      <c r="D123" s="16" t="str">
        <f>LOWER(TRIM('Data OPUS'!H123))</f>
        <v>major</v>
      </c>
      <c r="E123" s="23">
        <f>IF(ISNUMBER(SEARCH("move_legality",C123)),Parameters!$B$4,IF(ISNUMBER(SEARCH("piece_placement",C123)),Parameters!$B$5,IF(ISNUMBER(SEARCH("material",C123)),Parameters!$B$6,IF(ISNUMBER(SEARCH("piece_relations",C123)),Parameters!$B$7,IF(ISNUMBER(SEARCH("geometry",C123)),Parameters!$B$8,IF(ISNUMBER(SEARCH("reasoning",C123)),Parameters!$B$9,Parameters!$B$10))))))</f>
        <v>2</v>
      </c>
      <c r="F123" s="23">
        <f>IF(D123="major",Parameters!$B$14,IF(D123="medium",Parameters!$B$15,Parameters!$B$16))</f>
        <v>3</v>
      </c>
      <c r="G123" s="16">
        <f t="shared" si="2"/>
        <v>1</v>
      </c>
      <c r="H123" s="24">
        <f>Parameters!$B$20^(G123-1)</f>
        <v>1</v>
      </c>
      <c r="I123" s="18">
        <f t="shared" si="3"/>
        <v>6</v>
      </c>
    </row>
    <row r="124" spans="1:9" ht="13.15" x14ac:dyDescent="0.35">
      <c r="A124" s="21">
        <v>123</v>
      </c>
      <c r="B124" s="16">
        <f>'Data OPUS'!B124</f>
        <v>13</v>
      </c>
      <c r="C124" s="22" t="str">
        <f>'Data OPUS'!F124</f>
        <v>move_legality</v>
      </c>
      <c r="D124" s="16" t="str">
        <f>LOWER(TRIM('Data OPUS'!H124))</f>
        <v>medium</v>
      </c>
      <c r="E124" s="23">
        <f>IF(ISNUMBER(SEARCH("move_legality",C124)),Parameters!$B$4,IF(ISNUMBER(SEARCH("piece_placement",C124)),Parameters!$B$5,IF(ISNUMBER(SEARCH("material",C124)),Parameters!$B$6,IF(ISNUMBER(SEARCH("piece_relations",C124)),Parameters!$B$7,IF(ISNUMBER(SEARCH("geometry",C124)),Parameters!$B$8,IF(ISNUMBER(SEARCH("reasoning",C124)),Parameters!$B$9,Parameters!$B$10))))))</f>
        <v>8</v>
      </c>
      <c r="F124" s="23">
        <f>IF(D124="major",Parameters!$B$14,IF(D124="medium",Parameters!$B$15,Parameters!$B$16))</f>
        <v>2</v>
      </c>
      <c r="G124" s="16">
        <f t="shared" si="2"/>
        <v>3</v>
      </c>
      <c r="H124" s="24">
        <f>Parameters!$B$20^(G124-1)</f>
        <v>0.48999999999999994</v>
      </c>
      <c r="I124" s="18">
        <f t="shared" si="3"/>
        <v>7.839999999999999</v>
      </c>
    </row>
    <row r="125" spans="1:9" ht="13.15" x14ac:dyDescent="0.35">
      <c r="A125" s="21">
        <v>124</v>
      </c>
      <c r="B125" s="16">
        <f>'Data OPUS'!B125</f>
        <v>13</v>
      </c>
      <c r="C125" s="22" t="str">
        <f>'Data OPUS'!F125</f>
        <v>move_legality</v>
      </c>
      <c r="D125" s="16" t="str">
        <f>LOWER(TRIM('Data OPUS'!H125))</f>
        <v>major</v>
      </c>
      <c r="E125" s="23">
        <f>IF(ISNUMBER(SEARCH("move_legality",C125)),Parameters!$B$4,IF(ISNUMBER(SEARCH("piece_placement",C125)),Parameters!$B$5,IF(ISNUMBER(SEARCH("material",C125)),Parameters!$B$6,IF(ISNUMBER(SEARCH("piece_relations",C125)),Parameters!$B$7,IF(ISNUMBER(SEARCH("geometry",C125)),Parameters!$B$8,IF(ISNUMBER(SEARCH("reasoning",C125)),Parameters!$B$9,Parameters!$B$10))))))</f>
        <v>8</v>
      </c>
      <c r="F125" s="23">
        <f>IF(D125="major",Parameters!$B$14,IF(D125="medium",Parameters!$B$15,Parameters!$B$16))</f>
        <v>3</v>
      </c>
      <c r="G125" s="16">
        <f t="shared" si="2"/>
        <v>2</v>
      </c>
      <c r="H125" s="24">
        <f>Parameters!$B$20^(G125-1)</f>
        <v>0.7</v>
      </c>
      <c r="I125" s="18">
        <f t="shared" si="3"/>
        <v>16.799999999999997</v>
      </c>
    </row>
    <row r="126" spans="1:9" ht="13.15" x14ac:dyDescent="0.35">
      <c r="A126" s="21">
        <v>125</v>
      </c>
      <c r="B126" s="16">
        <f>'Data OPUS'!B126</f>
        <v>13</v>
      </c>
      <c r="C126" s="22" t="str">
        <f>'Data OPUS'!F126</f>
        <v>reasoning</v>
      </c>
      <c r="D126" s="16" t="str">
        <f>LOWER(TRIM('Data OPUS'!H126))</f>
        <v>medium</v>
      </c>
      <c r="E126" s="23">
        <f>IF(ISNUMBER(SEARCH("move_legality",C126)),Parameters!$B$4,IF(ISNUMBER(SEARCH("piece_placement",C126)),Parameters!$B$5,IF(ISNUMBER(SEARCH("material",C126)),Parameters!$B$6,IF(ISNUMBER(SEARCH("piece_relations",C126)),Parameters!$B$7,IF(ISNUMBER(SEARCH("geometry",C126)),Parameters!$B$8,IF(ISNUMBER(SEARCH("reasoning",C126)),Parameters!$B$9,Parameters!$B$10))))))</f>
        <v>2</v>
      </c>
      <c r="F126" s="23">
        <f>IF(D126="major",Parameters!$B$14,IF(D126="medium",Parameters!$B$15,Parameters!$B$16))</f>
        <v>2</v>
      </c>
      <c r="G126" s="16">
        <f t="shared" si="2"/>
        <v>6</v>
      </c>
      <c r="H126" s="24">
        <f>Parameters!$B$20^(G126-1)</f>
        <v>0.16806999999999994</v>
      </c>
      <c r="I126" s="18">
        <f t="shared" si="3"/>
        <v>0.67227999999999977</v>
      </c>
    </row>
    <row r="127" spans="1:9" ht="13.15" x14ac:dyDescent="0.35">
      <c r="A127" s="21">
        <v>126</v>
      </c>
      <c r="B127" s="16">
        <f>'Data OPUS'!B127</f>
        <v>13</v>
      </c>
      <c r="C127" s="22" t="str">
        <f>'Data OPUS'!F127</f>
        <v>piece_relations</v>
      </c>
      <c r="D127" s="16" t="str">
        <f>LOWER(TRIM('Data OPUS'!H127))</f>
        <v>major</v>
      </c>
      <c r="E127" s="23">
        <f>IF(ISNUMBER(SEARCH("move_legality",C127)),Parameters!$B$4,IF(ISNUMBER(SEARCH("piece_placement",C127)),Parameters!$B$5,IF(ISNUMBER(SEARCH("material",C127)),Parameters!$B$6,IF(ISNUMBER(SEARCH("piece_relations",C127)),Parameters!$B$7,IF(ISNUMBER(SEARCH("geometry",C127)),Parameters!$B$8,IF(ISNUMBER(SEARCH("reasoning",C127)),Parameters!$B$9,Parameters!$B$10))))))</f>
        <v>4</v>
      </c>
      <c r="F127" s="23">
        <f>IF(D127="major",Parameters!$B$14,IF(D127="medium",Parameters!$B$15,Parameters!$B$16))</f>
        <v>3</v>
      </c>
      <c r="G127" s="16">
        <f t="shared" si="2"/>
        <v>2</v>
      </c>
      <c r="H127" s="24">
        <f>Parameters!$B$20^(G127-1)</f>
        <v>0.7</v>
      </c>
      <c r="I127" s="18">
        <f t="shared" si="3"/>
        <v>8.3999999999999986</v>
      </c>
    </row>
    <row r="128" spans="1:9" ht="13.15" x14ac:dyDescent="0.35">
      <c r="A128" s="21">
        <v>127</v>
      </c>
      <c r="B128" s="16">
        <f>'Data OPUS'!B128</f>
        <v>13</v>
      </c>
      <c r="C128" s="22" t="str">
        <f>'Data OPUS'!F128</f>
        <v>piece_relations</v>
      </c>
      <c r="D128" s="16" t="str">
        <f>LOWER(TRIM('Data OPUS'!H128))</f>
        <v>major</v>
      </c>
      <c r="E128" s="23">
        <f>IF(ISNUMBER(SEARCH("move_legality",C128)),Parameters!$B$4,IF(ISNUMBER(SEARCH("piece_placement",C128)),Parameters!$B$5,IF(ISNUMBER(SEARCH("material",C128)),Parameters!$B$6,IF(ISNUMBER(SEARCH("piece_relations",C128)),Parameters!$B$7,IF(ISNUMBER(SEARCH("geometry",C128)),Parameters!$B$8,IF(ISNUMBER(SEARCH("reasoning",C128)),Parameters!$B$9,Parameters!$B$10))))))</f>
        <v>4</v>
      </c>
      <c r="F128" s="23">
        <f>IF(D128="major",Parameters!$B$14,IF(D128="medium",Parameters!$B$15,Parameters!$B$16))</f>
        <v>3</v>
      </c>
      <c r="G128" s="16">
        <f t="shared" si="2"/>
        <v>3</v>
      </c>
      <c r="H128" s="24">
        <f>Parameters!$B$20^(G128-1)</f>
        <v>0.48999999999999994</v>
      </c>
      <c r="I128" s="18">
        <f t="shared" si="3"/>
        <v>5.879999999999999</v>
      </c>
    </row>
    <row r="129" spans="1:9" ht="13.15" x14ac:dyDescent="0.35">
      <c r="A129" s="21">
        <v>128</v>
      </c>
      <c r="B129" s="16">
        <f>'Data OPUS'!B129</f>
        <v>13</v>
      </c>
      <c r="C129" s="22" t="str">
        <f>'Data OPUS'!F129</f>
        <v>reasoning</v>
      </c>
      <c r="D129" s="16" t="str">
        <f>LOWER(TRIM('Data OPUS'!H129))</f>
        <v>major</v>
      </c>
      <c r="E129" s="23">
        <f>IF(ISNUMBER(SEARCH("move_legality",C129)),Parameters!$B$4,IF(ISNUMBER(SEARCH("piece_placement",C129)),Parameters!$B$5,IF(ISNUMBER(SEARCH("material",C129)),Parameters!$B$6,IF(ISNUMBER(SEARCH("piece_relations",C129)),Parameters!$B$7,IF(ISNUMBER(SEARCH("geometry",C129)),Parameters!$B$8,IF(ISNUMBER(SEARCH("reasoning",C129)),Parameters!$B$9,Parameters!$B$10))))))</f>
        <v>2</v>
      </c>
      <c r="F129" s="23">
        <f>IF(D129="major",Parameters!$B$14,IF(D129="medium",Parameters!$B$15,Parameters!$B$16))</f>
        <v>3</v>
      </c>
      <c r="G129" s="16">
        <f t="shared" si="2"/>
        <v>2</v>
      </c>
      <c r="H129" s="24">
        <f>Parameters!$B$20^(G129-1)</f>
        <v>0.7</v>
      </c>
      <c r="I129" s="18">
        <f t="shared" si="3"/>
        <v>4.1999999999999993</v>
      </c>
    </row>
    <row r="130" spans="1:9" ht="13.15" x14ac:dyDescent="0.35">
      <c r="A130" s="21">
        <v>129</v>
      </c>
      <c r="B130" s="16">
        <f>'Data OPUS'!B130</f>
        <v>13</v>
      </c>
      <c r="C130" s="22" t="str">
        <f>'Data OPUS'!F130</f>
        <v>reasoning</v>
      </c>
      <c r="D130" s="16" t="str">
        <f>LOWER(TRIM('Data OPUS'!H130))</f>
        <v>major</v>
      </c>
      <c r="E130" s="23">
        <f>IF(ISNUMBER(SEARCH("move_legality",C130)),Parameters!$B$4,IF(ISNUMBER(SEARCH("piece_placement",C130)),Parameters!$B$5,IF(ISNUMBER(SEARCH("material",C130)),Parameters!$B$6,IF(ISNUMBER(SEARCH("piece_relations",C130)),Parameters!$B$7,IF(ISNUMBER(SEARCH("geometry",C130)),Parameters!$B$8,IF(ISNUMBER(SEARCH("reasoning",C130)),Parameters!$B$9,Parameters!$B$10))))))</f>
        <v>2</v>
      </c>
      <c r="F130" s="23">
        <f>IF(D130="major",Parameters!$B$14,IF(D130="medium",Parameters!$B$15,Parameters!$B$16))</f>
        <v>3</v>
      </c>
      <c r="G130" s="16">
        <f t="shared" ref="G130:G193" si="4">COUNTIFS($B$2:$B$224,B130,$C$2:$C$224,C130,$F$2:$F$224,"&gt;"&amp;F130)+COUNTIFS($B$2:$B$224,B130,$C$2:$C$224,C130,$F$2:$F$224,F130,$A$2:$A$224,"&lt;="&amp;A130)</f>
        <v>3</v>
      </c>
      <c r="H130" s="24">
        <f>Parameters!$B$20^(G130-1)</f>
        <v>0.48999999999999994</v>
      </c>
      <c r="I130" s="18">
        <f t="shared" ref="I130:I193" si="5">E130*F130*H130</f>
        <v>2.9399999999999995</v>
      </c>
    </row>
    <row r="131" spans="1:9" ht="13.15" x14ac:dyDescent="0.35">
      <c r="A131" s="21">
        <v>130</v>
      </c>
      <c r="B131" s="16">
        <f>'Data OPUS'!B131</f>
        <v>13</v>
      </c>
      <c r="C131" s="22" t="str">
        <f>'Data OPUS'!F131</f>
        <v>reasoning</v>
      </c>
      <c r="D131" s="16" t="str">
        <f>LOWER(TRIM('Data OPUS'!H131))</f>
        <v>minor</v>
      </c>
      <c r="E131" s="23">
        <f>IF(ISNUMBER(SEARCH("move_legality",C131)),Parameters!$B$4,IF(ISNUMBER(SEARCH("piece_placement",C131)),Parameters!$B$5,IF(ISNUMBER(SEARCH("material",C131)),Parameters!$B$6,IF(ISNUMBER(SEARCH("piece_relations",C131)),Parameters!$B$7,IF(ISNUMBER(SEARCH("geometry",C131)),Parameters!$B$8,IF(ISNUMBER(SEARCH("reasoning",C131)),Parameters!$B$9,Parameters!$B$10))))))</f>
        <v>2</v>
      </c>
      <c r="F131" s="23">
        <f>IF(D131="major",Parameters!$B$14,IF(D131="medium",Parameters!$B$15,Parameters!$B$16))</f>
        <v>1</v>
      </c>
      <c r="G131" s="16">
        <f t="shared" si="4"/>
        <v>9</v>
      </c>
      <c r="H131" s="24">
        <f>Parameters!$B$20^(G131-1)</f>
        <v>5.7648009999999965E-2</v>
      </c>
      <c r="I131" s="18">
        <f t="shared" si="5"/>
        <v>0.11529601999999993</v>
      </c>
    </row>
    <row r="132" spans="1:9" ht="13.15" x14ac:dyDescent="0.35">
      <c r="A132" s="21">
        <v>131</v>
      </c>
      <c r="B132" s="16">
        <f>'Data OPUS'!B132</f>
        <v>13</v>
      </c>
      <c r="C132" s="22" t="str">
        <f>'Data OPUS'!F132</f>
        <v>piece_relations</v>
      </c>
      <c r="D132" s="16" t="str">
        <f>LOWER(TRIM('Data OPUS'!H132))</f>
        <v>major</v>
      </c>
      <c r="E132" s="23">
        <f>IF(ISNUMBER(SEARCH("move_legality",C132)),Parameters!$B$4,IF(ISNUMBER(SEARCH("piece_placement",C132)),Parameters!$B$5,IF(ISNUMBER(SEARCH("material",C132)),Parameters!$B$6,IF(ISNUMBER(SEARCH("piece_relations",C132)),Parameters!$B$7,IF(ISNUMBER(SEARCH("geometry",C132)),Parameters!$B$8,IF(ISNUMBER(SEARCH("reasoning",C132)),Parameters!$B$9,Parameters!$B$10))))))</f>
        <v>4</v>
      </c>
      <c r="F132" s="23">
        <f>IF(D132="major",Parameters!$B$14,IF(D132="medium",Parameters!$B$15,Parameters!$B$16))</f>
        <v>3</v>
      </c>
      <c r="G132" s="16">
        <f t="shared" si="4"/>
        <v>4</v>
      </c>
      <c r="H132" s="24">
        <f>Parameters!$B$20^(G132-1)</f>
        <v>0.34299999999999992</v>
      </c>
      <c r="I132" s="18">
        <f t="shared" si="5"/>
        <v>4.1159999999999988</v>
      </c>
    </row>
    <row r="133" spans="1:9" ht="13.15" x14ac:dyDescent="0.35">
      <c r="A133" s="21">
        <v>132</v>
      </c>
      <c r="B133" s="16">
        <f>'Data OPUS'!B133</f>
        <v>13</v>
      </c>
      <c r="C133" s="22" t="str">
        <f>'Data OPUS'!F133</f>
        <v>reasoning</v>
      </c>
      <c r="D133" s="16" t="str">
        <f>LOWER(TRIM('Data OPUS'!H133))</f>
        <v>minor</v>
      </c>
      <c r="E133" s="23">
        <f>IF(ISNUMBER(SEARCH("move_legality",C133)),Parameters!$B$4,IF(ISNUMBER(SEARCH("piece_placement",C133)),Parameters!$B$5,IF(ISNUMBER(SEARCH("material",C133)),Parameters!$B$6,IF(ISNUMBER(SEARCH("piece_relations",C133)),Parameters!$B$7,IF(ISNUMBER(SEARCH("geometry",C133)),Parameters!$B$8,IF(ISNUMBER(SEARCH("reasoning",C133)),Parameters!$B$9,Parameters!$B$10))))))</f>
        <v>2</v>
      </c>
      <c r="F133" s="23">
        <f>IF(D133="major",Parameters!$B$14,IF(D133="medium",Parameters!$B$15,Parameters!$B$16))</f>
        <v>1</v>
      </c>
      <c r="G133" s="16">
        <f t="shared" si="4"/>
        <v>10</v>
      </c>
      <c r="H133" s="24">
        <f>Parameters!$B$20^(G133-1)</f>
        <v>4.0353606999999972E-2</v>
      </c>
      <c r="I133" s="18">
        <f t="shared" si="5"/>
        <v>8.0707213999999944E-2</v>
      </c>
    </row>
    <row r="134" spans="1:9" ht="13.15" x14ac:dyDescent="0.35">
      <c r="A134" s="21">
        <v>133</v>
      </c>
      <c r="B134" s="16">
        <f>'Data OPUS'!B134</f>
        <v>13</v>
      </c>
      <c r="C134" s="22" t="str">
        <f>'Data OPUS'!F134</f>
        <v>piece_placement</v>
      </c>
      <c r="D134" s="16" t="str">
        <f>LOWER(TRIM('Data OPUS'!H134))</f>
        <v>major</v>
      </c>
      <c r="E134" s="23">
        <f>IF(ISNUMBER(SEARCH("move_legality",C134)),Parameters!$B$4,IF(ISNUMBER(SEARCH("piece_placement",C134)),Parameters!$B$5,IF(ISNUMBER(SEARCH("material",C134)),Parameters!$B$6,IF(ISNUMBER(SEARCH("piece_relations",C134)),Parameters!$B$7,IF(ISNUMBER(SEARCH("geometry",C134)),Parameters!$B$8,IF(ISNUMBER(SEARCH("reasoning",C134)),Parameters!$B$9,Parameters!$B$10))))))</f>
        <v>6</v>
      </c>
      <c r="F134" s="23">
        <f>IF(D134="major",Parameters!$B$14,IF(D134="medium",Parameters!$B$15,Parameters!$B$16))</f>
        <v>3</v>
      </c>
      <c r="G134" s="16">
        <f t="shared" si="4"/>
        <v>1</v>
      </c>
      <c r="H134" s="24">
        <f>Parameters!$B$20^(G134-1)</f>
        <v>1</v>
      </c>
      <c r="I134" s="18">
        <f t="shared" si="5"/>
        <v>18</v>
      </c>
    </row>
    <row r="135" spans="1:9" ht="13.15" x14ac:dyDescent="0.35">
      <c r="A135" s="21">
        <v>134</v>
      </c>
      <c r="B135" s="16">
        <f>'Data OPUS'!B135</f>
        <v>13</v>
      </c>
      <c r="C135" s="22" t="str">
        <f>'Data OPUS'!F135</f>
        <v>reasoning</v>
      </c>
      <c r="D135" s="16" t="str">
        <f>LOWER(TRIM('Data OPUS'!H135))</f>
        <v>major</v>
      </c>
      <c r="E135" s="23">
        <f>IF(ISNUMBER(SEARCH("move_legality",C135)),Parameters!$B$4,IF(ISNUMBER(SEARCH("piece_placement",C135)),Parameters!$B$5,IF(ISNUMBER(SEARCH("material",C135)),Parameters!$B$6,IF(ISNUMBER(SEARCH("piece_relations",C135)),Parameters!$B$7,IF(ISNUMBER(SEARCH("geometry",C135)),Parameters!$B$8,IF(ISNUMBER(SEARCH("reasoning",C135)),Parameters!$B$9,Parameters!$B$10))))))</f>
        <v>2</v>
      </c>
      <c r="F135" s="23">
        <f>IF(D135="major",Parameters!$B$14,IF(D135="medium",Parameters!$B$15,Parameters!$B$16))</f>
        <v>3</v>
      </c>
      <c r="G135" s="16">
        <f t="shared" si="4"/>
        <v>4</v>
      </c>
      <c r="H135" s="24">
        <f>Parameters!$B$20^(G135-1)</f>
        <v>0.34299999999999992</v>
      </c>
      <c r="I135" s="18">
        <f t="shared" si="5"/>
        <v>2.0579999999999994</v>
      </c>
    </row>
    <row r="136" spans="1:9" ht="13.15" x14ac:dyDescent="0.35">
      <c r="A136" s="21">
        <v>135</v>
      </c>
      <c r="B136" s="16">
        <f>'Data OPUS'!B136</f>
        <v>13</v>
      </c>
      <c r="C136" s="22" t="str">
        <f>'Data OPUS'!F136</f>
        <v>reasoning</v>
      </c>
      <c r="D136" s="16" t="str">
        <f>LOWER(TRIM('Data OPUS'!H136))</f>
        <v>major</v>
      </c>
      <c r="E136" s="23">
        <f>IF(ISNUMBER(SEARCH("move_legality",C136)),Parameters!$B$4,IF(ISNUMBER(SEARCH("piece_placement",C136)),Parameters!$B$5,IF(ISNUMBER(SEARCH("material",C136)),Parameters!$B$6,IF(ISNUMBER(SEARCH("piece_relations",C136)),Parameters!$B$7,IF(ISNUMBER(SEARCH("geometry",C136)),Parameters!$B$8,IF(ISNUMBER(SEARCH("reasoning",C136)),Parameters!$B$9,Parameters!$B$10))))))</f>
        <v>2</v>
      </c>
      <c r="F136" s="23">
        <f>IF(D136="major",Parameters!$B$14,IF(D136="medium",Parameters!$B$15,Parameters!$B$16))</f>
        <v>3</v>
      </c>
      <c r="G136" s="16">
        <f t="shared" si="4"/>
        <v>5</v>
      </c>
      <c r="H136" s="24">
        <f>Parameters!$B$20^(G136-1)</f>
        <v>0.24009999999999992</v>
      </c>
      <c r="I136" s="18">
        <f t="shared" si="5"/>
        <v>1.4405999999999994</v>
      </c>
    </row>
    <row r="137" spans="1:9" ht="13.15" x14ac:dyDescent="0.35">
      <c r="A137" s="21">
        <v>136</v>
      </c>
      <c r="B137" s="16">
        <f>'Data OPUS'!B137</f>
        <v>14</v>
      </c>
      <c r="C137" s="22" t="str">
        <f>'Data OPUS'!F137</f>
        <v>move_legality</v>
      </c>
      <c r="D137" s="16" t="str">
        <f>LOWER(TRIM('Data OPUS'!H137))</f>
        <v>medium</v>
      </c>
      <c r="E137" s="23">
        <f>IF(ISNUMBER(SEARCH("move_legality",C137)),Parameters!$B$4,IF(ISNUMBER(SEARCH("piece_placement",C137)),Parameters!$B$5,IF(ISNUMBER(SEARCH("material",C137)),Parameters!$B$6,IF(ISNUMBER(SEARCH("piece_relations",C137)),Parameters!$B$7,IF(ISNUMBER(SEARCH("geometry",C137)),Parameters!$B$8,IF(ISNUMBER(SEARCH("reasoning",C137)),Parameters!$B$9,Parameters!$B$10))))))</f>
        <v>8</v>
      </c>
      <c r="F137" s="23">
        <f>IF(D137="major",Parameters!$B$14,IF(D137="medium",Parameters!$B$15,Parameters!$B$16))</f>
        <v>2</v>
      </c>
      <c r="G137" s="16">
        <f t="shared" si="4"/>
        <v>3</v>
      </c>
      <c r="H137" s="24">
        <f>Parameters!$B$20^(G137-1)</f>
        <v>0.48999999999999994</v>
      </c>
      <c r="I137" s="18">
        <f t="shared" si="5"/>
        <v>7.839999999999999</v>
      </c>
    </row>
    <row r="138" spans="1:9" ht="13.15" x14ac:dyDescent="0.35">
      <c r="A138" s="21">
        <v>137</v>
      </c>
      <c r="B138" s="16">
        <f>'Data OPUS'!B138</f>
        <v>14</v>
      </c>
      <c r="C138" s="22" t="str">
        <f>'Data OPUS'!F138</f>
        <v>reasoning</v>
      </c>
      <c r="D138" s="16" t="str">
        <f>LOWER(TRIM('Data OPUS'!H138))</f>
        <v>minor</v>
      </c>
      <c r="E138" s="23">
        <f>IF(ISNUMBER(SEARCH("move_legality",C138)),Parameters!$B$4,IF(ISNUMBER(SEARCH("piece_placement",C138)),Parameters!$B$5,IF(ISNUMBER(SEARCH("material",C138)),Parameters!$B$6,IF(ISNUMBER(SEARCH("piece_relations",C138)),Parameters!$B$7,IF(ISNUMBER(SEARCH("geometry",C138)),Parameters!$B$8,IF(ISNUMBER(SEARCH("reasoning",C138)),Parameters!$B$9,Parameters!$B$10))))))</f>
        <v>2</v>
      </c>
      <c r="F138" s="23">
        <f>IF(D138="major",Parameters!$B$14,IF(D138="medium",Parameters!$B$15,Parameters!$B$16))</f>
        <v>1</v>
      </c>
      <c r="G138" s="16">
        <f t="shared" si="4"/>
        <v>2</v>
      </c>
      <c r="H138" s="24">
        <f>Parameters!$B$20^(G138-1)</f>
        <v>0.7</v>
      </c>
      <c r="I138" s="18">
        <f t="shared" si="5"/>
        <v>1.4</v>
      </c>
    </row>
    <row r="139" spans="1:9" ht="13.15" x14ac:dyDescent="0.35">
      <c r="A139" s="21">
        <v>138</v>
      </c>
      <c r="B139" s="16">
        <f>'Data OPUS'!B139</f>
        <v>14</v>
      </c>
      <c r="C139" s="22" t="str">
        <f>'Data OPUS'!F139</f>
        <v>reasoning</v>
      </c>
      <c r="D139" s="16" t="str">
        <f>LOWER(TRIM('Data OPUS'!H139))</f>
        <v>minor</v>
      </c>
      <c r="E139" s="23">
        <f>IF(ISNUMBER(SEARCH("move_legality",C139)),Parameters!$B$4,IF(ISNUMBER(SEARCH("piece_placement",C139)),Parameters!$B$5,IF(ISNUMBER(SEARCH("material",C139)),Parameters!$B$6,IF(ISNUMBER(SEARCH("piece_relations",C139)),Parameters!$B$7,IF(ISNUMBER(SEARCH("geometry",C139)),Parameters!$B$8,IF(ISNUMBER(SEARCH("reasoning",C139)),Parameters!$B$9,Parameters!$B$10))))))</f>
        <v>2</v>
      </c>
      <c r="F139" s="23">
        <f>IF(D139="major",Parameters!$B$14,IF(D139="medium",Parameters!$B$15,Parameters!$B$16))</f>
        <v>1</v>
      </c>
      <c r="G139" s="16">
        <f t="shared" si="4"/>
        <v>3</v>
      </c>
      <c r="H139" s="24">
        <f>Parameters!$B$20^(G139-1)</f>
        <v>0.48999999999999994</v>
      </c>
      <c r="I139" s="18">
        <f t="shared" si="5"/>
        <v>0.97999999999999987</v>
      </c>
    </row>
    <row r="140" spans="1:9" ht="13.15" x14ac:dyDescent="0.35">
      <c r="A140" s="21">
        <v>139</v>
      </c>
      <c r="B140" s="16">
        <f>'Data OPUS'!B140</f>
        <v>14</v>
      </c>
      <c r="C140" s="22" t="str">
        <f>'Data OPUS'!F140</f>
        <v>reasoning</v>
      </c>
      <c r="D140" s="16" t="str">
        <f>LOWER(TRIM('Data OPUS'!H140))</f>
        <v>minor</v>
      </c>
      <c r="E140" s="23">
        <f>IF(ISNUMBER(SEARCH("move_legality",C140)),Parameters!$B$4,IF(ISNUMBER(SEARCH("piece_placement",C140)),Parameters!$B$5,IF(ISNUMBER(SEARCH("material",C140)),Parameters!$B$6,IF(ISNUMBER(SEARCH("piece_relations",C140)),Parameters!$B$7,IF(ISNUMBER(SEARCH("geometry",C140)),Parameters!$B$8,IF(ISNUMBER(SEARCH("reasoning",C140)),Parameters!$B$9,Parameters!$B$10))))))</f>
        <v>2</v>
      </c>
      <c r="F140" s="23">
        <f>IF(D140="major",Parameters!$B$14,IF(D140="medium",Parameters!$B$15,Parameters!$B$16))</f>
        <v>1</v>
      </c>
      <c r="G140" s="16">
        <f t="shared" si="4"/>
        <v>4</v>
      </c>
      <c r="H140" s="24">
        <f>Parameters!$B$20^(G140-1)</f>
        <v>0.34299999999999992</v>
      </c>
      <c r="I140" s="18">
        <f t="shared" si="5"/>
        <v>0.68599999999999983</v>
      </c>
    </row>
    <row r="141" spans="1:9" ht="13.15" x14ac:dyDescent="0.35">
      <c r="A141" s="21">
        <v>140</v>
      </c>
      <c r="B141" s="16">
        <f>'Data OPUS'!B141</f>
        <v>14</v>
      </c>
      <c r="C141" s="22" t="str">
        <f>'Data OPUS'!F141</f>
        <v>move_legality</v>
      </c>
      <c r="D141" s="16" t="str">
        <f>LOWER(TRIM('Data OPUS'!H141))</f>
        <v>major</v>
      </c>
      <c r="E141" s="23">
        <f>IF(ISNUMBER(SEARCH("move_legality",C141)),Parameters!$B$4,IF(ISNUMBER(SEARCH("piece_placement",C141)),Parameters!$B$5,IF(ISNUMBER(SEARCH("material",C141)),Parameters!$B$6,IF(ISNUMBER(SEARCH("piece_relations",C141)),Parameters!$B$7,IF(ISNUMBER(SEARCH("geometry",C141)),Parameters!$B$8,IF(ISNUMBER(SEARCH("reasoning",C141)),Parameters!$B$9,Parameters!$B$10))))))</f>
        <v>8</v>
      </c>
      <c r="F141" s="23">
        <f>IF(D141="major",Parameters!$B$14,IF(D141="medium",Parameters!$B$15,Parameters!$B$16))</f>
        <v>3</v>
      </c>
      <c r="G141" s="16">
        <f t="shared" si="4"/>
        <v>1</v>
      </c>
      <c r="H141" s="24">
        <f>Parameters!$B$20^(G141-1)</f>
        <v>1</v>
      </c>
      <c r="I141" s="18">
        <f t="shared" si="5"/>
        <v>24</v>
      </c>
    </row>
    <row r="142" spans="1:9" ht="13.15" x14ac:dyDescent="0.35">
      <c r="A142" s="21">
        <v>141</v>
      </c>
      <c r="B142" s="16">
        <f>'Data OPUS'!B142</f>
        <v>14</v>
      </c>
      <c r="C142" s="22" t="str">
        <f>'Data OPUS'!F142</f>
        <v>geometry</v>
      </c>
      <c r="D142" s="16" t="str">
        <f>LOWER(TRIM('Data OPUS'!H142))</f>
        <v>major</v>
      </c>
      <c r="E142" s="23">
        <f>IF(ISNUMBER(SEARCH("move_legality",C142)),Parameters!$B$4,IF(ISNUMBER(SEARCH("piece_placement",C142)),Parameters!$B$5,IF(ISNUMBER(SEARCH("material",C142)),Parameters!$B$6,IF(ISNUMBER(SEARCH("piece_relations",C142)),Parameters!$B$7,IF(ISNUMBER(SEARCH("geometry",C142)),Parameters!$B$8,IF(ISNUMBER(SEARCH("reasoning",C142)),Parameters!$B$9,Parameters!$B$10))))))</f>
        <v>3</v>
      </c>
      <c r="F142" s="23">
        <f>IF(D142="major",Parameters!$B$14,IF(D142="medium",Parameters!$B$15,Parameters!$B$16))</f>
        <v>3</v>
      </c>
      <c r="G142" s="16">
        <f t="shared" si="4"/>
        <v>1</v>
      </c>
      <c r="H142" s="24">
        <f>Parameters!$B$20^(G142-1)</f>
        <v>1</v>
      </c>
      <c r="I142" s="18">
        <f t="shared" si="5"/>
        <v>9</v>
      </c>
    </row>
    <row r="143" spans="1:9" ht="13.15" x14ac:dyDescent="0.35">
      <c r="A143" s="21">
        <v>142</v>
      </c>
      <c r="B143" s="16">
        <f>'Data OPUS'!B143</f>
        <v>14</v>
      </c>
      <c r="C143" s="22" t="str">
        <f>'Data OPUS'!F143</f>
        <v>geometry</v>
      </c>
      <c r="D143" s="16" t="str">
        <f>LOWER(TRIM('Data OPUS'!H143))</f>
        <v>major</v>
      </c>
      <c r="E143" s="23">
        <f>IF(ISNUMBER(SEARCH("move_legality",C143)),Parameters!$B$4,IF(ISNUMBER(SEARCH("piece_placement",C143)),Parameters!$B$5,IF(ISNUMBER(SEARCH("material",C143)),Parameters!$B$6,IF(ISNUMBER(SEARCH("piece_relations",C143)),Parameters!$B$7,IF(ISNUMBER(SEARCH("geometry",C143)),Parameters!$B$8,IF(ISNUMBER(SEARCH("reasoning",C143)),Parameters!$B$9,Parameters!$B$10))))))</f>
        <v>3</v>
      </c>
      <c r="F143" s="23">
        <f>IF(D143="major",Parameters!$B$14,IF(D143="medium",Parameters!$B$15,Parameters!$B$16))</f>
        <v>3</v>
      </c>
      <c r="G143" s="16">
        <f t="shared" si="4"/>
        <v>2</v>
      </c>
      <c r="H143" s="24">
        <f>Parameters!$B$20^(G143-1)</f>
        <v>0.7</v>
      </c>
      <c r="I143" s="18">
        <f t="shared" si="5"/>
        <v>6.3</v>
      </c>
    </row>
    <row r="144" spans="1:9" ht="13.15" x14ac:dyDescent="0.35">
      <c r="A144" s="21">
        <v>143</v>
      </c>
      <c r="B144" s="16">
        <f>'Data OPUS'!B144</f>
        <v>14</v>
      </c>
      <c r="C144" s="22" t="str">
        <f>'Data OPUS'!F144</f>
        <v>reasoning</v>
      </c>
      <c r="D144" s="16" t="str">
        <f>LOWER(TRIM('Data OPUS'!H144))</f>
        <v>major</v>
      </c>
      <c r="E144" s="23">
        <f>IF(ISNUMBER(SEARCH("move_legality",C144)),Parameters!$B$4,IF(ISNUMBER(SEARCH("piece_placement",C144)),Parameters!$B$5,IF(ISNUMBER(SEARCH("material",C144)),Parameters!$B$6,IF(ISNUMBER(SEARCH("piece_relations",C144)),Parameters!$B$7,IF(ISNUMBER(SEARCH("geometry",C144)),Parameters!$B$8,IF(ISNUMBER(SEARCH("reasoning",C144)),Parameters!$B$9,Parameters!$B$10))))))</f>
        <v>2</v>
      </c>
      <c r="F144" s="23">
        <f>IF(D144="major",Parameters!$B$14,IF(D144="medium",Parameters!$B$15,Parameters!$B$16))</f>
        <v>3</v>
      </c>
      <c r="G144" s="16">
        <f t="shared" si="4"/>
        <v>1</v>
      </c>
      <c r="H144" s="24">
        <f>Parameters!$B$20^(G144-1)</f>
        <v>1</v>
      </c>
      <c r="I144" s="18">
        <f t="shared" si="5"/>
        <v>6</v>
      </c>
    </row>
    <row r="145" spans="1:9" ht="13.15" x14ac:dyDescent="0.35">
      <c r="A145" s="21">
        <v>144</v>
      </c>
      <c r="B145" s="16">
        <f>'Data OPUS'!B145</f>
        <v>14</v>
      </c>
      <c r="C145" s="22" t="str">
        <f>'Data OPUS'!F145</f>
        <v>move_legality</v>
      </c>
      <c r="D145" s="16" t="str">
        <f>LOWER(TRIM('Data OPUS'!H145))</f>
        <v>major</v>
      </c>
      <c r="E145" s="23">
        <f>IF(ISNUMBER(SEARCH("move_legality",C145)),Parameters!$B$4,IF(ISNUMBER(SEARCH("piece_placement",C145)),Parameters!$B$5,IF(ISNUMBER(SEARCH("material",C145)),Parameters!$B$6,IF(ISNUMBER(SEARCH("piece_relations",C145)),Parameters!$B$7,IF(ISNUMBER(SEARCH("geometry",C145)),Parameters!$B$8,IF(ISNUMBER(SEARCH("reasoning",C145)),Parameters!$B$9,Parameters!$B$10))))))</f>
        <v>8</v>
      </c>
      <c r="F145" s="23">
        <f>IF(D145="major",Parameters!$B$14,IF(D145="medium",Parameters!$B$15,Parameters!$B$16))</f>
        <v>3</v>
      </c>
      <c r="G145" s="16">
        <f t="shared" si="4"/>
        <v>2</v>
      </c>
      <c r="H145" s="24">
        <f>Parameters!$B$20^(G145-1)</f>
        <v>0.7</v>
      </c>
      <c r="I145" s="18">
        <f t="shared" si="5"/>
        <v>16.799999999999997</v>
      </c>
    </row>
    <row r="146" spans="1:9" ht="13.15" x14ac:dyDescent="0.35">
      <c r="A146" s="21">
        <v>145</v>
      </c>
      <c r="B146" s="16">
        <f>'Data OPUS'!B146</f>
        <v>15</v>
      </c>
      <c r="C146" s="22" t="str">
        <f>'Data OPUS'!F146</f>
        <v>geometry</v>
      </c>
      <c r="D146" s="16" t="str">
        <f>LOWER(TRIM('Data OPUS'!H146))</f>
        <v>medium</v>
      </c>
      <c r="E146" s="23">
        <f>IF(ISNUMBER(SEARCH("move_legality",C146)),Parameters!$B$4,IF(ISNUMBER(SEARCH("piece_placement",C146)),Parameters!$B$5,IF(ISNUMBER(SEARCH("material",C146)),Parameters!$B$6,IF(ISNUMBER(SEARCH("piece_relations",C146)),Parameters!$B$7,IF(ISNUMBER(SEARCH("geometry",C146)),Parameters!$B$8,IF(ISNUMBER(SEARCH("reasoning",C146)),Parameters!$B$9,Parameters!$B$10))))))</f>
        <v>3</v>
      </c>
      <c r="F146" s="23">
        <f>IF(D146="major",Parameters!$B$14,IF(D146="medium",Parameters!$B$15,Parameters!$B$16))</f>
        <v>2</v>
      </c>
      <c r="G146" s="16">
        <f t="shared" si="4"/>
        <v>2</v>
      </c>
      <c r="H146" s="24">
        <f>Parameters!$B$20^(G146-1)</f>
        <v>0.7</v>
      </c>
      <c r="I146" s="18">
        <f t="shared" si="5"/>
        <v>4.1999999999999993</v>
      </c>
    </row>
    <row r="147" spans="1:9" ht="13.15" x14ac:dyDescent="0.35">
      <c r="A147" s="21">
        <v>146</v>
      </c>
      <c r="B147" s="16">
        <f>'Data OPUS'!B147</f>
        <v>15</v>
      </c>
      <c r="C147" s="22" t="str">
        <f>'Data OPUS'!F147</f>
        <v>move_legality</v>
      </c>
      <c r="D147" s="16" t="str">
        <f>LOWER(TRIM('Data OPUS'!H147))</f>
        <v>major</v>
      </c>
      <c r="E147" s="23">
        <f>IF(ISNUMBER(SEARCH("move_legality",C147)),Parameters!$B$4,IF(ISNUMBER(SEARCH("piece_placement",C147)),Parameters!$B$5,IF(ISNUMBER(SEARCH("material",C147)),Parameters!$B$6,IF(ISNUMBER(SEARCH("piece_relations",C147)),Parameters!$B$7,IF(ISNUMBER(SEARCH("geometry",C147)),Parameters!$B$8,IF(ISNUMBER(SEARCH("reasoning",C147)),Parameters!$B$9,Parameters!$B$10))))))</f>
        <v>8</v>
      </c>
      <c r="F147" s="23">
        <f>IF(D147="major",Parameters!$B$14,IF(D147="medium",Parameters!$B$15,Parameters!$B$16))</f>
        <v>3</v>
      </c>
      <c r="G147" s="16">
        <f t="shared" si="4"/>
        <v>1</v>
      </c>
      <c r="H147" s="24">
        <f>Parameters!$B$20^(G147-1)</f>
        <v>1</v>
      </c>
      <c r="I147" s="18">
        <f t="shared" si="5"/>
        <v>24</v>
      </c>
    </row>
    <row r="148" spans="1:9" ht="13.15" x14ac:dyDescent="0.35">
      <c r="A148" s="21">
        <v>147</v>
      </c>
      <c r="B148" s="16">
        <f>'Data OPUS'!B148</f>
        <v>15</v>
      </c>
      <c r="C148" s="22" t="str">
        <f>'Data OPUS'!F148</f>
        <v>move_legality</v>
      </c>
      <c r="D148" s="16" t="str">
        <f>LOWER(TRIM('Data OPUS'!H148))</f>
        <v>major</v>
      </c>
      <c r="E148" s="23">
        <f>IF(ISNUMBER(SEARCH("move_legality",C148)),Parameters!$B$4,IF(ISNUMBER(SEARCH("piece_placement",C148)),Parameters!$B$5,IF(ISNUMBER(SEARCH("material",C148)),Parameters!$B$6,IF(ISNUMBER(SEARCH("piece_relations",C148)),Parameters!$B$7,IF(ISNUMBER(SEARCH("geometry",C148)),Parameters!$B$8,IF(ISNUMBER(SEARCH("reasoning",C148)),Parameters!$B$9,Parameters!$B$10))))))</f>
        <v>8</v>
      </c>
      <c r="F148" s="23">
        <f>IF(D148="major",Parameters!$B$14,IF(D148="medium",Parameters!$B$15,Parameters!$B$16))</f>
        <v>3</v>
      </c>
      <c r="G148" s="16">
        <f t="shared" si="4"/>
        <v>2</v>
      </c>
      <c r="H148" s="24">
        <f>Parameters!$B$20^(G148-1)</f>
        <v>0.7</v>
      </c>
      <c r="I148" s="18">
        <f t="shared" si="5"/>
        <v>16.799999999999997</v>
      </c>
    </row>
    <row r="149" spans="1:9" ht="13.15" x14ac:dyDescent="0.35">
      <c r="A149" s="21">
        <v>148</v>
      </c>
      <c r="B149" s="16">
        <f>'Data OPUS'!B149</f>
        <v>15</v>
      </c>
      <c r="C149" s="22" t="str">
        <f>'Data OPUS'!F149</f>
        <v>move_legality</v>
      </c>
      <c r="D149" s="16" t="str">
        <f>LOWER(TRIM('Data OPUS'!H149))</f>
        <v>minor</v>
      </c>
      <c r="E149" s="23">
        <f>IF(ISNUMBER(SEARCH("move_legality",C149)),Parameters!$B$4,IF(ISNUMBER(SEARCH("piece_placement",C149)),Parameters!$B$5,IF(ISNUMBER(SEARCH("material",C149)),Parameters!$B$6,IF(ISNUMBER(SEARCH("piece_relations",C149)),Parameters!$B$7,IF(ISNUMBER(SEARCH("geometry",C149)),Parameters!$B$8,IF(ISNUMBER(SEARCH("reasoning",C149)),Parameters!$B$9,Parameters!$B$10))))))</f>
        <v>8</v>
      </c>
      <c r="F149" s="23">
        <f>IF(D149="major",Parameters!$B$14,IF(D149="medium",Parameters!$B$15,Parameters!$B$16))</f>
        <v>1</v>
      </c>
      <c r="G149" s="16">
        <f t="shared" si="4"/>
        <v>5</v>
      </c>
      <c r="H149" s="24">
        <f>Parameters!$B$20^(G149-1)</f>
        <v>0.24009999999999992</v>
      </c>
      <c r="I149" s="18">
        <f t="shared" si="5"/>
        <v>1.9207999999999994</v>
      </c>
    </row>
    <row r="150" spans="1:9" ht="13.15" x14ac:dyDescent="0.35">
      <c r="A150" s="21">
        <v>149</v>
      </c>
      <c r="B150" s="16">
        <f>'Data OPUS'!B150</f>
        <v>15</v>
      </c>
      <c r="C150" s="22" t="str">
        <f>'Data OPUS'!F150</f>
        <v>geometry</v>
      </c>
      <c r="D150" s="16" t="str">
        <f>LOWER(TRIM('Data OPUS'!H150))</f>
        <v>medium</v>
      </c>
      <c r="E150" s="23">
        <f>IF(ISNUMBER(SEARCH("move_legality",C150)),Parameters!$B$4,IF(ISNUMBER(SEARCH("piece_placement",C150)),Parameters!$B$5,IF(ISNUMBER(SEARCH("material",C150)),Parameters!$B$6,IF(ISNUMBER(SEARCH("piece_relations",C150)),Parameters!$B$7,IF(ISNUMBER(SEARCH("geometry",C150)),Parameters!$B$8,IF(ISNUMBER(SEARCH("reasoning",C150)),Parameters!$B$9,Parameters!$B$10))))))</f>
        <v>3</v>
      </c>
      <c r="F150" s="23">
        <f>IF(D150="major",Parameters!$B$14,IF(D150="medium",Parameters!$B$15,Parameters!$B$16))</f>
        <v>2</v>
      </c>
      <c r="G150" s="16">
        <f t="shared" si="4"/>
        <v>3</v>
      </c>
      <c r="H150" s="24">
        <f>Parameters!$B$20^(G150-1)</f>
        <v>0.48999999999999994</v>
      </c>
      <c r="I150" s="18">
        <f t="shared" si="5"/>
        <v>2.9399999999999995</v>
      </c>
    </row>
    <row r="151" spans="1:9" ht="13.15" x14ac:dyDescent="0.35">
      <c r="A151" s="21">
        <v>150</v>
      </c>
      <c r="B151" s="16">
        <f>'Data OPUS'!B151</f>
        <v>15</v>
      </c>
      <c r="C151" s="22" t="str">
        <f>'Data OPUS'!F151</f>
        <v>reasoning</v>
      </c>
      <c r="D151" s="16" t="str">
        <f>LOWER(TRIM('Data OPUS'!H151))</f>
        <v>major</v>
      </c>
      <c r="E151" s="23">
        <f>IF(ISNUMBER(SEARCH("move_legality",C151)),Parameters!$B$4,IF(ISNUMBER(SEARCH("piece_placement",C151)),Parameters!$B$5,IF(ISNUMBER(SEARCH("material",C151)),Parameters!$B$6,IF(ISNUMBER(SEARCH("piece_relations",C151)),Parameters!$B$7,IF(ISNUMBER(SEARCH("geometry",C151)),Parameters!$B$8,IF(ISNUMBER(SEARCH("reasoning",C151)),Parameters!$B$9,Parameters!$B$10))))))</f>
        <v>2</v>
      </c>
      <c r="F151" s="23">
        <f>IF(D151="major",Parameters!$B$14,IF(D151="medium",Parameters!$B$15,Parameters!$B$16))</f>
        <v>3</v>
      </c>
      <c r="G151" s="16">
        <f t="shared" si="4"/>
        <v>1</v>
      </c>
      <c r="H151" s="24">
        <f>Parameters!$B$20^(G151-1)</f>
        <v>1</v>
      </c>
      <c r="I151" s="18">
        <f t="shared" si="5"/>
        <v>6</v>
      </c>
    </row>
    <row r="152" spans="1:9" ht="13.15" x14ac:dyDescent="0.35">
      <c r="A152" s="21">
        <v>151</v>
      </c>
      <c r="B152" s="16">
        <f>'Data OPUS'!B152</f>
        <v>15</v>
      </c>
      <c r="C152" s="22" t="str">
        <f>'Data OPUS'!F152</f>
        <v>geometry</v>
      </c>
      <c r="D152" s="16" t="str">
        <f>LOWER(TRIM('Data OPUS'!H152))</f>
        <v>major</v>
      </c>
      <c r="E152" s="23">
        <f>IF(ISNUMBER(SEARCH("move_legality",C152)),Parameters!$B$4,IF(ISNUMBER(SEARCH("piece_placement",C152)),Parameters!$B$5,IF(ISNUMBER(SEARCH("material",C152)),Parameters!$B$6,IF(ISNUMBER(SEARCH("piece_relations",C152)),Parameters!$B$7,IF(ISNUMBER(SEARCH("geometry",C152)),Parameters!$B$8,IF(ISNUMBER(SEARCH("reasoning",C152)),Parameters!$B$9,Parameters!$B$10))))))</f>
        <v>3</v>
      </c>
      <c r="F152" s="23">
        <f>IF(D152="major",Parameters!$B$14,IF(D152="medium",Parameters!$B$15,Parameters!$B$16))</f>
        <v>3</v>
      </c>
      <c r="G152" s="16">
        <f t="shared" si="4"/>
        <v>1</v>
      </c>
      <c r="H152" s="24">
        <f>Parameters!$B$20^(G152-1)</f>
        <v>1</v>
      </c>
      <c r="I152" s="18">
        <f t="shared" si="5"/>
        <v>9</v>
      </c>
    </row>
    <row r="153" spans="1:9" ht="13.15" x14ac:dyDescent="0.35">
      <c r="A153" s="21">
        <v>152</v>
      </c>
      <c r="B153" s="16">
        <f>'Data OPUS'!B153</f>
        <v>15</v>
      </c>
      <c r="C153" s="22" t="str">
        <f>'Data OPUS'!F153</f>
        <v>move_legality</v>
      </c>
      <c r="D153" s="16" t="str">
        <f>LOWER(TRIM('Data OPUS'!H153))</f>
        <v>major</v>
      </c>
      <c r="E153" s="23">
        <f>IF(ISNUMBER(SEARCH("move_legality",C153)),Parameters!$B$4,IF(ISNUMBER(SEARCH("piece_placement",C153)),Parameters!$B$5,IF(ISNUMBER(SEARCH("material",C153)),Parameters!$B$6,IF(ISNUMBER(SEARCH("piece_relations",C153)),Parameters!$B$7,IF(ISNUMBER(SEARCH("geometry",C153)),Parameters!$B$8,IF(ISNUMBER(SEARCH("reasoning",C153)),Parameters!$B$9,Parameters!$B$10))))))</f>
        <v>8</v>
      </c>
      <c r="F153" s="23">
        <f>IF(D153="major",Parameters!$B$14,IF(D153="medium",Parameters!$B$15,Parameters!$B$16))</f>
        <v>3</v>
      </c>
      <c r="G153" s="16">
        <f t="shared" si="4"/>
        <v>3</v>
      </c>
      <c r="H153" s="24">
        <f>Parameters!$B$20^(G153-1)</f>
        <v>0.48999999999999994</v>
      </c>
      <c r="I153" s="18">
        <f t="shared" si="5"/>
        <v>11.759999999999998</v>
      </c>
    </row>
    <row r="154" spans="1:9" ht="13.15" x14ac:dyDescent="0.35">
      <c r="A154" s="21">
        <v>153</v>
      </c>
      <c r="B154" s="16">
        <f>'Data OPUS'!B154</f>
        <v>15</v>
      </c>
      <c r="C154" s="22" t="str">
        <f>'Data OPUS'!F154</f>
        <v>move_legality</v>
      </c>
      <c r="D154" s="16" t="str">
        <f>LOWER(TRIM('Data OPUS'!H154))</f>
        <v>major</v>
      </c>
      <c r="E154" s="23">
        <f>IF(ISNUMBER(SEARCH("move_legality",C154)),Parameters!$B$4,IF(ISNUMBER(SEARCH("piece_placement",C154)),Parameters!$B$5,IF(ISNUMBER(SEARCH("material",C154)),Parameters!$B$6,IF(ISNUMBER(SEARCH("piece_relations",C154)),Parameters!$B$7,IF(ISNUMBER(SEARCH("geometry",C154)),Parameters!$B$8,IF(ISNUMBER(SEARCH("reasoning",C154)),Parameters!$B$9,Parameters!$B$10))))))</f>
        <v>8</v>
      </c>
      <c r="F154" s="23">
        <f>IF(D154="major",Parameters!$B$14,IF(D154="medium",Parameters!$B$15,Parameters!$B$16))</f>
        <v>3</v>
      </c>
      <c r="G154" s="16">
        <f t="shared" si="4"/>
        <v>4</v>
      </c>
      <c r="H154" s="24">
        <f>Parameters!$B$20^(G154-1)</f>
        <v>0.34299999999999992</v>
      </c>
      <c r="I154" s="18">
        <f t="shared" si="5"/>
        <v>8.2319999999999975</v>
      </c>
    </row>
    <row r="155" spans="1:9" ht="13.15" x14ac:dyDescent="0.35">
      <c r="A155" s="21">
        <v>154</v>
      </c>
      <c r="B155" s="16">
        <f>'Data OPUS'!B155</f>
        <v>15</v>
      </c>
      <c r="C155" s="22" t="str">
        <f>'Data OPUS'!F155</f>
        <v>piece_relations</v>
      </c>
      <c r="D155" s="16" t="str">
        <f>LOWER(TRIM('Data OPUS'!H155))</f>
        <v>major</v>
      </c>
      <c r="E155" s="23">
        <f>IF(ISNUMBER(SEARCH("move_legality",C155)),Parameters!$B$4,IF(ISNUMBER(SEARCH("piece_placement",C155)),Parameters!$B$5,IF(ISNUMBER(SEARCH("material",C155)),Parameters!$B$6,IF(ISNUMBER(SEARCH("piece_relations",C155)),Parameters!$B$7,IF(ISNUMBER(SEARCH("geometry",C155)),Parameters!$B$8,IF(ISNUMBER(SEARCH("reasoning",C155)),Parameters!$B$9,Parameters!$B$10))))))</f>
        <v>4</v>
      </c>
      <c r="F155" s="23">
        <f>IF(D155="major",Parameters!$B$14,IF(D155="medium",Parameters!$B$15,Parameters!$B$16))</f>
        <v>3</v>
      </c>
      <c r="G155" s="16">
        <f t="shared" si="4"/>
        <v>1</v>
      </c>
      <c r="H155" s="24">
        <f>Parameters!$B$20^(G155-1)</f>
        <v>1</v>
      </c>
      <c r="I155" s="18">
        <f t="shared" si="5"/>
        <v>12</v>
      </c>
    </row>
    <row r="156" spans="1:9" ht="13.15" x14ac:dyDescent="0.35">
      <c r="A156" s="21">
        <v>155</v>
      </c>
      <c r="B156" s="16">
        <f>'Data OPUS'!B156</f>
        <v>16</v>
      </c>
      <c r="C156" s="22" t="str">
        <f>'Data OPUS'!F156</f>
        <v>reasoning</v>
      </c>
      <c r="D156" s="16" t="str">
        <f>LOWER(TRIM('Data OPUS'!H156))</f>
        <v>medium</v>
      </c>
      <c r="E156" s="23">
        <f>IF(ISNUMBER(SEARCH("move_legality",C156)),Parameters!$B$4,IF(ISNUMBER(SEARCH("piece_placement",C156)),Parameters!$B$5,IF(ISNUMBER(SEARCH("material",C156)),Parameters!$B$6,IF(ISNUMBER(SEARCH("piece_relations",C156)),Parameters!$B$7,IF(ISNUMBER(SEARCH("geometry",C156)),Parameters!$B$8,IF(ISNUMBER(SEARCH("reasoning",C156)),Parameters!$B$9,Parameters!$B$10))))))</f>
        <v>2</v>
      </c>
      <c r="F156" s="23">
        <f>IF(D156="major",Parameters!$B$14,IF(D156="medium",Parameters!$B$15,Parameters!$B$16))</f>
        <v>2</v>
      </c>
      <c r="G156" s="16">
        <f t="shared" si="4"/>
        <v>3</v>
      </c>
      <c r="H156" s="24">
        <f>Parameters!$B$20^(G156-1)</f>
        <v>0.48999999999999994</v>
      </c>
      <c r="I156" s="18">
        <f t="shared" si="5"/>
        <v>1.9599999999999997</v>
      </c>
    </row>
    <row r="157" spans="1:9" ht="13.15" x14ac:dyDescent="0.35">
      <c r="A157" s="21">
        <v>156</v>
      </c>
      <c r="B157" s="16">
        <f>'Data OPUS'!B157</f>
        <v>16</v>
      </c>
      <c r="C157" s="22" t="str">
        <f>'Data OPUS'!F157</f>
        <v>reasoning</v>
      </c>
      <c r="D157" s="16" t="str">
        <f>LOWER(TRIM('Data OPUS'!H157))</f>
        <v>medium</v>
      </c>
      <c r="E157" s="23">
        <f>IF(ISNUMBER(SEARCH("move_legality",C157)),Parameters!$B$4,IF(ISNUMBER(SEARCH("piece_placement",C157)),Parameters!$B$5,IF(ISNUMBER(SEARCH("material",C157)),Parameters!$B$6,IF(ISNUMBER(SEARCH("piece_relations",C157)),Parameters!$B$7,IF(ISNUMBER(SEARCH("geometry",C157)),Parameters!$B$8,IF(ISNUMBER(SEARCH("reasoning",C157)),Parameters!$B$9,Parameters!$B$10))))))</f>
        <v>2</v>
      </c>
      <c r="F157" s="23">
        <f>IF(D157="major",Parameters!$B$14,IF(D157="medium",Parameters!$B$15,Parameters!$B$16))</f>
        <v>2</v>
      </c>
      <c r="G157" s="16">
        <f t="shared" si="4"/>
        <v>4</v>
      </c>
      <c r="H157" s="24">
        <f>Parameters!$B$20^(G157-1)</f>
        <v>0.34299999999999992</v>
      </c>
      <c r="I157" s="18">
        <f t="shared" si="5"/>
        <v>1.3719999999999997</v>
      </c>
    </row>
    <row r="158" spans="1:9" ht="13.15" x14ac:dyDescent="0.35">
      <c r="A158" s="21">
        <v>157</v>
      </c>
      <c r="B158" s="16">
        <f>'Data OPUS'!B158</f>
        <v>16</v>
      </c>
      <c r="C158" s="22" t="str">
        <f>'Data OPUS'!F158</f>
        <v>piece_relations</v>
      </c>
      <c r="D158" s="16" t="str">
        <f>LOWER(TRIM('Data OPUS'!H158))</f>
        <v>major</v>
      </c>
      <c r="E158" s="23">
        <f>IF(ISNUMBER(SEARCH("move_legality",C158)),Parameters!$B$4,IF(ISNUMBER(SEARCH("piece_placement",C158)),Parameters!$B$5,IF(ISNUMBER(SEARCH("material",C158)),Parameters!$B$6,IF(ISNUMBER(SEARCH("piece_relations",C158)),Parameters!$B$7,IF(ISNUMBER(SEARCH("geometry",C158)),Parameters!$B$8,IF(ISNUMBER(SEARCH("reasoning",C158)),Parameters!$B$9,Parameters!$B$10))))))</f>
        <v>4</v>
      </c>
      <c r="F158" s="23">
        <f>IF(D158="major",Parameters!$B$14,IF(D158="medium",Parameters!$B$15,Parameters!$B$16))</f>
        <v>3</v>
      </c>
      <c r="G158" s="16">
        <f t="shared" si="4"/>
        <v>1</v>
      </c>
      <c r="H158" s="24">
        <f>Parameters!$B$20^(G158-1)</f>
        <v>1</v>
      </c>
      <c r="I158" s="18">
        <f t="shared" si="5"/>
        <v>12</v>
      </c>
    </row>
    <row r="159" spans="1:9" ht="13.15" x14ac:dyDescent="0.35">
      <c r="A159" s="21">
        <v>158</v>
      </c>
      <c r="B159" s="16">
        <f>'Data OPUS'!B159</f>
        <v>16</v>
      </c>
      <c r="C159" s="22" t="str">
        <f>'Data OPUS'!F159</f>
        <v>move_legality</v>
      </c>
      <c r="D159" s="16" t="str">
        <f>LOWER(TRIM('Data OPUS'!H159))</f>
        <v>major</v>
      </c>
      <c r="E159" s="23">
        <f>IF(ISNUMBER(SEARCH("move_legality",C159)),Parameters!$B$4,IF(ISNUMBER(SEARCH("piece_placement",C159)),Parameters!$B$5,IF(ISNUMBER(SEARCH("material",C159)),Parameters!$B$6,IF(ISNUMBER(SEARCH("piece_relations",C159)),Parameters!$B$7,IF(ISNUMBER(SEARCH("geometry",C159)),Parameters!$B$8,IF(ISNUMBER(SEARCH("reasoning",C159)),Parameters!$B$9,Parameters!$B$10))))))</f>
        <v>8</v>
      </c>
      <c r="F159" s="23">
        <f>IF(D159="major",Parameters!$B$14,IF(D159="medium",Parameters!$B$15,Parameters!$B$16))</f>
        <v>3</v>
      </c>
      <c r="G159" s="16">
        <f t="shared" si="4"/>
        <v>1</v>
      </c>
      <c r="H159" s="24">
        <f>Parameters!$B$20^(G159-1)</f>
        <v>1</v>
      </c>
      <c r="I159" s="18">
        <f t="shared" si="5"/>
        <v>24</v>
      </c>
    </row>
    <row r="160" spans="1:9" ht="13.15" x14ac:dyDescent="0.35">
      <c r="A160" s="21">
        <v>159</v>
      </c>
      <c r="B160" s="16">
        <f>'Data OPUS'!B160</f>
        <v>16</v>
      </c>
      <c r="C160" s="22" t="str">
        <f>'Data OPUS'!F160</f>
        <v>move_legality</v>
      </c>
      <c r="D160" s="16" t="str">
        <f>LOWER(TRIM('Data OPUS'!H160))</f>
        <v>major</v>
      </c>
      <c r="E160" s="23">
        <f>IF(ISNUMBER(SEARCH("move_legality",C160)),Parameters!$B$4,IF(ISNUMBER(SEARCH("piece_placement",C160)),Parameters!$B$5,IF(ISNUMBER(SEARCH("material",C160)),Parameters!$B$6,IF(ISNUMBER(SEARCH("piece_relations",C160)),Parameters!$B$7,IF(ISNUMBER(SEARCH("geometry",C160)),Parameters!$B$8,IF(ISNUMBER(SEARCH("reasoning",C160)),Parameters!$B$9,Parameters!$B$10))))))</f>
        <v>8</v>
      </c>
      <c r="F160" s="23">
        <f>IF(D160="major",Parameters!$B$14,IF(D160="medium",Parameters!$B$15,Parameters!$B$16))</f>
        <v>3</v>
      </c>
      <c r="G160" s="16">
        <f t="shared" si="4"/>
        <v>2</v>
      </c>
      <c r="H160" s="24">
        <f>Parameters!$B$20^(G160-1)</f>
        <v>0.7</v>
      </c>
      <c r="I160" s="18">
        <f t="shared" si="5"/>
        <v>16.799999999999997</v>
      </c>
    </row>
    <row r="161" spans="1:9" ht="13.15" x14ac:dyDescent="0.35">
      <c r="A161" s="21">
        <v>160</v>
      </c>
      <c r="B161" s="16">
        <f>'Data OPUS'!B161</f>
        <v>16</v>
      </c>
      <c r="C161" s="22" t="str">
        <f>'Data OPUS'!F161</f>
        <v>piece_relations</v>
      </c>
      <c r="D161" s="16" t="str">
        <f>LOWER(TRIM('Data OPUS'!H161))</f>
        <v>major</v>
      </c>
      <c r="E161" s="23">
        <f>IF(ISNUMBER(SEARCH("move_legality",C161)),Parameters!$B$4,IF(ISNUMBER(SEARCH("piece_placement",C161)),Parameters!$B$5,IF(ISNUMBER(SEARCH("material",C161)),Parameters!$B$6,IF(ISNUMBER(SEARCH("piece_relations",C161)),Parameters!$B$7,IF(ISNUMBER(SEARCH("geometry",C161)),Parameters!$B$8,IF(ISNUMBER(SEARCH("reasoning",C161)),Parameters!$B$9,Parameters!$B$10))))))</f>
        <v>4</v>
      </c>
      <c r="F161" s="23">
        <f>IF(D161="major",Parameters!$B$14,IF(D161="medium",Parameters!$B$15,Parameters!$B$16))</f>
        <v>3</v>
      </c>
      <c r="G161" s="16">
        <f t="shared" si="4"/>
        <v>2</v>
      </c>
      <c r="H161" s="24">
        <f>Parameters!$B$20^(G161-1)</f>
        <v>0.7</v>
      </c>
      <c r="I161" s="18">
        <f t="shared" si="5"/>
        <v>8.3999999999999986</v>
      </c>
    </row>
    <row r="162" spans="1:9" ht="13.15" x14ac:dyDescent="0.35">
      <c r="A162" s="21">
        <v>161</v>
      </c>
      <c r="B162" s="16">
        <f>'Data OPUS'!B162</f>
        <v>16</v>
      </c>
      <c r="C162" s="22" t="str">
        <f>'Data OPUS'!F162</f>
        <v>geometry</v>
      </c>
      <c r="D162" s="16" t="str">
        <f>LOWER(TRIM('Data OPUS'!H162))</f>
        <v>major</v>
      </c>
      <c r="E162" s="23">
        <f>IF(ISNUMBER(SEARCH("move_legality",C162)),Parameters!$B$4,IF(ISNUMBER(SEARCH("piece_placement",C162)),Parameters!$B$5,IF(ISNUMBER(SEARCH("material",C162)),Parameters!$B$6,IF(ISNUMBER(SEARCH("piece_relations",C162)),Parameters!$B$7,IF(ISNUMBER(SEARCH("geometry",C162)),Parameters!$B$8,IF(ISNUMBER(SEARCH("reasoning",C162)),Parameters!$B$9,Parameters!$B$10))))))</f>
        <v>3</v>
      </c>
      <c r="F162" s="23">
        <f>IF(D162="major",Parameters!$B$14,IF(D162="medium",Parameters!$B$15,Parameters!$B$16))</f>
        <v>3</v>
      </c>
      <c r="G162" s="16">
        <f t="shared" si="4"/>
        <v>1</v>
      </c>
      <c r="H162" s="24">
        <f>Parameters!$B$20^(G162-1)</f>
        <v>1</v>
      </c>
      <c r="I162" s="18">
        <f t="shared" si="5"/>
        <v>9</v>
      </c>
    </row>
    <row r="163" spans="1:9" ht="13.15" x14ac:dyDescent="0.35">
      <c r="A163" s="21">
        <v>162</v>
      </c>
      <c r="B163" s="16">
        <f>'Data OPUS'!B163</f>
        <v>16</v>
      </c>
      <c r="C163" s="22" t="str">
        <f>'Data OPUS'!F163</f>
        <v>move_legality</v>
      </c>
      <c r="D163" s="16" t="str">
        <f>LOWER(TRIM('Data OPUS'!H163))</f>
        <v>medium</v>
      </c>
      <c r="E163" s="23">
        <f>IF(ISNUMBER(SEARCH("move_legality",C163)),Parameters!$B$4,IF(ISNUMBER(SEARCH("piece_placement",C163)),Parameters!$B$5,IF(ISNUMBER(SEARCH("material",C163)),Parameters!$B$6,IF(ISNUMBER(SEARCH("piece_relations",C163)),Parameters!$B$7,IF(ISNUMBER(SEARCH("geometry",C163)),Parameters!$B$8,IF(ISNUMBER(SEARCH("reasoning",C163)),Parameters!$B$9,Parameters!$B$10))))))</f>
        <v>8</v>
      </c>
      <c r="F163" s="23">
        <f>IF(D163="major",Parameters!$B$14,IF(D163="medium",Parameters!$B$15,Parameters!$B$16))</f>
        <v>2</v>
      </c>
      <c r="G163" s="16">
        <f t="shared" si="4"/>
        <v>3</v>
      </c>
      <c r="H163" s="24">
        <f>Parameters!$B$20^(G163-1)</f>
        <v>0.48999999999999994</v>
      </c>
      <c r="I163" s="18">
        <f t="shared" si="5"/>
        <v>7.839999999999999</v>
      </c>
    </row>
    <row r="164" spans="1:9" ht="13.15" x14ac:dyDescent="0.35">
      <c r="A164" s="21">
        <v>163</v>
      </c>
      <c r="B164" s="16">
        <f>'Data OPUS'!B164</f>
        <v>16</v>
      </c>
      <c r="C164" s="22" t="str">
        <f>'Data OPUS'!F164</f>
        <v>move_legality</v>
      </c>
      <c r="D164" s="16" t="str">
        <f>LOWER(TRIM('Data OPUS'!H164))</f>
        <v>medium</v>
      </c>
      <c r="E164" s="23">
        <f>IF(ISNUMBER(SEARCH("move_legality",C164)),Parameters!$B$4,IF(ISNUMBER(SEARCH("piece_placement",C164)),Parameters!$B$5,IF(ISNUMBER(SEARCH("material",C164)),Parameters!$B$6,IF(ISNUMBER(SEARCH("piece_relations",C164)),Parameters!$B$7,IF(ISNUMBER(SEARCH("geometry",C164)),Parameters!$B$8,IF(ISNUMBER(SEARCH("reasoning",C164)),Parameters!$B$9,Parameters!$B$10))))))</f>
        <v>8</v>
      </c>
      <c r="F164" s="23">
        <f>IF(D164="major",Parameters!$B$14,IF(D164="medium",Parameters!$B$15,Parameters!$B$16))</f>
        <v>2</v>
      </c>
      <c r="G164" s="16">
        <f t="shared" si="4"/>
        <v>4</v>
      </c>
      <c r="H164" s="24">
        <f>Parameters!$B$20^(G164-1)</f>
        <v>0.34299999999999992</v>
      </c>
      <c r="I164" s="18">
        <f t="shared" si="5"/>
        <v>5.4879999999999987</v>
      </c>
    </row>
    <row r="165" spans="1:9" ht="13.15" x14ac:dyDescent="0.35">
      <c r="A165" s="21">
        <v>164</v>
      </c>
      <c r="B165" s="16">
        <f>'Data OPUS'!B165</f>
        <v>16</v>
      </c>
      <c r="C165" s="22" t="str">
        <f>'Data OPUS'!F165</f>
        <v>reasoning</v>
      </c>
      <c r="D165" s="16" t="str">
        <f>LOWER(TRIM('Data OPUS'!H165))</f>
        <v>major</v>
      </c>
      <c r="E165" s="23">
        <f>IF(ISNUMBER(SEARCH("move_legality",C165)),Parameters!$B$4,IF(ISNUMBER(SEARCH("piece_placement",C165)),Parameters!$B$5,IF(ISNUMBER(SEARCH("material",C165)),Parameters!$B$6,IF(ISNUMBER(SEARCH("piece_relations",C165)),Parameters!$B$7,IF(ISNUMBER(SEARCH("geometry",C165)),Parameters!$B$8,IF(ISNUMBER(SEARCH("reasoning",C165)),Parameters!$B$9,Parameters!$B$10))))))</f>
        <v>2</v>
      </c>
      <c r="F165" s="23">
        <f>IF(D165="major",Parameters!$B$14,IF(D165="medium",Parameters!$B$15,Parameters!$B$16))</f>
        <v>3</v>
      </c>
      <c r="G165" s="16">
        <f t="shared" si="4"/>
        <v>1</v>
      </c>
      <c r="H165" s="24">
        <f>Parameters!$B$20^(G165-1)</f>
        <v>1</v>
      </c>
      <c r="I165" s="18">
        <f t="shared" si="5"/>
        <v>6</v>
      </c>
    </row>
    <row r="166" spans="1:9" ht="13.15" x14ac:dyDescent="0.35">
      <c r="A166" s="21">
        <v>165</v>
      </c>
      <c r="B166" s="16">
        <f>'Data OPUS'!B166</f>
        <v>16</v>
      </c>
      <c r="C166" s="22" t="str">
        <f>'Data OPUS'!F166</f>
        <v>reasoning</v>
      </c>
      <c r="D166" s="16" t="str">
        <f>LOWER(TRIM('Data OPUS'!H166))</f>
        <v>major</v>
      </c>
      <c r="E166" s="23">
        <f>IF(ISNUMBER(SEARCH("move_legality",C166)),Parameters!$B$4,IF(ISNUMBER(SEARCH("piece_placement",C166)),Parameters!$B$5,IF(ISNUMBER(SEARCH("material",C166)),Parameters!$B$6,IF(ISNUMBER(SEARCH("piece_relations",C166)),Parameters!$B$7,IF(ISNUMBER(SEARCH("geometry",C166)),Parameters!$B$8,IF(ISNUMBER(SEARCH("reasoning",C166)),Parameters!$B$9,Parameters!$B$10))))))</f>
        <v>2</v>
      </c>
      <c r="F166" s="23">
        <f>IF(D166="major",Parameters!$B$14,IF(D166="medium",Parameters!$B$15,Parameters!$B$16))</f>
        <v>3</v>
      </c>
      <c r="G166" s="16">
        <f t="shared" si="4"/>
        <v>2</v>
      </c>
      <c r="H166" s="24">
        <f>Parameters!$B$20^(G166-1)</f>
        <v>0.7</v>
      </c>
      <c r="I166" s="18">
        <f t="shared" si="5"/>
        <v>4.1999999999999993</v>
      </c>
    </row>
    <row r="167" spans="1:9" ht="13.15" x14ac:dyDescent="0.35">
      <c r="A167" s="21">
        <v>166</v>
      </c>
      <c r="B167" s="16">
        <f>'Data OPUS'!B167</f>
        <v>16</v>
      </c>
      <c r="C167" s="22" t="str">
        <f>'Data OPUS'!F167</f>
        <v>piece_placement</v>
      </c>
      <c r="D167" s="16" t="str">
        <f>LOWER(TRIM('Data OPUS'!H167))</f>
        <v>major</v>
      </c>
      <c r="E167" s="23">
        <f>IF(ISNUMBER(SEARCH("move_legality",C167)),Parameters!$B$4,IF(ISNUMBER(SEARCH("piece_placement",C167)),Parameters!$B$5,IF(ISNUMBER(SEARCH("material",C167)),Parameters!$B$6,IF(ISNUMBER(SEARCH("piece_relations",C167)),Parameters!$B$7,IF(ISNUMBER(SEARCH("geometry",C167)),Parameters!$B$8,IF(ISNUMBER(SEARCH("reasoning",C167)),Parameters!$B$9,Parameters!$B$10))))))</f>
        <v>6</v>
      </c>
      <c r="F167" s="23">
        <f>IF(D167="major",Parameters!$B$14,IF(D167="medium",Parameters!$B$15,Parameters!$B$16))</f>
        <v>3</v>
      </c>
      <c r="G167" s="16">
        <f t="shared" si="4"/>
        <v>1</v>
      </c>
      <c r="H167" s="24">
        <f>Parameters!$B$20^(G167-1)</f>
        <v>1</v>
      </c>
      <c r="I167" s="18">
        <f t="shared" si="5"/>
        <v>18</v>
      </c>
    </row>
    <row r="168" spans="1:9" ht="13.15" x14ac:dyDescent="0.35">
      <c r="A168" s="21">
        <v>167</v>
      </c>
      <c r="B168" s="16">
        <f>'Data OPUS'!B168</f>
        <v>17</v>
      </c>
      <c r="C168" s="22" t="str">
        <f>'Data OPUS'!F168</f>
        <v>geometry</v>
      </c>
      <c r="D168" s="16" t="str">
        <f>LOWER(TRIM('Data OPUS'!H168))</f>
        <v>major</v>
      </c>
      <c r="E168" s="23">
        <f>IF(ISNUMBER(SEARCH("move_legality",C168)),Parameters!$B$4,IF(ISNUMBER(SEARCH("piece_placement",C168)),Parameters!$B$5,IF(ISNUMBER(SEARCH("material",C168)),Parameters!$B$6,IF(ISNUMBER(SEARCH("piece_relations",C168)),Parameters!$B$7,IF(ISNUMBER(SEARCH("geometry",C168)),Parameters!$B$8,IF(ISNUMBER(SEARCH("reasoning",C168)),Parameters!$B$9,Parameters!$B$10))))))</f>
        <v>3</v>
      </c>
      <c r="F168" s="23">
        <f>IF(D168="major",Parameters!$B$14,IF(D168="medium",Parameters!$B$15,Parameters!$B$16))</f>
        <v>3</v>
      </c>
      <c r="G168" s="16">
        <f t="shared" si="4"/>
        <v>1</v>
      </c>
      <c r="H168" s="24">
        <f>Parameters!$B$20^(G168-1)</f>
        <v>1</v>
      </c>
      <c r="I168" s="18">
        <f t="shared" si="5"/>
        <v>9</v>
      </c>
    </row>
    <row r="169" spans="1:9" ht="13.15" x14ac:dyDescent="0.35">
      <c r="A169" s="21">
        <v>168</v>
      </c>
      <c r="B169" s="16">
        <f>'Data OPUS'!B169</f>
        <v>17</v>
      </c>
      <c r="C169" s="22" t="str">
        <f>'Data OPUS'!F169</f>
        <v>reasoning</v>
      </c>
      <c r="D169" s="16" t="str">
        <f>LOWER(TRIM('Data OPUS'!H169))</f>
        <v>major</v>
      </c>
      <c r="E169" s="23">
        <f>IF(ISNUMBER(SEARCH("move_legality",C169)),Parameters!$B$4,IF(ISNUMBER(SEARCH("piece_placement",C169)),Parameters!$B$5,IF(ISNUMBER(SEARCH("material",C169)),Parameters!$B$6,IF(ISNUMBER(SEARCH("piece_relations",C169)),Parameters!$B$7,IF(ISNUMBER(SEARCH("geometry",C169)),Parameters!$B$8,IF(ISNUMBER(SEARCH("reasoning",C169)),Parameters!$B$9,Parameters!$B$10))))))</f>
        <v>2</v>
      </c>
      <c r="F169" s="23">
        <f>IF(D169="major",Parameters!$B$14,IF(D169="medium",Parameters!$B$15,Parameters!$B$16))</f>
        <v>3</v>
      </c>
      <c r="G169" s="16">
        <f t="shared" si="4"/>
        <v>1</v>
      </c>
      <c r="H169" s="24">
        <f>Parameters!$B$20^(G169-1)</f>
        <v>1</v>
      </c>
      <c r="I169" s="18">
        <f t="shared" si="5"/>
        <v>6</v>
      </c>
    </row>
    <row r="170" spans="1:9" ht="13.15" x14ac:dyDescent="0.35">
      <c r="A170" s="21">
        <v>169</v>
      </c>
      <c r="B170" s="16">
        <f>'Data OPUS'!B170</f>
        <v>17</v>
      </c>
      <c r="C170" s="22" t="str">
        <f>'Data OPUS'!F170</f>
        <v>piece_relations</v>
      </c>
      <c r="D170" s="16" t="str">
        <f>LOWER(TRIM('Data OPUS'!H170))</f>
        <v>major</v>
      </c>
      <c r="E170" s="23">
        <f>IF(ISNUMBER(SEARCH("move_legality",C170)),Parameters!$B$4,IF(ISNUMBER(SEARCH("piece_placement",C170)),Parameters!$B$5,IF(ISNUMBER(SEARCH("material",C170)),Parameters!$B$6,IF(ISNUMBER(SEARCH("piece_relations",C170)),Parameters!$B$7,IF(ISNUMBER(SEARCH("geometry",C170)),Parameters!$B$8,IF(ISNUMBER(SEARCH("reasoning",C170)),Parameters!$B$9,Parameters!$B$10))))))</f>
        <v>4</v>
      </c>
      <c r="F170" s="23">
        <f>IF(D170="major",Parameters!$B$14,IF(D170="medium",Parameters!$B$15,Parameters!$B$16))</f>
        <v>3</v>
      </c>
      <c r="G170" s="16">
        <f t="shared" si="4"/>
        <v>1</v>
      </c>
      <c r="H170" s="24">
        <f>Parameters!$B$20^(G170-1)</f>
        <v>1</v>
      </c>
      <c r="I170" s="18">
        <f t="shared" si="5"/>
        <v>12</v>
      </c>
    </row>
    <row r="171" spans="1:9" ht="13.15" x14ac:dyDescent="0.35">
      <c r="A171" s="21">
        <v>170</v>
      </c>
      <c r="B171" s="16">
        <f>'Data OPUS'!B171</f>
        <v>17</v>
      </c>
      <c r="C171" s="22" t="str">
        <f>'Data OPUS'!F171</f>
        <v>reasoning</v>
      </c>
      <c r="D171" s="16" t="str">
        <f>LOWER(TRIM('Data OPUS'!H171))</f>
        <v>major</v>
      </c>
      <c r="E171" s="23">
        <f>IF(ISNUMBER(SEARCH("move_legality",C171)),Parameters!$B$4,IF(ISNUMBER(SEARCH("piece_placement",C171)),Parameters!$B$5,IF(ISNUMBER(SEARCH("material",C171)),Parameters!$B$6,IF(ISNUMBER(SEARCH("piece_relations",C171)),Parameters!$B$7,IF(ISNUMBER(SEARCH("geometry",C171)),Parameters!$B$8,IF(ISNUMBER(SEARCH("reasoning",C171)),Parameters!$B$9,Parameters!$B$10))))))</f>
        <v>2</v>
      </c>
      <c r="F171" s="23">
        <f>IF(D171="major",Parameters!$B$14,IF(D171="medium",Parameters!$B$15,Parameters!$B$16))</f>
        <v>3</v>
      </c>
      <c r="G171" s="16">
        <f t="shared" si="4"/>
        <v>2</v>
      </c>
      <c r="H171" s="24">
        <f>Parameters!$B$20^(G171-1)</f>
        <v>0.7</v>
      </c>
      <c r="I171" s="18">
        <f t="shared" si="5"/>
        <v>4.1999999999999993</v>
      </c>
    </row>
    <row r="172" spans="1:9" ht="13.15" x14ac:dyDescent="0.35">
      <c r="A172" s="21">
        <v>171</v>
      </c>
      <c r="B172" s="16">
        <f>'Data OPUS'!B172</f>
        <v>17</v>
      </c>
      <c r="C172" s="22" t="str">
        <f>'Data OPUS'!F172</f>
        <v>geometry</v>
      </c>
      <c r="D172" s="16" t="str">
        <f>LOWER(TRIM('Data OPUS'!H172))</f>
        <v>major</v>
      </c>
      <c r="E172" s="23">
        <f>IF(ISNUMBER(SEARCH("move_legality",C172)),Parameters!$B$4,IF(ISNUMBER(SEARCH("piece_placement",C172)),Parameters!$B$5,IF(ISNUMBER(SEARCH("material",C172)),Parameters!$B$6,IF(ISNUMBER(SEARCH("piece_relations",C172)),Parameters!$B$7,IF(ISNUMBER(SEARCH("geometry",C172)),Parameters!$B$8,IF(ISNUMBER(SEARCH("reasoning",C172)),Parameters!$B$9,Parameters!$B$10))))))</f>
        <v>3</v>
      </c>
      <c r="F172" s="23">
        <f>IF(D172="major",Parameters!$B$14,IF(D172="medium",Parameters!$B$15,Parameters!$B$16))</f>
        <v>3</v>
      </c>
      <c r="G172" s="16">
        <f t="shared" si="4"/>
        <v>2</v>
      </c>
      <c r="H172" s="24">
        <f>Parameters!$B$20^(G172-1)</f>
        <v>0.7</v>
      </c>
      <c r="I172" s="18">
        <f t="shared" si="5"/>
        <v>6.3</v>
      </c>
    </row>
    <row r="173" spans="1:9" ht="13.15" x14ac:dyDescent="0.35">
      <c r="A173" s="21">
        <v>172</v>
      </c>
      <c r="B173" s="16">
        <f>'Data OPUS'!B173</f>
        <v>17</v>
      </c>
      <c r="C173" s="22" t="str">
        <f>'Data OPUS'!F173</f>
        <v>piece_relations</v>
      </c>
      <c r="D173" s="16" t="str">
        <f>LOWER(TRIM('Data OPUS'!H173))</f>
        <v>major</v>
      </c>
      <c r="E173" s="23">
        <f>IF(ISNUMBER(SEARCH("move_legality",C173)),Parameters!$B$4,IF(ISNUMBER(SEARCH("piece_placement",C173)),Parameters!$B$5,IF(ISNUMBER(SEARCH("material",C173)),Parameters!$B$6,IF(ISNUMBER(SEARCH("piece_relations",C173)),Parameters!$B$7,IF(ISNUMBER(SEARCH("geometry",C173)),Parameters!$B$8,IF(ISNUMBER(SEARCH("reasoning",C173)),Parameters!$B$9,Parameters!$B$10))))))</f>
        <v>4</v>
      </c>
      <c r="F173" s="23">
        <f>IF(D173="major",Parameters!$B$14,IF(D173="medium",Parameters!$B$15,Parameters!$B$16))</f>
        <v>3</v>
      </c>
      <c r="G173" s="16">
        <f t="shared" si="4"/>
        <v>2</v>
      </c>
      <c r="H173" s="24">
        <f>Parameters!$B$20^(G173-1)</f>
        <v>0.7</v>
      </c>
      <c r="I173" s="18">
        <f t="shared" si="5"/>
        <v>8.3999999999999986</v>
      </c>
    </row>
    <row r="174" spans="1:9" ht="13.15" x14ac:dyDescent="0.35">
      <c r="A174" s="21">
        <v>173</v>
      </c>
      <c r="B174" s="16">
        <f>'Data OPUS'!B174</f>
        <v>17</v>
      </c>
      <c r="C174" s="22" t="str">
        <f>'Data OPUS'!F174</f>
        <v>piece_relations</v>
      </c>
      <c r="D174" s="16" t="str">
        <f>LOWER(TRIM('Data OPUS'!H174))</f>
        <v>major</v>
      </c>
      <c r="E174" s="23">
        <f>IF(ISNUMBER(SEARCH("move_legality",C174)),Parameters!$B$4,IF(ISNUMBER(SEARCH("piece_placement",C174)),Parameters!$B$5,IF(ISNUMBER(SEARCH("material",C174)),Parameters!$B$6,IF(ISNUMBER(SEARCH("piece_relations",C174)),Parameters!$B$7,IF(ISNUMBER(SEARCH("geometry",C174)),Parameters!$B$8,IF(ISNUMBER(SEARCH("reasoning",C174)),Parameters!$B$9,Parameters!$B$10))))))</f>
        <v>4</v>
      </c>
      <c r="F174" s="23">
        <f>IF(D174="major",Parameters!$B$14,IF(D174="medium",Parameters!$B$15,Parameters!$B$16))</f>
        <v>3</v>
      </c>
      <c r="G174" s="16">
        <f t="shared" si="4"/>
        <v>3</v>
      </c>
      <c r="H174" s="24">
        <f>Parameters!$B$20^(G174-1)</f>
        <v>0.48999999999999994</v>
      </c>
      <c r="I174" s="18">
        <f t="shared" si="5"/>
        <v>5.879999999999999</v>
      </c>
    </row>
    <row r="175" spans="1:9" ht="13.15" x14ac:dyDescent="0.35">
      <c r="A175" s="21">
        <v>174</v>
      </c>
      <c r="B175" s="16">
        <f>'Data OPUS'!B175</f>
        <v>17</v>
      </c>
      <c r="C175" s="22" t="str">
        <f>'Data OPUS'!F175</f>
        <v>reasoning</v>
      </c>
      <c r="D175" s="16" t="str">
        <f>LOWER(TRIM('Data OPUS'!H175))</f>
        <v>major</v>
      </c>
      <c r="E175" s="23">
        <f>IF(ISNUMBER(SEARCH("move_legality",C175)),Parameters!$B$4,IF(ISNUMBER(SEARCH("piece_placement",C175)),Parameters!$B$5,IF(ISNUMBER(SEARCH("material",C175)),Parameters!$B$6,IF(ISNUMBER(SEARCH("piece_relations",C175)),Parameters!$B$7,IF(ISNUMBER(SEARCH("geometry",C175)),Parameters!$B$8,IF(ISNUMBER(SEARCH("reasoning",C175)),Parameters!$B$9,Parameters!$B$10))))))</f>
        <v>2</v>
      </c>
      <c r="F175" s="23">
        <f>IF(D175="major",Parameters!$B$14,IF(D175="medium",Parameters!$B$15,Parameters!$B$16))</f>
        <v>3</v>
      </c>
      <c r="G175" s="16">
        <f t="shared" si="4"/>
        <v>3</v>
      </c>
      <c r="H175" s="24">
        <f>Parameters!$B$20^(G175-1)</f>
        <v>0.48999999999999994</v>
      </c>
      <c r="I175" s="18">
        <f t="shared" si="5"/>
        <v>2.9399999999999995</v>
      </c>
    </row>
    <row r="176" spans="1:9" ht="13.15" x14ac:dyDescent="0.35">
      <c r="A176" s="21">
        <v>175</v>
      </c>
      <c r="B176" s="16">
        <f>'Data OPUS'!B176</f>
        <v>17</v>
      </c>
      <c r="C176" s="22" t="str">
        <f>'Data OPUS'!F176</f>
        <v>reasoning</v>
      </c>
      <c r="D176" s="16" t="str">
        <f>LOWER(TRIM('Data OPUS'!H176))</f>
        <v>major</v>
      </c>
      <c r="E176" s="23">
        <f>IF(ISNUMBER(SEARCH("move_legality",C176)),Parameters!$B$4,IF(ISNUMBER(SEARCH("piece_placement",C176)),Parameters!$B$5,IF(ISNUMBER(SEARCH("material",C176)),Parameters!$B$6,IF(ISNUMBER(SEARCH("piece_relations",C176)),Parameters!$B$7,IF(ISNUMBER(SEARCH("geometry",C176)),Parameters!$B$8,IF(ISNUMBER(SEARCH("reasoning",C176)),Parameters!$B$9,Parameters!$B$10))))))</f>
        <v>2</v>
      </c>
      <c r="F176" s="23">
        <f>IF(D176="major",Parameters!$B$14,IF(D176="medium",Parameters!$B$15,Parameters!$B$16))</f>
        <v>3</v>
      </c>
      <c r="G176" s="16">
        <f t="shared" si="4"/>
        <v>4</v>
      </c>
      <c r="H176" s="24">
        <f>Parameters!$B$20^(G176-1)</f>
        <v>0.34299999999999992</v>
      </c>
      <c r="I176" s="18">
        <f t="shared" si="5"/>
        <v>2.0579999999999994</v>
      </c>
    </row>
    <row r="177" spans="1:9" ht="13.15" x14ac:dyDescent="0.35">
      <c r="A177" s="21">
        <v>176</v>
      </c>
      <c r="B177" s="16">
        <f>'Data OPUS'!B177</f>
        <v>17</v>
      </c>
      <c r="C177" s="22" t="str">
        <f>'Data OPUS'!F177</f>
        <v>reasoning</v>
      </c>
      <c r="D177" s="16" t="str">
        <f>LOWER(TRIM('Data OPUS'!H177))</f>
        <v>major</v>
      </c>
      <c r="E177" s="23">
        <f>IF(ISNUMBER(SEARCH("move_legality",C177)),Parameters!$B$4,IF(ISNUMBER(SEARCH("piece_placement",C177)),Parameters!$B$5,IF(ISNUMBER(SEARCH("material",C177)),Parameters!$B$6,IF(ISNUMBER(SEARCH("piece_relations",C177)),Parameters!$B$7,IF(ISNUMBER(SEARCH("geometry",C177)),Parameters!$B$8,IF(ISNUMBER(SEARCH("reasoning",C177)),Parameters!$B$9,Parameters!$B$10))))))</f>
        <v>2</v>
      </c>
      <c r="F177" s="23">
        <f>IF(D177="major",Parameters!$B$14,IF(D177="medium",Parameters!$B$15,Parameters!$B$16))</f>
        <v>3</v>
      </c>
      <c r="G177" s="16">
        <f t="shared" si="4"/>
        <v>5</v>
      </c>
      <c r="H177" s="24">
        <f>Parameters!$B$20^(G177-1)</f>
        <v>0.24009999999999992</v>
      </c>
      <c r="I177" s="18">
        <f t="shared" si="5"/>
        <v>1.4405999999999994</v>
      </c>
    </row>
    <row r="178" spans="1:9" ht="13.15" x14ac:dyDescent="0.35">
      <c r="A178" s="21">
        <v>177</v>
      </c>
      <c r="B178" s="16">
        <f>'Data OPUS'!B178</f>
        <v>17</v>
      </c>
      <c r="C178" s="22" t="str">
        <f>'Data OPUS'!F178</f>
        <v>piece_relations</v>
      </c>
      <c r="D178" s="16" t="str">
        <f>LOWER(TRIM('Data OPUS'!H178))</f>
        <v>major</v>
      </c>
      <c r="E178" s="23">
        <f>IF(ISNUMBER(SEARCH("move_legality",C178)),Parameters!$B$4,IF(ISNUMBER(SEARCH("piece_placement",C178)),Parameters!$B$5,IF(ISNUMBER(SEARCH("material",C178)),Parameters!$B$6,IF(ISNUMBER(SEARCH("piece_relations",C178)),Parameters!$B$7,IF(ISNUMBER(SEARCH("geometry",C178)),Parameters!$B$8,IF(ISNUMBER(SEARCH("reasoning",C178)),Parameters!$B$9,Parameters!$B$10))))))</f>
        <v>4</v>
      </c>
      <c r="F178" s="23">
        <f>IF(D178="major",Parameters!$B$14,IF(D178="medium",Parameters!$B$15,Parameters!$B$16))</f>
        <v>3</v>
      </c>
      <c r="G178" s="16">
        <f t="shared" si="4"/>
        <v>4</v>
      </c>
      <c r="H178" s="24">
        <f>Parameters!$B$20^(G178-1)</f>
        <v>0.34299999999999992</v>
      </c>
      <c r="I178" s="18">
        <f t="shared" si="5"/>
        <v>4.1159999999999988</v>
      </c>
    </row>
    <row r="179" spans="1:9" ht="13.15" x14ac:dyDescent="0.35">
      <c r="A179" s="21">
        <v>178</v>
      </c>
      <c r="B179" s="16">
        <f>'Data OPUS'!B179</f>
        <v>17</v>
      </c>
      <c r="C179" s="22" t="str">
        <f>'Data OPUS'!F179</f>
        <v>piece_relations</v>
      </c>
      <c r="D179" s="16" t="str">
        <f>LOWER(TRIM('Data OPUS'!H179))</f>
        <v>major</v>
      </c>
      <c r="E179" s="23">
        <f>IF(ISNUMBER(SEARCH("move_legality",C179)),Parameters!$B$4,IF(ISNUMBER(SEARCH("piece_placement",C179)),Parameters!$B$5,IF(ISNUMBER(SEARCH("material",C179)),Parameters!$B$6,IF(ISNUMBER(SEARCH("piece_relations",C179)),Parameters!$B$7,IF(ISNUMBER(SEARCH("geometry",C179)),Parameters!$B$8,IF(ISNUMBER(SEARCH("reasoning",C179)),Parameters!$B$9,Parameters!$B$10))))))</f>
        <v>4</v>
      </c>
      <c r="F179" s="23">
        <f>IF(D179="major",Parameters!$B$14,IF(D179="medium",Parameters!$B$15,Parameters!$B$16))</f>
        <v>3</v>
      </c>
      <c r="G179" s="16">
        <f t="shared" si="4"/>
        <v>5</v>
      </c>
      <c r="H179" s="24">
        <f>Parameters!$B$20^(G179-1)</f>
        <v>0.24009999999999992</v>
      </c>
      <c r="I179" s="18">
        <f t="shared" si="5"/>
        <v>2.8811999999999989</v>
      </c>
    </row>
    <row r="180" spans="1:9" ht="13.15" x14ac:dyDescent="0.35">
      <c r="A180" s="21">
        <v>179</v>
      </c>
      <c r="B180" s="16">
        <f>'Data OPUS'!B180</f>
        <v>17</v>
      </c>
      <c r="C180" s="22" t="str">
        <f>'Data OPUS'!F180</f>
        <v>piece_relations</v>
      </c>
      <c r="D180" s="16" t="str">
        <f>LOWER(TRIM('Data OPUS'!H180))</f>
        <v>major</v>
      </c>
      <c r="E180" s="23">
        <f>IF(ISNUMBER(SEARCH("move_legality",C180)),Parameters!$B$4,IF(ISNUMBER(SEARCH("piece_placement",C180)),Parameters!$B$5,IF(ISNUMBER(SEARCH("material",C180)),Parameters!$B$6,IF(ISNUMBER(SEARCH("piece_relations",C180)),Parameters!$B$7,IF(ISNUMBER(SEARCH("geometry",C180)),Parameters!$B$8,IF(ISNUMBER(SEARCH("reasoning",C180)),Parameters!$B$9,Parameters!$B$10))))))</f>
        <v>4</v>
      </c>
      <c r="F180" s="23">
        <f>IF(D180="major",Parameters!$B$14,IF(D180="medium",Parameters!$B$15,Parameters!$B$16))</f>
        <v>3</v>
      </c>
      <c r="G180" s="16">
        <f t="shared" si="4"/>
        <v>6</v>
      </c>
      <c r="H180" s="24">
        <f>Parameters!$B$20^(G180-1)</f>
        <v>0.16806999999999994</v>
      </c>
      <c r="I180" s="18">
        <f t="shared" si="5"/>
        <v>2.0168399999999993</v>
      </c>
    </row>
    <row r="181" spans="1:9" ht="13.15" x14ac:dyDescent="0.35">
      <c r="A181" s="21">
        <v>180</v>
      </c>
      <c r="B181" s="16">
        <f>'Data OPUS'!B181</f>
        <v>17</v>
      </c>
      <c r="C181" s="22" t="str">
        <f>'Data OPUS'!F181</f>
        <v>piece_relations</v>
      </c>
      <c r="D181" s="16" t="str">
        <f>LOWER(TRIM('Data OPUS'!H181))</f>
        <v>major</v>
      </c>
      <c r="E181" s="23">
        <f>IF(ISNUMBER(SEARCH("move_legality",C181)),Parameters!$B$4,IF(ISNUMBER(SEARCH("piece_placement",C181)),Parameters!$B$5,IF(ISNUMBER(SEARCH("material",C181)),Parameters!$B$6,IF(ISNUMBER(SEARCH("piece_relations",C181)),Parameters!$B$7,IF(ISNUMBER(SEARCH("geometry",C181)),Parameters!$B$8,IF(ISNUMBER(SEARCH("reasoning",C181)),Parameters!$B$9,Parameters!$B$10))))))</f>
        <v>4</v>
      </c>
      <c r="F181" s="23">
        <f>IF(D181="major",Parameters!$B$14,IF(D181="medium",Parameters!$B$15,Parameters!$B$16))</f>
        <v>3</v>
      </c>
      <c r="G181" s="16">
        <f t="shared" si="4"/>
        <v>7</v>
      </c>
      <c r="H181" s="24">
        <f>Parameters!$B$20^(G181-1)</f>
        <v>0.11764899999999995</v>
      </c>
      <c r="I181" s="18">
        <f t="shared" si="5"/>
        <v>1.4117879999999994</v>
      </c>
    </row>
    <row r="182" spans="1:9" ht="13.15" x14ac:dyDescent="0.35">
      <c r="A182" s="21">
        <v>181</v>
      </c>
      <c r="B182" s="16">
        <f>'Data OPUS'!B182</f>
        <v>17</v>
      </c>
      <c r="C182" s="22" t="str">
        <f>'Data OPUS'!F182</f>
        <v>piece_relations</v>
      </c>
      <c r="D182" s="16" t="str">
        <f>LOWER(TRIM('Data OPUS'!H182))</f>
        <v>major</v>
      </c>
      <c r="E182" s="23">
        <f>IF(ISNUMBER(SEARCH("move_legality",C182)),Parameters!$B$4,IF(ISNUMBER(SEARCH("piece_placement",C182)),Parameters!$B$5,IF(ISNUMBER(SEARCH("material",C182)),Parameters!$B$6,IF(ISNUMBER(SEARCH("piece_relations",C182)),Parameters!$B$7,IF(ISNUMBER(SEARCH("geometry",C182)),Parameters!$B$8,IF(ISNUMBER(SEARCH("reasoning",C182)),Parameters!$B$9,Parameters!$B$10))))))</f>
        <v>4</v>
      </c>
      <c r="F182" s="23">
        <f>IF(D182="major",Parameters!$B$14,IF(D182="medium",Parameters!$B$15,Parameters!$B$16))</f>
        <v>3</v>
      </c>
      <c r="G182" s="16">
        <f t="shared" si="4"/>
        <v>8</v>
      </c>
      <c r="H182" s="24">
        <f>Parameters!$B$20^(G182-1)</f>
        <v>8.235429999999995E-2</v>
      </c>
      <c r="I182" s="18">
        <f t="shared" si="5"/>
        <v>0.98825159999999945</v>
      </c>
    </row>
    <row r="183" spans="1:9" ht="13.15" x14ac:dyDescent="0.35">
      <c r="A183" s="21">
        <v>182</v>
      </c>
      <c r="B183" s="16">
        <f>'Data OPUS'!B183</f>
        <v>17</v>
      </c>
      <c r="C183" s="22" t="str">
        <f>'Data OPUS'!F183</f>
        <v>reasoning</v>
      </c>
      <c r="D183" s="16" t="str">
        <f>LOWER(TRIM('Data OPUS'!H183))</f>
        <v>medium</v>
      </c>
      <c r="E183" s="23">
        <f>IF(ISNUMBER(SEARCH("move_legality",C183)),Parameters!$B$4,IF(ISNUMBER(SEARCH("piece_placement",C183)),Parameters!$B$5,IF(ISNUMBER(SEARCH("material",C183)),Parameters!$B$6,IF(ISNUMBER(SEARCH("piece_relations",C183)),Parameters!$B$7,IF(ISNUMBER(SEARCH("geometry",C183)),Parameters!$B$8,IF(ISNUMBER(SEARCH("reasoning",C183)),Parameters!$B$9,Parameters!$B$10))))))</f>
        <v>2</v>
      </c>
      <c r="F183" s="23">
        <f>IF(D183="major",Parameters!$B$14,IF(D183="medium",Parameters!$B$15,Parameters!$B$16))</f>
        <v>2</v>
      </c>
      <c r="G183" s="16">
        <f t="shared" si="4"/>
        <v>6</v>
      </c>
      <c r="H183" s="24">
        <f>Parameters!$B$20^(G183-1)</f>
        <v>0.16806999999999994</v>
      </c>
      <c r="I183" s="18">
        <f t="shared" si="5"/>
        <v>0.67227999999999977</v>
      </c>
    </row>
    <row r="184" spans="1:9" ht="13.15" x14ac:dyDescent="0.35">
      <c r="A184" s="21">
        <v>183</v>
      </c>
      <c r="B184" s="16">
        <f>'Data OPUS'!B184</f>
        <v>18</v>
      </c>
      <c r="C184" s="22" t="str">
        <f>'Data OPUS'!F184</f>
        <v>reasoning</v>
      </c>
      <c r="D184" s="16" t="str">
        <f>LOWER(TRIM('Data OPUS'!H184))</f>
        <v>major</v>
      </c>
      <c r="E184" s="23">
        <f>IF(ISNUMBER(SEARCH("move_legality",C184)),Parameters!$B$4,IF(ISNUMBER(SEARCH("piece_placement",C184)),Parameters!$B$5,IF(ISNUMBER(SEARCH("material",C184)),Parameters!$B$6,IF(ISNUMBER(SEARCH("piece_relations",C184)),Parameters!$B$7,IF(ISNUMBER(SEARCH("geometry",C184)),Parameters!$B$8,IF(ISNUMBER(SEARCH("reasoning",C184)),Parameters!$B$9,Parameters!$B$10))))))</f>
        <v>2</v>
      </c>
      <c r="F184" s="23">
        <f>IF(D184="major",Parameters!$B$14,IF(D184="medium",Parameters!$B$15,Parameters!$B$16))</f>
        <v>3</v>
      </c>
      <c r="G184" s="16">
        <f t="shared" si="4"/>
        <v>1</v>
      </c>
      <c r="H184" s="24">
        <f>Parameters!$B$20^(G184-1)</f>
        <v>1</v>
      </c>
      <c r="I184" s="18">
        <f t="shared" si="5"/>
        <v>6</v>
      </c>
    </row>
    <row r="185" spans="1:9" ht="13.15" x14ac:dyDescent="0.35">
      <c r="A185" s="21">
        <v>184</v>
      </c>
      <c r="B185" s="16">
        <f>'Data OPUS'!B185</f>
        <v>18</v>
      </c>
      <c r="C185" s="22" t="str">
        <f>'Data OPUS'!F185</f>
        <v>reasoning</v>
      </c>
      <c r="D185" s="16" t="str">
        <f>LOWER(TRIM('Data OPUS'!H185))</f>
        <v>medium</v>
      </c>
      <c r="E185" s="23">
        <f>IF(ISNUMBER(SEARCH("move_legality",C185)),Parameters!$B$4,IF(ISNUMBER(SEARCH("piece_placement",C185)),Parameters!$B$5,IF(ISNUMBER(SEARCH("material",C185)),Parameters!$B$6,IF(ISNUMBER(SEARCH("piece_relations",C185)),Parameters!$B$7,IF(ISNUMBER(SEARCH("geometry",C185)),Parameters!$B$8,IF(ISNUMBER(SEARCH("reasoning",C185)),Parameters!$B$9,Parameters!$B$10))))))</f>
        <v>2</v>
      </c>
      <c r="F185" s="23">
        <f>IF(D185="major",Parameters!$B$14,IF(D185="medium",Parameters!$B$15,Parameters!$B$16))</f>
        <v>2</v>
      </c>
      <c r="G185" s="16">
        <f t="shared" si="4"/>
        <v>7</v>
      </c>
      <c r="H185" s="24">
        <f>Parameters!$B$20^(G185-1)</f>
        <v>0.11764899999999995</v>
      </c>
      <c r="I185" s="18">
        <f t="shared" si="5"/>
        <v>0.47059599999999979</v>
      </c>
    </row>
    <row r="186" spans="1:9" ht="13.15" x14ac:dyDescent="0.35">
      <c r="A186" s="21">
        <v>185</v>
      </c>
      <c r="B186" s="16">
        <f>'Data OPUS'!B186</f>
        <v>18</v>
      </c>
      <c r="C186" s="22" t="str">
        <f>'Data OPUS'!F186</f>
        <v>reasoning</v>
      </c>
      <c r="D186" s="16" t="str">
        <f>LOWER(TRIM('Data OPUS'!H186))</f>
        <v>major</v>
      </c>
      <c r="E186" s="23">
        <f>IF(ISNUMBER(SEARCH("move_legality",C186)),Parameters!$B$4,IF(ISNUMBER(SEARCH("piece_placement",C186)),Parameters!$B$5,IF(ISNUMBER(SEARCH("material",C186)),Parameters!$B$6,IF(ISNUMBER(SEARCH("piece_relations",C186)),Parameters!$B$7,IF(ISNUMBER(SEARCH("geometry",C186)),Parameters!$B$8,IF(ISNUMBER(SEARCH("reasoning",C186)),Parameters!$B$9,Parameters!$B$10))))))</f>
        <v>2</v>
      </c>
      <c r="F186" s="23">
        <f>IF(D186="major",Parameters!$B$14,IF(D186="medium",Parameters!$B$15,Parameters!$B$16))</f>
        <v>3</v>
      </c>
      <c r="G186" s="16">
        <f t="shared" si="4"/>
        <v>2</v>
      </c>
      <c r="H186" s="24">
        <f>Parameters!$B$20^(G186-1)</f>
        <v>0.7</v>
      </c>
      <c r="I186" s="18">
        <f t="shared" si="5"/>
        <v>4.1999999999999993</v>
      </c>
    </row>
    <row r="187" spans="1:9" ht="13.15" x14ac:dyDescent="0.35">
      <c r="A187" s="21">
        <v>186</v>
      </c>
      <c r="B187" s="16">
        <f>'Data OPUS'!B187</f>
        <v>18</v>
      </c>
      <c r="C187" s="22" t="str">
        <f>'Data OPUS'!F187</f>
        <v>reasoning</v>
      </c>
      <c r="D187" s="16" t="str">
        <f>LOWER(TRIM('Data OPUS'!H187))</f>
        <v>medium</v>
      </c>
      <c r="E187" s="23">
        <f>IF(ISNUMBER(SEARCH("move_legality",C187)),Parameters!$B$4,IF(ISNUMBER(SEARCH("piece_placement",C187)),Parameters!$B$5,IF(ISNUMBER(SEARCH("material",C187)),Parameters!$B$6,IF(ISNUMBER(SEARCH("piece_relations",C187)),Parameters!$B$7,IF(ISNUMBER(SEARCH("geometry",C187)),Parameters!$B$8,IF(ISNUMBER(SEARCH("reasoning",C187)),Parameters!$B$9,Parameters!$B$10))))))</f>
        <v>2</v>
      </c>
      <c r="F187" s="23">
        <f>IF(D187="major",Parameters!$B$14,IF(D187="medium",Parameters!$B$15,Parameters!$B$16))</f>
        <v>2</v>
      </c>
      <c r="G187" s="16">
        <f t="shared" si="4"/>
        <v>8</v>
      </c>
      <c r="H187" s="24">
        <f>Parameters!$B$20^(G187-1)</f>
        <v>8.235429999999995E-2</v>
      </c>
      <c r="I187" s="18">
        <f t="shared" si="5"/>
        <v>0.3294171999999998</v>
      </c>
    </row>
    <row r="188" spans="1:9" ht="13.15" x14ac:dyDescent="0.35">
      <c r="A188" s="21">
        <v>187</v>
      </c>
      <c r="B188" s="16">
        <f>'Data OPUS'!B188</f>
        <v>18</v>
      </c>
      <c r="C188" s="22" t="str">
        <f>'Data OPUS'!F188</f>
        <v>geometry</v>
      </c>
      <c r="D188" s="16" t="str">
        <f>LOWER(TRIM('Data OPUS'!H188))</f>
        <v>major</v>
      </c>
      <c r="E188" s="23">
        <f>IF(ISNUMBER(SEARCH("move_legality",C188)),Parameters!$B$4,IF(ISNUMBER(SEARCH("piece_placement",C188)),Parameters!$B$5,IF(ISNUMBER(SEARCH("material",C188)),Parameters!$B$6,IF(ISNUMBER(SEARCH("piece_relations",C188)),Parameters!$B$7,IF(ISNUMBER(SEARCH("geometry",C188)),Parameters!$B$8,IF(ISNUMBER(SEARCH("reasoning",C188)),Parameters!$B$9,Parameters!$B$10))))))</f>
        <v>3</v>
      </c>
      <c r="F188" s="23">
        <f>IF(D188="major",Parameters!$B$14,IF(D188="medium",Parameters!$B$15,Parameters!$B$16))</f>
        <v>3</v>
      </c>
      <c r="G188" s="16">
        <f t="shared" si="4"/>
        <v>1</v>
      </c>
      <c r="H188" s="24">
        <f>Parameters!$B$20^(G188-1)</f>
        <v>1</v>
      </c>
      <c r="I188" s="18">
        <f t="shared" si="5"/>
        <v>9</v>
      </c>
    </row>
    <row r="189" spans="1:9" ht="13.15" x14ac:dyDescent="0.35">
      <c r="A189" s="21">
        <v>188</v>
      </c>
      <c r="B189" s="16">
        <f>'Data OPUS'!B189</f>
        <v>18</v>
      </c>
      <c r="C189" s="22" t="str">
        <f>'Data OPUS'!F189</f>
        <v>piece_relations</v>
      </c>
      <c r="D189" s="16" t="str">
        <f>LOWER(TRIM('Data OPUS'!H189))</f>
        <v>major</v>
      </c>
      <c r="E189" s="23">
        <f>IF(ISNUMBER(SEARCH("move_legality",C189)),Parameters!$B$4,IF(ISNUMBER(SEARCH("piece_placement",C189)),Parameters!$B$5,IF(ISNUMBER(SEARCH("material",C189)),Parameters!$B$6,IF(ISNUMBER(SEARCH("piece_relations",C189)),Parameters!$B$7,IF(ISNUMBER(SEARCH("geometry",C189)),Parameters!$B$8,IF(ISNUMBER(SEARCH("reasoning",C189)),Parameters!$B$9,Parameters!$B$10))))))</f>
        <v>4</v>
      </c>
      <c r="F189" s="23">
        <f>IF(D189="major",Parameters!$B$14,IF(D189="medium",Parameters!$B$15,Parameters!$B$16))</f>
        <v>3</v>
      </c>
      <c r="G189" s="16">
        <f t="shared" si="4"/>
        <v>1</v>
      </c>
      <c r="H189" s="24">
        <f>Parameters!$B$20^(G189-1)</f>
        <v>1</v>
      </c>
      <c r="I189" s="18">
        <f t="shared" si="5"/>
        <v>12</v>
      </c>
    </row>
    <row r="190" spans="1:9" ht="13.15" x14ac:dyDescent="0.35">
      <c r="A190" s="21">
        <v>189</v>
      </c>
      <c r="B190" s="16">
        <f>'Data OPUS'!B190</f>
        <v>18</v>
      </c>
      <c r="C190" s="22" t="str">
        <f>'Data OPUS'!F190</f>
        <v>piece_relations</v>
      </c>
      <c r="D190" s="16" t="str">
        <f>LOWER(TRIM('Data OPUS'!H190))</f>
        <v>major</v>
      </c>
      <c r="E190" s="23">
        <f>IF(ISNUMBER(SEARCH("move_legality",C190)),Parameters!$B$4,IF(ISNUMBER(SEARCH("piece_placement",C190)),Parameters!$B$5,IF(ISNUMBER(SEARCH("material",C190)),Parameters!$B$6,IF(ISNUMBER(SEARCH("piece_relations",C190)),Parameters!$B$7,IF(ISNUMBER(SEARCH("geometry",C190)),Parameters!$B$8,IF(ISNUMBER(SEARCH("reasoning",C190)),Parameters!$B$9,Parameters!$B$10))))))</f>
        <v>4</v>
      </c>
      <c r="F190" s="23">
        <f>IF(D190="major",Parameters!$B$14,IF(D190="medium",Parameters!$B$15,Parameters!$B$16))</f>
        <v>3</v>
      </c>
      <c r="G190" s="16">
        <f t="shared" si="4"/>
        <v>2</v>
      </c>
      <c r="H190" s="24">
        <f>Parameters!$B$20^(G190-1)</f>
        <v>0.7</v>
      </c>
      <c r="I190" s="18">
        <f t="shared" si="5"/>
        <v>8.3999999999999986</v>
      </c>
    </row>
    <row r="191" spans="1:9" ht="13.15" x14ac:dyDescent="0.35">
      <c r="A191" s="21">
        <v>190</v>
      </c>
      <c r="B191" s="16">
        <f>'Data OPUS'!B191</f>
        <v>18</v>
      </c>
      <c r="C191" s="22" t="str">
        <f>'Data OPUS'!F191</f>
        <v>reasoning</v>
      </c>
      <c r="D191" s="16" t="str">
        <f>LOWER(TRIM('Data OPUS'!H191))</f>
        <v>major</v>
      </c>
      <c r="E191" s="23">
        <f>IF(ISNUMBER(SEARCH("move_legality",C191)),Parameters!$B$4,IF(ISNUMBER(SEARCH("piece_placement",C191)),Parameters!$B$5,IF(ISNUMBER(SEARCH("material",C191)),Parameters!$B$6,IF(ISNUMBER(SEARCH("piece_relations",C191)),Parameters!$B$7,IF(ISNUMBER(SEARCH("geometry",C191)),Parameters!$B$8,IF(ISNUMBER(SEARCH("reasoning",C191)),Parameters!$B$9,Parameters!$B$10))))))</f>
        <v>2</v>
      </c>
      <c r="F191" s="23">
        <f>IF(D191="major",Parameters!$B$14,IF(D191="medium",Parameters!$B$15,Parameters!$B$16))</f>
        <v>3</v>
      </c>
      <c r="G191" s="16">
        <f t="shared" si="4"/>
        <v>3</v>
      </c>
      <c r="H191" s="24">
        <f>Parameters!$B$20^(G191-1)</f>
        <v>0.48999999999999994</v>
      </c>
      <c r="I191" s="18">
        <f t="shared" si="5"/>
        <v>2.9399999999999995</v>
      </c>
    </row>
    <row r="192" spans="1:9" ht="13.15" x14ac:dyDescent="0.35">
      <c r="A192" s="21">
        <v>191</v>
      </c>
      <c r="B192" s="16">
        <f>'Data OPUS'!B192</f>
        <v>18</v>
      </c>
      <c r="C192" s="22" t="str">
        <f>'Data OPUS'!F192</f>
        <v>reasoning</v>
      </c>
      <c r="D192" s="16" t="str">
        <f>LOWER(TRIM('Data OPUS'!H192))</f>
        <v>medium</v>
      </c>
      <c r="E192" s="23">
        <f>IF(ISNUMBER(SEARCH("move_legality",C192)),Parameters!$B$4,IF(ISNUMBER(SEARCH("piece_placement",C192)),Parameters!$B$5,IF(ISNUMBER(SEARCH("material",C192)),Parameters!$B$6,IF(ISNUMBER(SEARCH("piece_relations",C192)),Parameters!$B$7,IF(ISNUMBER(SEARCH("geometry",C192)),Parameters!$B$8,IF(ISNUMBER(SEARCH("reasoning",C192)),Parameters!$B$9,Parameters!$B$10))))))</f>
        <v>2</v>
      </c>
      <c r="F192" s="23">
        <f>IF(D192="major",Parameters!$B$14,IF(D192="medium",Parameters!$B$15,Parameters!$B$16))</f>
        <v>2</v>
      </c>
      <c r="G192" s="16">
        <f t="shared" si="4"/>
        <v>9</v>
      </c>
      <c r="H192" s="24">
        <f>Parameters!$B$20^(G192-1)</f>
        <v>5.7648009999999965E-2</v>
      </c>
      <c r="I192" s="18">
        <f t="shared" si="5"/>
        <v>0.23059203999999986</v>
      </c>
    </row>
    <row r="193" spans="1:9" ht="13.15" x14ac:dyDescent="0.35">
      <c r="A193" s="21">
        <v>192</v>
      </c>
      <c r="B193" s="16">
        <f>'Data OPUS'!B193</f>
        <v>18</v>
      </c>
      <c r="C193" s="22" t="str">
        <f>'Data OPUS'!F193</f>
        <v>reasoning</v>
      </c>
      <c r="D193" s="16" t="str">
        <f>LOWER(TRIM('Data OPUS'!H193))</f>
        <v>major</v>
      </c>
      <c r="E193" s="23">
        <f>IF(ISNUMBER(SEARCH("move_legality",C193)),Parameters!$B$4,IF(ISNUMBER(SEARCH("piece_placement",C193)),Parameters!$B$5,IF(ISNUMBER(SEARCH("material",C193)),Parameters!$B$6,IF(ISNUMBER(SEARCH("piece_relations",C193)),Parameters!$B$7,IF(ISNUMBER(SEARCH("geometry",C193)),Parameters!$B$8,IF(ISNUMBER(SEARCH("reasoning",C193)),Parameters!$B$9,Parameters!$B$10))))))</f>
        <v>2</v>
      </c>
      <c r="F193" s="23">
        <f>IF(D193="major",Parameters!$B$14,IF(D193="medium",Parameters!$B$15,Parameters!$B$16))</f>
        <v>3</v>
      </c>
      <c r="G193" s="16">
        <f t="shared" si="4"/>
        <v>4</v>
      </c>
      <c r="H193" s="24">
        <f>Parameters!$B$20^(G193-1)</f>
        <v>0.34299999999999992</v>
      </c>
      <c r="I193" s="18">
        <f t="shared" si="5"/>
        <v>2.0579999999999994</v>
      </c>
    </row>
    <row r="194" spans="1:9" ht="13.15" x14ac:dyDescent="0.35">
      <c r="A194" s="21">
        <v>193</v>
      </c>
      <c r="B194" s="16">
        <f>'Data OPUS'!B194</f>
        <v>18</v>
      </c>
      <c r="C194" s="22" t="str">
        <f>'Data OPUS'!F194</f>
        <v>reasoning</v>
      </c>
      <c r="D194" s="16" t="str">
        <f>LOWER(TRIM('Data OPUS'!H194))</f>
        <v>major</v>
      </c>
      <c r="E194" s="23">
        <f>IF(ISNUMBER(SEARCH("move_legality",C194)),Parameters!$B$4,IF(ISNUMBER(SEARCH("piece_placement",C194)),Parameters!$B$5,IF(ISNUMBER(SEARCH("material",C194)),Parameters!$B$6,IF(ISNUMBER(SEARCH("piece_relations",C194)),Parameters!$B$7,IF(ISNUMBER(SEARCH("geometry",C194)),Parameters!$B$8,IF(ISNUMBER(SEARCH("reasoning",C194)),Parameters!$B$9,Parameters!$B$10))))))</f>
        <v>2</v>
      </c>
      <c r="F194" s="23">
        <f>IF(D194="major",Parameters!$B$14,IF(D194="medium",Parameters!$B$15,Parameters!$B$16))</f>
        <v>3</v>
      </c>
      <c r="G194" s="16">
        <f t="shared" ref="G194:G224" si="6">COUNTIFS($B$2:$B$224,B194,$C$2:$C$224,C194,$F$2:$F$224,"&gt;"&amp;F194)+COUNTIFS($B$2:$B$224,B194,$C$2:$C$224,C194,$F$2:$F$224,F194,$A$2:$A$224,"&lt;="&amp;A194)</f>
        <v>5</v>
      </c>
      <c r="H194" s="24">
        <f>Parameters!$B$20^(G194-1)</f>
        <v>0.24009999999999992</v>
      </c>
      <c r="I194" s="18">
        <f t="shared" ref="I194:I224" si="7">E194*F194*H194</f>
        <v>1.4405999999999994</v>
      </c>
    </row>
    <row r="195" spans="1:9" ht="13.15" x14ac:dyDescent="0.35">
      <c r="A195" s="21">
        <v>194</v>
      </c>
      <c r="B195" s="16">
        <f>'Data OPUS'!B195</f>
        <v>18</v>
      </c>
      <c r="C195" s="22" t="str">
        <f>'Data OPUS'!F195</f>
        <v>reasoning</v>
      </c>
      <c r="D195" s="16" t="str">
        <f>LOWER(TRIM('Data OPUS'!H195))</f>
        <v>major</v>
      </c>
      <c r="E195" s="23">
        <f>IF(ISNUMBER(SEARCH("move_legality",C195)),Parameters!$B$4,IF(ISNUMBER(SEARCH("piece_placement",C195)),Parameters!$B$5,IF(ISNUMBER(SEARCH("material",C195)),Parameters!$B$6,IF(ISNUMBER(SEARCH("piece_relations",C195)),Parameters!$B$7,IF(ISNUMBER(SEARCH("geometry",C195)),Parameters!$B$8,IF(ISNUMBER(SEARCH("reasoning",C195)),Parameters!$B$9,Parameters!$B$10))))))</f>
        <v>2</v>
      </c>
      <c r="F195" s="23">
        <f>IF(D195="major",Parameters!$B$14,IF(D195="medium",Parameters!$B$15,Parameters!$B$16))</f>
        <v>3</v>
      </c>
      <c r="G195" s="16">
        <f t="shared" si="6"/>
        <v>6</v>
      </c>
      <c r="H195" s="24">
        <f>Parameters!$B$20^(G195-1)</f>
        <v>0.16806999999999994</v>
      </c>
      <c r="I195" s="18">
        <f t="shared" si="7"/>
        <v>1.0084199999999996</v>
      </c>
    </row>
    <row r="196" spans="1:9" ht="13.15" x14ac:dyDescent="0.35">
      <c r="A196" s="21">
        <v>195</v>
      </c>
      <c r="B196" s="16">
        <f>'Data OPUS'!B196</f>
        <v>19</v>
      </c>
      <c r="C196" s="22" t="str">
        <f>'Data OPUS'!F196</f>
        <v>piece_relations</v>
      </c>
      <c r="D196" s="16" t="str">
        <f>LOWER(TRIM('Data OPUS'!H196))</f>
        <v>medium</v>
      </c>
      <c r="E196" s="23">
        <f>IF(ISNUMBER(SEARCH("move_legality",C196)),Parameters!$B$4,IF(ISNUMBER(SEARCH("piece_placement",C196)),Parameters!$B$5,IF(ISNUMBER(SEARCH("material",C196)),Parameters!$B$6,IF(ISNUMBER(SEARCH("piece_relations",C196)),Parameters!$B$7,IF(ISNUMBER(SEARCH("geometry",C196)),Parameters!$B$8,IF(ISNUMBER(SEARCH("reasoning",C196)),Parameters!$B$9,Parameters!$B$10))))))</f>
        <v>4</v>
      </c>
      <c r="F196" s="23">
        <f>IF(D196="major",Parameters!$B$14,IF(D196="medium",Parameters!$B$15,Parameters!$B$16))</f>
        <v>2</v>
      </c>
      <c r="G196" s="16">
        <f t="shared" si="6"/>
        <v>4</v>
      </c>
      <c r="H196" s="24">
        <f>Parameters!$B$20^(G196-1)</f>
        <v>0.34299999999999992</v>
      </c>
      <c r="I196" s="18">
        <f t="shared" si="7"/>
        <v>2.7439999999999993</v>
      </c>
    </row>
    <row r="197" spans="1:9" ht="13.15" x14ac:dyDescent="0.35">
      <c r="A197" s="21">
        <v>196</v>
      </c>
      <c r="B197" s="16">
        <f>'Data OPUS'!B197</f>
        <v>19</v>
      </c>
      <c r="C197" s="22" t="str">
        <f>'Data OPUS'!F197</f>
        <v>piece_placement</v>
      </c>
      <c r="D197" s="16" t="str">
        <f>LOWER(TRIM('Data OPUS'!H197))</f>
        <v>minor</v>
      </c>
      <c r="E197" s="23">
        <f>IF(ISNUMBER(SEARCH("move_legality",C197)),Parameters!$B$4,IF(ISNUMBER(SEARCH("piece_placement",C197)),Parameters!$B$5,IF(ISNUMBER(SEARCH("material",C197)),Parameters!$B$6,IF(ISNUMBER(SEARCH("piece_relations",C197)),Parameters!$B$7,IF(ISNUMBER(SEARCH("geometry",C197)),Parameters!$B$8,IF(ISNUMBER(SEARCH("reasoning",C197)),Parameters!$B$9,Parameters!$B$10))))))</f>
        <v>6</v>
      </c>
      <c r="F197" s="23">
        <f>IF(D197="major",Parameters!$B$14,IF(D197="medium",Parameters!$B$15,Parameters!$B$16))</f>
        <v>1</v>
      </c>
      <c r="G197" s="16">
        <f t="shared" si="6"/>
        <v>1</v>
      </c>
      <c r="H197" s="24">
        <f>Parameters!$B$20^(G197-1)</f>
        <v>1</v>
      </c>
      <c r="I197" s="18">
        <f t="shared" si="7"/>
        <v>6</v>
      </c>
    </row>
    <row r="198" spans="1:9" ht="13.15" x14ac:dyDescent="0.35">
      <c r="A198" s="21">
        <v>197</v>
      </c>
      <c r="B198" s="16">
        <f>'Data OPUS'!B198</f>
        <v>19</v>
      </c>
      <c r="C198" s="22" t="str">
        <f>'Data OPUS'!F198</f>
        <v>reasoning</v>
      </c>
      <c r="D198" s="16" t="str">
        <f>LOWER(TRIM('Data OPUS'!H198))</f>
        <v>minor</v>
      </c>
      <c r="E198" s="23">
        <f>IF(ISNUMBER(SEARCH("move_legality",C198)),Parameters!$B$4,IF(ISNUMBER(SEARCH("piece_placement",C198)),Parameters!$B$5,IF(ISNUMBER(SEARCH("material",C198)),Parameters!$B$6,IF(ISNUMBER(SEARCH("piece_relations",C198)),Parameters!$B$7,IF(ISNUMBER(SEARCH("geometry",C198)),Parameters!$B$8,IF(ISNUMBER(SEARCH("reasoning",C198)),Parameters!$B$9,Parameters!$B$10))))))</f>
        <v>2</v>
      </c>
      <c r="F198" s="23">
        <f>IF(D198="major",Parameters!$B$14,IF(D198="medium",Parameters!$B$15,Parameters!$B$16))</f>
        <v>1</v>
      </c>
      <c r="G198" s="16">
        <f t="shared" si="6"/>
        <v>1</v>
      </c>
      <c r="H198" s="24">
        <f>Parameters!$B$20^(G198-1)</f>
        <v>1</v>
      </c>
      <c r="I198" s="18">
        <f t="shared" si="7"/>
        <v>2</v>
      </c>
    </row>
    <row r="199" spans="1:9" ht="13.15" x14ac:dyDescent="0.35">
      <c r="A199" s="21">
        <v>198</v>
      </c>
      <c r="B199" s="16">
        <f>'Data OPUS'!B199</f>
        <v>19</v>
      </c>
      <c r="C199" s="22" t="str">
        <f>'Data OPUS'!F199</f>
        <v>piece_relations</v>
      </c>
      <c r="D199" s="16" t="str">
        <f>LOWER(TRIM('Data OPUS'!H199))</f>
        <v>major</v>
      </c>
      <c r="E199" s="23">
        <f>IF(ISNUMBER(SEARCH("move_legality",C199)),Parameters!$B$4,IF(ISNUMBER(SEARCH("piece_placement",C199)),Parameters!$B$5,IF(ISNUMBER(SEARCH("material",C199)),Parameters!$B$6,IF(ISNUMBER(SEARCH("piece_relations",C199)),Parameters!$B$7,IF(ISNUMBER(SEARCH("geometry",C199)),Parameters!$B$8,IF(ISNUMBER(SEARCH("reasoning",C199)),Parameters!$B$9,Parameters!$B$10))))))</f>
        <v>4</v>
      </c>
      <c r="F199" s="23">
        <f>IF(D199="major",Parameters!$B$14,IF(D199="medium",Parameters!$B$15,Parameters!$B$16))</f>
        <v>3</v>
      </c>
      <c r="G199" s="16">
        <f t="shared" si="6"/>
        <v>1</v>
      </c>
      <c r="H199" s="24">
        <f>Parameters!$B$20^(G199-1)</f>
        <v>1</v>
      </c>
      <c r="I199" s="18">
        <f t="shared" si="7"/>
        <v>12</v>
      </c>
    </row>
    <row r="200" spans="1:9" ht="13.15" x14ac:dyDescent="0.35">
      <c r="A200" s="21">
        <v>199</v>
      </c>
      <c r="B200" s="16">
        <f>'Data OPUS'!B200</f>
        <v>19</v>
      </c>
      <c r="C200" s="22" t="str">
        <f>'Data OPUS'!F200</f>
        <v>geometry</v>
      </c>
      <c r="D200" s="16" t="str">
        <f>LOWER(TRIM('Data OPUS'!H200))</f>
        <v>major</v>
      </c>
      <c r="E200" s="23">
        <f>IF(ISNUMBER(SEARCH("move_legality",C200)),Parameters!$B$4,IF(ISNUMBER(SEARCH("piece_placement",C200)),Parameters!$B$5,IF(ISNUMBER(SEARCH("material",C200)),Parameters!$B$6,IF(ISNUMBER(SEARCH("piece_relations",C200)),Parameters!$B$7,IF(ISNUMBER(SEARCH("geometry",C200)),Parameters!$B$8,IF(ISNUMBER(SEARCH("reasoning",C200)),Parameters!$B$9,Parameters!$B$10))))))</f>
        <v>3</v>
      </c>
      <c r="F200" s="23">
        <f>IF(D200="major",Parameters!$B$14,IF(D200="medium",Parameters!$B$15,Parameters!$B$16))</f>
        <v>3</v>
      </c>
      <c r="G200" s="16">
        <f t="shared" si="6"/>
        <v>1</v>
      </c>
      <c r="H200" s="24">
        <f>Parameters!$B$20^(G200-1)</f>
        <v>1</v>
      </c>
      <c r="I200" s="18">
        <f t="shared" si="7"/>
        <v>9</v>
      </c>
    </row>
    <row r="201" spans="1:9" ht="13.15" x14ac:dyDescent="0.35">
      <c r="A201" s="21">
        <v>200</v>
      </c>
      <c r="B201" s="16">
        <f>'Data OPUS'!B201</f>
        <v>19</v>
      </c>
      <c r="C201" s="22" t="str">
        <f>'Data OPUS'!F201</f>
        <v>reasoning</v>
      </c>
      <c r="D201" s="16" t="str">
        <f>LOWER(TRIM('Data OPUS'!H201))</f>
        <v>minor</v>
      </c>
      <c r="E201" s="23">
        <f>IF(ISNUMBER(SEARCH("move_legality",C201)),Parameters!$B$4,IF(ISNUMBER(SEARCH("piece_placement",C201)),Parameters!$B$5,IF(ISNUMBER(SEARCH("material",C201)),Parameters!$B$6,IF(ISNUMBER(SEARCH("piece_relations",C201)),Parameters!$B$7,IF(ISNUMBER(SEARCH("geometry",C201)),Parameters!$B$8,IF(ISNUMBER(SEARCH("reasoning",C201)),Parameters!$B$9,Parameters!$B$10))))))</f>
        <v>2</v>
      </c>
      <c r="F201" s="23">
        <f>IF(D201="major",Parameters!$B$14,IF(D201="medium",Parameters!$B$15,Parameters!$B$16))</f>
        <v>1</v>
      </c>
      <c r="G201" s="16">
        <f t="shared" si="6"/>
        <v>2</v>
      </c>
      <c r="H201" s="24">
        <f>Parameters!$B$20^(G201-1)</f>
        <v>0.7</v>
      </c>
      <c r="I201" s="18">
        <f t="shared" si="7"/>
        <v>1.4</v>
      </c>
    </row>
    <row r="202" spans="1:9" ht="13.15" x14ac:dyDescent="0.35">
      <c r="A202" s="21">
        <v>201</v>
      </c>
      <c r="B202" s="16">
        <f>'Data OPUS'!B202</f>
        <v>19</v>
      </c>
      <c r="C202" s="22" t="str">
        <f>'Data OPUS'!F202</f>
        <v>geometry</v>
      </c>
      <c r="D202" s="16" t="str">
        <f>LOWER(TRIM('Data OPUS'!H202))</f>
        <v>major</v>
      </c>
      <c r="E202" s="23">
        <f>IF(ISNUMBER(SEARCH("move_legality",C202)),Parameters!$B$4,IF(ISNUMBER(SEARCH("piece_placement",C202)),Parameters!$B$5,IF(ISNUMBER(SEARCH("material",C202)),Parameters!$B$6,IF(ISNUMBER(SEARCH("piece_relations",C202)),Parameters!$B$7,IF(ISNUMBER(SEARCH("geometry",C202)),Parameters!$B$8,IF(ISNUMBER(SEARCH("reasoning",C202)),Parameters!$B$9,Parameters!$B$10))))))</f>
        <v>3</v>
      </c>
      <c r="F202" s="23">
        <f>IF(D202="major",Parameters!$B$14,IF(D202="medium",Parameters!$B$15,Parameters!$B$16))</f>
        <v>3</v>
      </c>
      <c r="G202" s="16">
        <f t="shared" si="6"/>
        <v>2</v>
      </c>
      <c r="H202" s="24">
        <f>Parameters!$B$20^(G202-1)</f>
        <v>0.7</v>
      </c>
      <c r="I202" s="18">
        <f t="shared" si="7"/>
        <v>6.3</v>
      </c>
    </row>
    <row r="203" spans="1:9" ht="13.15" x14ac:dyDescent="0.35">
      <c r="A203" s="21">
        <v>202</v>
      </c>
      <c r="B203" s="16">
        <f>'Data OPUS'!B203</f>
        <v>19</v>
      </c>
      <c r="C203" s="22" t="str">
        <f>'Data OPUS'!F203</f>
        <v>reasoning</v>
      </c>
      <c r="D203" s="16" t="str">
        <f>LOWER(TRIM('Data OPUS'!H203))</f>
        <v>minor</v>
      </c>
      <c r="E203" s="23">
        <f>IF(ISNUMBER(SEARCH("move_legality",C203)),Parameters!$B$4,IF(ISNUMBER(SEARCH("piece_placement",C203)),Parameters!$B$5,IF(ISNUMBER(SEARCH("material",C203)),Parameters!$B$6,IF(ISNUMBER(SEARCH("piece_relations",C203)),Parameters!$B$7,IF(ISNUMBER(SEARCH("geometry",C203)),Parameters!$B$8,IF(ISNUMBER(SEARCH("reasoning",C203)),Parameters!$B$9,Parameters!$B$10))))))</f>
        <v>2</v>
      </c>
      <c r="F203" s="23">
        <f>IF(D203="major",Parameters!$B$14,IF(D203="medium",Parameters!$B$15,Parameters!$B$16))</f>
        <v>1</v>
      </c>
      <c r="G203" s="16">
        <f t="shared" si="6"/>
        <v>3</v>
      </c>
      <c r="H203" s="24">
        <f>Parameters!$B$20^(G203-1)</f>
        <v>0.48999999999999994</v>
      </c>
      <c r="I203" s="18">
        <f t="shared" si="7"/>
        <v>0.97999999999999987</v>
      </c>
    </row>
    <row r="204" spans="1:9" ht="13.15" x14ac:dyDescent="0.35">
      <c r="A204" s="21">
        <v>203</v>
      </c>
      <c r="B204" s="16">
        <f>'Data OPUS'!B204</f>
        <v>19</v>
      </c>
      <c r="C204" s="22" t="str">
        <f>'Data OPUS'!F204</f>
        <v>geometry</v>
      </c>
      <c r="D204" s="16" t="str">
        <f>LOWER(TRIM('Data OPUS'!H204))</f>
        <v>major</v>
      </c>
      <c r="E204" s="23">
        <f>IF(ISNUMBER(SEARCH("move_legality",C204)),Parameters!$B$4,IF(ISNUMBER(SEARCH("piece_placement",C204)),Parameters!$B$5,IF(ISNUMBER(SEARCH("material",C204)),Parameters!$B$6,IF(ISNUMBER(SEARCH("piece_relations",C204)),Parameters!$B$7,IF(ISNUMBER(SEARCH("geometry",C204)),Parameters!$B$8,IF(ISNUMBER(SEARCH("reasoning",C204)),Parameters!$B$9,Parameters!$B$10))))))</f>
        <v>3</v>
      </c>
      <c r="F204" s="23">
        <f>IF(D204="major",Parameters!$B$14,IF(D204="medium",Parameters!$B$15,Parameters!$B$16))</f>
        <v>3</v>
      </c>
      <c r="G204" s="16">
        <f t="shared" si="6"/>
        <v>3</v>
      </c>
      <c r="H204" s="24">
        <f>Parameters!$B$20^(G204-1)</f>
        <v>0.48999999999999994</v>
      </c>
      <c r="I204" s="18">
        <f t="shared" si="7"/>
        <v>4.4099999999999993</v>
      </c>
    </row>
    <row r="205" spans="1:9" ht="13.15" x14ac:dyDescent="0.35">
      <c r="A205" s="21">
        <v>204</v>
      </c>
      <c r="B205" s="16">
        <f>'Data OPUS'!B205</f>
        <v>19</v>
      </c>
      <c r="C205" s="22" t="str">
        <f>'Data OPUS'!F205</f>
        <v>reasoning</v>
      </c>
      <c r="D205" s="16" t="str">
        <f>LOWER(TRIM('Data OPUS'!H205))</f>
        <v>minor</v>
      </c>
      <c r="E205" s="23">
        <f>IF(ISNUMBER(SEARCH("move_legality",C205)),Parameters!$B$4,IF(ISNUMBER(SEARCH("piece_placement",C205)),Parameters!$B$5,IF(ISNUMBER(SEARCH("material",C205)),Parameters!$B$6,IF(ISNUMBER(SEARCH("piece_relations",C205)),Parameters!$B$7,IF(ISNUMBER(SEARCH("geometry",C205)),Parameters!$B$8,IF(ISNUMBER(SEARCH("reasoning",C205)),Parameters!$B$9,Parameters!$B$10))))))</f>
        <v>2</v>
      </c>
      <c r="F205" s="23">
        <f>IF(D205="major",Parameters!$B$14,IF(D205="medium",Parameters!$B$15,Parameters!$B$16))</f>
        <v>1</v>
      </c>
      <c r="G205" s="16">
        <f t="shared" si="6"/>
        <v>4</v>
      </c>
      <c r="H205" s="24">
        <f>Parameters!$B$20^(G205-1)</f>
        <v>0.34299999999999992</v>
      </c>
      <c r="I205" s="18">
        <f t="shared" si="7"/>
        <v>0.68599999999999983</v>
      </c>
    </row>
    <row r="206" spans="1:9" ht="13.15" x14ac:dyDescent="0.35">
      <c r="A206" s="21">
        <v>205</v>
      </c>
      <c r="B206" s="16">
        <f>'Data OPUS'!B206</f>
        <v>19</v>
      </c>
      <c r="C206" s="22" t="str">
        <f>'Data OPUS'!F206</f>
        <v>piece_relations</v>
      </c>
      <c r="D206" s="16" t="str">
        <f>LOWER(TRIM('Data OPUS'!H206))</f>
        <v>major</v>
      </c>
      <c r="E206" s="23">
        <f>IF(ISNUMBER(SEARCH("move_legality",C206)),Parameters!$B$4,IF(ISNUMBER(SEARCH("piece_placement",C206)),Parameters!$B$5,IF(ISNUMBER(SEARCH("material",C206)),Parameters!$B$6,IF(ISNUMBER(SEARCH("piece_relations",C206)),Parameters!$B$7,IF(ISNUMBER(SEARCH("geometry",C206)),Parameters!$B$8,IF(ISNUMBER(SEARCH("reasoning",C206)),Parameters!$B$9,Parameters!$B$10))))))</f>
        <v>4</v>
      </c>
      <c r="F206" s="23">
        <f>IF(D206="major",Parameters!$B$14,IF(D206="medium",Parameters!$B$15,Parameters!$B$16))</f>
        <v>3</v>
      </c>
      <c r="G206" s="16">
        <f t="shared" si="6"/>
        <v>2</v>
      </c>
      <c r="H206" s="24">
        <f>Parameters!$B$20^(G206-1)</f>
        <v>0.7</v>
      </c>
      <c r="I206" s="18">
        <f t="shared" si="7"/>
        <v>8.3999999999999986</v>
      </c>
    </row>
    <row r="207" spans="1:9" ht="13.15" x14ac:dyDescent="0.35">
      <c r="A207" s="21">
        <v>206</v>
      </c>
      <c r="B207" s="16">
        <f>'Data OPUS'!B207</f>
        <v>19</v>
      </c>
      <c r="C207" s="22" t="str">
        <f>'Data OPUS'!F207</f>
        <v>piece_relations</v>
      </c>
      <c r="D207" s="16" t="str">
        <f>LOWER(TRIM('Data OPUS'!H207))</f>
        <v>major</v>
      </c>
      <c r="E207" s="23">
        <f>IF(ISNUMBER(SEARCH("move_legality",C207)),Parameters!$B$4,IF(ISNUMBER(SEARCH("piece_placement",C207)),Parameters!$B$5,IF(ISNUMBER(SEARCH("material",C207)),Parameters!$B$6,IF(ISNUMBER(SEARCH("piece_relations",C207)),Parameters!$B$7,IF(ISNUMBER(SEARCH("geometry",C207)),Parameters!$B$8,IF(ISNUMBER(SEARCH("reasoning",C207)),Parameters!$B$9,Parameters!$B$10))))))</f>
        <v>4</v>
      </c>
      <c r="F207" s="23">
        <f>IF(D207="major",Parameters!$B$14,IF(D207="medium",Parameters!$B$15,Parameters!$B$16))</f>
        <v>3</v>
      </c>
      <c r="G207" s="16">
        <f t="shared" si="6"/>
        <v>3</v>
      </c>
      <c r="H207" s="24">
        <f>Parameters!$B$20^(G207-1)</f>
        <v>0.48999999999999994</v>
      </c>
      <c r="I207" s="18">
        <f t="shared" si="7"/>
        <v>5.879999999999999</v>
      </c>
    </row>
    <row r="208" spans="1:9" ht="13.15" x14ac:dyDescent="0.35">
      <c r="A208" s="21">
        <v>207</v>
      </c>
      <c r="B208" s="16">
        <f>'Data OPUS'!B208</f>
        <v>20</v>
      </c>
      <c r="C208" s="22" t="str">
        <f>'Data OPUS'!F208</f>
        <v>reasoning</v>
      </c>
      <c r="D208" s="16" t="str">
        <f>LOWER(TRIM('Data OPUS'!H208))</f>
        <v>medium</v>
      </c>
      <c r="E208" s="23">
        <f>IF(ISNUMBER(SEARCH("move_legality",C208)),Parameters!$B$4,IF(ISNUMBER(SEARCH("piece_placement",C208)),Parameters!$B$5,IF(ISNUMBER(SEARCH("material",C208)),Parameters!$B$6,IF(ISNUMBER(SEARCH("piece_relations",C208)),Parameters!$B$7,IF(ISNUMBER(SEARCH("geometry",C208)),Parameters!$B$8,IF(ISNUMBER(SEARCH("reasoning",C208)),Parameters!$B$9,Parameters!$B$10))))))</f>
        <v>2</v>
      </c>
      <c r="F208" s="23">
        <f>IF(D208="major",Parameters!$B$14,IF(D208="medium",Parameters!$B$15,Parameters!$B$16))</f>
        <v>2</v>
      </c>
      <c r="G208" s="16">
        <f t="shared" si="6"/>
        <v>2</v>
      </c>
      <c r="H208" s="24">
        <f>Parameters!$B$20^(G208-1)</f>
        <v>0.7</v>
      </c>
      <c r="I208" s="18">
        <f t="shared" si="7"/>
        <v>2.8</v>
      </c>
    </row>
    <row r="209" spans="1:9" ht="13.15" x14ac:dyDescent="0.35">
      <c r="A209" s="21">
        <v>208</v>
      </c>
      <c r="B209" s="16">
        <f>'Data OPUS'!B209</f>
        <v>20</v>
      </c>
      <c r="C209" s="22" t="str">
        <f>'Data OPUS'!F209</f>
        <v>reasoning</v>
      </c>
      <c r="D209" s="16" t="str">
        <f>LOWER(TRIM('Data OPUS'!H209))</f>
        <v>medium</v>
      </c>
      <c r="E209" s="23">
        <f>IF(ISNUMBER(SEARCH("move_legality",C209)),Parameters!$B$4,IF(ISNUMBER(SEARCH("piece_placement",C209)),Parameters!$B$5,IF(ISNUMBER(SEARCH("material",C209)),Parameters!$B$6,IF(ISNUMBER(SEARCH("piece_relations",C209)),Parameters!$B$7,IF(ISNUMBER(SEARCH("geometry",C209)),Parameters!$B$8,IF(ISNUMBER(SEARCH("reasoning",C209)),Parameters!$B$9,Parameters!$B$10))))))</f>
        <v>2</v>
      </c>
      <c r="F209" s="23">
        <f>IF(D209="major",Parameters!$B$14,IF(D209="medium",Parameters!$B$15,Parameters!$B$16))</f>
        <v>2</v>
      </c>
      <c r="G209" s="16">
        <f t="shared" si="6"/>
        <v>3</v>
      </c>
      <c r="H209" s="24">
        <f>Parameters!$B$20^(G209-1)</f>
        <v>0.48999999999999994</v>
      </c>
      <c r="I209" s="18">
        <f t="shared" si="7"/>
        <v>1.9599999999999997</v>
      </c>
    </row>
    <row r="210" spans="1:9" ht="13.15" x14ac:dyDescent="0.35">
      <c r="A210" s="21">
        <v>209</v>
      </c>
      <c r="B210" s="16">
        <f>'Data OPUS'!B210</f>
        <v>20</v>
      </c>
      <c r="C210" s="22" t="str">
        <f>'Data OPUS'!F210</f>
        <v>geometry</v>
      </c>
      <c r="D210" s="16" t="str">
        <f>LOWER(TRIM('Data OPUS'!H210))</f>
        <v>major</v>
      </c>
      <c r="E210" s="23">
        <f>IF(ISNUMBER(SEARCH("move_legality",C210)),Parameters!$B$4,IF(ISNUMBER(SEARCH("piece_placement",C210)),Parameters!$B$5,IF(ISNUMBER(SEARCH("material",C210)),Parameters!$B$6,IF(ISNUMBER(SEARCH("piece_relations",C210)),Parameters!$B$7,IF(ISNUMBER(SEARCH("geometry",C210)),Parameters!$B$8,IF(ISNUMBER(SEARCH("reasoning",C210)),Parameters!$B$9,Parameters!$B$10))))))</f>
        <v>3</v>
      </c>
      <c r="F210" s="23">
        <f>IF(D210="major",Parameters!$B$14,IF(D210="medium",Parameters!$B$15,Parameters!$B$16))</f>
        <v>3</v>
      </c>
      <c r="G210" s="16">
        <f t="shared" si="6"/>
        <v>1</v>
      </c>
      <c r="H210" s="24">
        <f>Parameters!$B$20^(G210-1)</f>
        <v>1</v>
      </c>
      <c r="I210" s="18">
        <f t="shared" si="7"/>
        <v>9</v>
      </c>
    </row>
    <row r="211" spans="1:9" ht="13.15" x14ac:dyDescent="0.35">
      <c r="A211" s="21">
        <v>210</v>
      </c>
      <c r="B211" s="16">
        <f>'Data OPUS'!B211</f>
        <v>20</v>
      </c>
      <c r="C211" s="22" t="str">
        <f>'Data OPUS'!F211</f>
        <v>reasoning</v>
      </c>
      <c r="D211" s="16" t="str">
        <f>LOWER(TRIM('Data OPUS'!H211))</f>
        <v>major</v>
      </c>
      <c r="E211" s="23">
        <f>IF(ISNUMBER(SEARCH("move_legality",C211)),Parameters!$B$4,IF(ISNUMBER(SEARCH("piece_placement",C211)),Parameters!$B$5,IF(ISNUMBER(SEARCH("material",C211)),Parameters!$B$6,IF(ISNUMBER(SEARCH("piece_relations",C211)),Parameters!$B$7,IF(ISNUMBER(SEARCH("geometry",C211)),Parameters!$B$8,IF(ISNUMBER(SEARCH("reasoning",C211)),Parameters!$B$9,Parameters!$B$10))))))</f>
        <v>2</v>
      </c>
      <c r="F211" s="23">
        <f>IF(D211="major",Parameters!$B$14,IF(D211="medium",Parameters!$B$15,Parameters!$B$16))</f>
        <v>3</v>
      </c>
      <c r="G211" s="16">
        <f t="shared" si="6"/>
        <v>1</v>
      </c>
      <c r="H211" s="24">
        <f>Parameters!$B$20^(G211-1)</f>
        <v>1</v>
      </c>
      <c r="I211" s="18">
        <f t="shared" si="7"/>
        <v>6</v>
      </c>
    </row>
    <row r="212" spans="1:9" ht="13.15" x14ac:dyDescent="0.35">
      <c r="A212" s="21">
        <v>211</v>
      </c>
      <c r="B212" s="16">
        <f>'Data OPUS'!B212</f>
        <v>20</v>
      </c>
      <c r="C212" s="22" t="str">
        <f>'Data OPUS'!F212</f>
        <v>material</v>
      </c>
      <c r="D212" s="16" t="str">
        <f>LOWER(TRIM('Data OPUS'!H212))</f>
        <v>medium</v>
      </c>
      <c r="E212" s="23">
        <f>IF(ISNUMBER(SEARCH("move_legality",C212)),Parameters!$B$4,IF(ISNUMBER(SEARCH("piece_placement",C212)),Parameters!$B$5,IF(ISNUMBER(SEARCH("material",C212)),Parameters!$B$6,IF(ISNUMBER(SEARCH("piece_relations",C212)),Parameters!$B$7,IF(ISNUMBER(SEARCH("geometry",C212)),Parameters!$B$8,IF(ISNUMBER(SEARCH("reasoning",C212)),Parameters!$B$9,Parameters!$B$10))))))</f>
        <v>5</v>
      </c>
      <c r="F212" s="23">
        <f>IF(D212="major",Parameters!$B$14,IF(D212="medium",Parameters!$B$15,Parameters!$B$16))</f>
        <v>2</v>
      </c>
      <c r="G212" s="16">
        <f t="shared" si="6"/>
        <v>1</v>
      </c>
      <c r="H212" s="24">
        <f>Parameters!$B$20^(G212-1)</f>
        <v>1</v>
      </c>
      <c r="I212" s="18">
        <f t="shared" si="7"/>
        <v>10</v>
      </c>
    </row>
    <row r="213" spans="1:9" ht="13.15" x14ac:dyDescent="0.35">
      <c r="A213" s="21">
        <v>212</v>
      </c>
      <c r="B213" s="16">
        <f>'Data OPUS'!B213</f>
        <v>20</v>
      </c>
      <c r="C213" s="22" t="str">
        <f>'Data OPUS'!F213</f>
        <v>reasoning</v>
      </c>
      <c r="D213" s="16" t="str">
        <f>LOWER(TRIM('Data OPUS'!H213))</f>
        <v>medium</v>
      </c>
      <c r="E213" s="23">
        <f>IF(ISNUMBER(SEARCH("move_legality",C213)),Parameters!$B$4,IF(ISNUMBER(SEARCH("piece_placement",C213)),Parameters!$B$5,IF(ISNUMBER(SEARCH("material",C213)),Parameters!$B$6,IF(ISNUMBER(SEARCH("piece_relations",C213)),Parameters!$B$7,IF(ISNUMBER(SEARCH("geometry",C213)),Parameters!$B$8,IF(ISNUMBER(SEARCH("reasoning",C213)),Parameters!$B$9,Parameters!$B$10))))))</f>
        <v>2</v>
      </c>
      <c r="F213" s="23">
        <f>IF(D213="major",Parameters!$B$14,IF(D213="medium",Parameters!$B$15,Parameters!$B$16))</f>
        <v>2</v>
      </c>
      <c r="G213" s="16">
        <f t="shared" si="6"/>
        <v>4</v>
      </c>
      <c r="H213" s="24">
        <f>Parameters!$B$20^(G213-1)</f>
        <v>0.34299999999999992</v>
      </c>
      <c r="I213" s="18">
        <f t="shared" si="7"/>
        <v>1.3719999999999997</v>
      </c>
    </row>
    <row r="214" spans="1:9" ht="13.15" x14ac:dyDescent="0.35">
      <c r="A214" s="21">
        <v>213</v>
      </c>
      <c r="B214" s="16">
        <f>'Data OPUS'!B214</f>
        <v>4</v>
      </c>
      <c r="C214" s="22" t="str">
        <f>'Data OPUS'!F214</f>
        <v>reasoning</v>
      </c>
      <c r="D214" s="16" t="str">
        <f>LOWER(TRIM('Data OPUS'!H214))</f>
        <v>minor</v>
      </c>
      <c r="E214" s="23">
        <f>IF(ISNUMBER(SEARCH("move_legality",C214)),Parameters!$B$4,IF(ISNUMBER(SEARCH("piece_placement",C214)),Parameters!$B$5,IF(ISNUMBER(SEARCH("material",C214)),Parameters!$B$6,IF(ISNUMBER(SEARCH("piece_relations",C214)),Parameters!$B$7,IF(ISNUMBER(SEARCH("geometry",C214)),Parameters!$B$8,IF(ISNUMBER(SEARCH("reasoning",C214)),Parameters!$B$9,Parameters!$B$10))))))</f>
        <v>2</v>
      </c>
      <c r="F214" s="23">
        <f>IF(D214="major",Parameters!$B$14,IF(D214="medium",Parameters!$B$15,Parameters!$B$16))</f>
        <v>1</v>
      </c>
      <c r="G214" s="16">
        <f t="shared" si="6"/>
        <v>5</v>
      </c>
      <c r="H214" s="24">
        <f>Parameters!$B$20^(G214-1)</f>
        <v>0.24009999999999992</v>
      </c>
      <c r="I214" s="18">
        <f t="shared" si="7"/>
        <v>0.48019999999999985</v>
      </c>
    </row>
    <row r="215" spans="1:9" ht="13.15" x14ac:dyDescent="0.35">
      <c r="A215" s="21">
        <v>214</v>
      </c>
      <c r="B215" s="16">
        <f>'Data OPUS'!B215</f>
        <v>4</v>
      </c>
      <c r="C215" s="22" t="str">
        <f>'Data OPUS'!F215</f>
        <v>reasoning</v>
      </c>
      <c r="D215" s="16" t="str">
        <f>LOWER(TRIM('Data OPUS'!H215))</f>
        <v>minor</v>
      </c>
      <c r="E215" s="23">
        <f>IF(ISNUMBER(SEARCH("move_legality",C215)),Parameters!$B$4,IF(ISNUMBER(SEARCH("piece_placement",C215)),Parameters!$B$5,IF(ISNUMBER(SEARCH("material",C215)),Parameters!$B$6,IF(ISNUMBER(SEARCH("piece_relations",C215)),Parameters!$B$7,IF(ISNUMBER(SEARCH("geometry",C215)),Parameters!$B$8,IF(ISNUMBER(SEARCH("reasoning",C215)),Parameters!$B$9,Parameters!$B$10))))))</f>
        <v>2</v>
      </c>
      <c r="F215" s="23">
        <f>IF(D215="major",Parameters!$B$14,IF(D215="medium",Parameters!$B$15,Parameters!$B$16))</f>
        <v>1</v>
      </c>
      <c r="G215" s="16">
        <f t="shared" si="6"/>
        <v>6</v>
      </c>
      <c r="H215" s="24">
        <f>Parameters!$B$20^(G215-1)</f>
        <v>0.16806999999999994</v>
      </c>
      <c r="I215" s="18">
        <f t="shared" si="7"/>
        <v>0.33613999999999988</v>
      </c>
    </row>
    <row r="216" spans="1:9" ht="13.15" x14ac:dyDescent="0.35">
      <c r="A216" s="21">
        <v>215</v>
      </c>
      <c r="B216" s="16">
        <f>'Data OPUS'!B216</f>
        <v>4</v>
      </c>
      <c r="C216" s="22" t="str">
        <f>'Data OPUS'!F216</f>
        <v>reasoning</v>
      </c>
      <c r="D216" s="16" t="str">
        <f>LOWER(TRIM('Data OPUS'!H216))</f>
        <v>minor</v>
      </c>
      <c r="E216" s="23">
        <f>IF(ISNUMBER(SEARCH("move_legality",C216)),Parameters!$B$4,IF(ISNUMBER(SEARCH("piece_placement",C216)),Parameters!$B$5,IF(ISNUMBER(SEARCH("material",C216)),Parameters!$B$6,IF(ISNUMBER(SEARCH("piece_relations",C216)),Parameters!$B$7,IF(ISNUMBER(SEARCH("geometry",C216)),Parameters!$B$8,IF(ISNUMBER(SEARCH("reasoning",C216)),Parameters!$B$9,Parameters!$B$10))))))</f>
        <v>2</v>
      </c>
      <c r="F216" s="23">
        <f>IF(D216="major",Parameters!$B$14,IF(D216="medium",Parameters!$B$15,Parameters!$B$16))</f>
        <v>1</v>
      </c>
      <c r="G216" s="16">
        <f t="shared" si="6"/>
        <v>7</v>
      </c>
      <c r="H216" s="24">
        <f>Parameters!$B$20^(G216-1)</f>
        <v>0.11764899999999995</v>
      </c>
      <c r="I216" s="18">
        <f t="shared" si="7"/>
        <v>0.2352979999999999</v>
      </c>
    </row>
    <row r="217" spans="1:9" ht="13.15" x14ac:dyDescent="0.35">
      <c r="A217" s="21">
        <v>216</v>
      </c>
      <c r="B217" s="16">
        <f>'Data OPUS'!B217</f>
        <v>4</v>
      </c>
      <c r="C217" s="22" t="str">
        <f>'Data OPUS'!F217</f>
        <v>piece_relations</v>
      </c>
      <c r="D217" s="16" t="str">
        <f>LOWER(TRIM('Data OPUS'!H217))</f>
        <v>major</v>
      </c>
      <c r="E217" s="23">
        <f>IF(ISNUMBER(SEARCH("move_legality",C217)),Parameters!$B$4,IF(ISNUMBER(SEARCH("piece_placement",C217)),Parameters!$B$5,IF(ISNUMBER(SEARCH("material",C217)),Parameters!$B$6,IF(ISNUMBER(SEARCH("piece_relations",C217)),Parameters!$B$7,IF(ISNUMBER(SEARCH("geometry",C217)),Parameters!$B$8,IF(ISNUMBER(SEARCH("reasoning",C217)),Parameters!$B$9,Parameters!$B$10))))))</f>
        <v>4</v>
      </c>
      <c r="F217" s="23">
        <f>IF(D217="major",Parameters!$B$14,IF(D217="medium",Parameters!$B$15,Parameters!$B$16))</f>
        <v>3</v>
      </c>
      <c r="G217" s="16">
        <f t="shared" si="6"/>
        <v>1</v>
      </c>
      <c r="H217" s="24">
        <f>Parameters!$B$20^(G217-1)</f>
        <v>1</v>
      </c>
      <c r="I217" s="18">
        <f t="shared" si="7"/>
        <v>12</v>
      </c>
    </row>
    <row r="218" spans="1:9" ht="13.15" x14ac:dyDescent="0.35">
      <c r="A218" s="21">
        <v>217</v>
      </c>
      <c r="B218" s="16">
        <f>'Data OPUS'!B218</f>
        <v>4</v>
      </c>
      <c r="C218" s="22" t="str">
        <f>'Data OPUS'!F218</f>
        <v>reasoning</v>
      </c>
      <c r="D218" s="16" t="str">
        <f>LOWER(TRIM('Data OPUS'!H218))</f>
        <v>major</v>
      </c>
      <c r="E218" s="23">
        <f>IF(ISNUMBER(SEARCH("move_legality",C218)),Parameters!$B$4,IF(ISNUMBER(SEARCH("piece_placement",C218)),Parameters!$B$5,IF(ISNUMBER(SEARCH("material",C218)),Parameters!$B$6,IF(ISNUMBER(SEARCH("piece_relations",C218)),Parameters!$B$7,IF(ISNUMBER(SEARCH("geometry",C218)),Parameters!$B$8,IF(ISNUMBER(SEARCH("reasoning",C218)),Parameters!$B$9,Parameters!$B$10))))))</f>
        <v>2</v>
      </c>
      <c r="F218" s="23">
        <f>IF(D218="major",Parameters!$B$14,IF(D218="medium",Parameters!$B$15,Parameters!$B$16))</f>
        <v>3</v>
      </c>
      <c r="G218" s="16">
        <f t="shared" si="6"/>
        <v>1</v>
      </c>
      <c r="H218" s="24">
        <f>Parameters!$B$20^(G218-1)</f>
        <v>1</v>
      </c>
      <c r="I218" s="18">
        <f t="shared" si="7"/>
        <v>6</v>
      </c>
    </row>
    <row r="219" spans="1:9" ht="13.15" x14ac:dyDescent="0.35">
      <c r="A219" s="21">
        <v>218</v>
      </c>
      <c r="B219" s="16">
        <f>'Data OPUS'!B219</f>
        <v>4</v>
      </c>
      <c r="C219" s="22" t="str">
        <f>'Data OPUS'!F219</f>
        <v>reasoning</v>
      </c>
      <c r="D219" s="16" t="str">
        <f>LOWER(TRIM('Data OPUS'!H219))</f>
        <v>minor</v>
      </c>
      <c r="E219" s="23">
        <f>IF(ISNUMBER(SEARCH("move_legality",C219)),Parameters!$B$4,IF(ISNUMBER(SEARCH("piece_placement",C219)),Parameters!$B$5,IF(ISNUMBER(SEARCH("material",C219)),Parameters!$B$6,IF(ISNUMBER(SEARCH("piece_relations",C219)),Parameters!$B$7,IF(ISNUMBER(SEARCH("geometry",C219)),Parameters!$B$8,IF(ISNUMBER(SEARCH("reasoning",C219)),Parameters!$B$9,Parameters!$B$10))))))</f>
        <v>2</v>
      </c>
      <c r="F219" s="23">
        <f>IF(D219="major",Parameters!$B$14,IF(D219="medium",Parameters!$B$15,Parameters!$B$16))</f>
        <v>1</v>
      </c>
      <c r="G219" s="16">
        <f t="shared" si="6"/>
        <v>8</v>
      </c>
      <c r="H219" s="24">
        <f>Parameters!$B$20^(G219-1)</f>
        <v>8.235429999999995E-2</v>
      </c>
      <c r="I219" s="18">
        <f t="shared" si="7"/>
        <v>0.1647085999999999</v>
      </c>
    </row>
    <row r="220" spans="1:9" ht="13.15" x14ac:dyDescent="0.35">
      <c r="A220" s="21">
        <v>219</v>
      </c>
      <c r="B220" s="16">
        <f>'Data OPUS'!B220</f>
        <v>4</v>
      </c>
      <c r="C220" s="22" t="str">
        <f>'Data OPUS'!F220</f>
        <v>piece_relations</v>
      </c>
      <c r="D220" s="16" t="str">
        <f>LOWER(TRIM('Data OPUS'!H220))</f>
        <v>major</v>
      </c>
      <c r="E220" s="23">
        <f>IF(ISNUMBER(SEARCH("move_legality",C220)),Parameters!$B$4,IF(ISNUMBER(SEARCH("piece_placement",C220)),Parameters!$B$5,IF(ISNUMBER(SEARCH("material",C220)),Parameters!$B$6,IF(ISNUMBER(SEARCH("piece_relations",C220)),Parameters!$B$7,IF(ISNUMBER(SEARCH("geometry",C220)),Parameters!$B$8,IF(ISNUMBER(SEARCH("reasoning",C220)),Parameters!$B$9,Parameters!$B$10))))))</f>
        <v>4</v>
      </c>
      <c r="F220" s="23">
        <f>IF(D220="major",Parameters!$B$14,IF(D220="medium",Parameters!$B$15,Parameters!$B$16))</f>
        <v>3</v>
      </c>
      <c r="G220" s="16">
        <f t="shared" si="6"/>
        <v>2</v>
      </c>
      <c r="H220" s="24">
        <f>Parameters!$B$20^(G220-1)</f>
        <v>0.7</v>
      </c>
      <c r="I220" s="18">
        <f t="shared" si="7"/>
        <v>8.3999999999999986</v>
      </c>
    </row>
    <row r="221" spans="1:9" ht="13.15" x14ac:dyDescent="0.35">
      <c r="A221" s="21">
        <v>220</v>
      </c>
      <c r="B221" s="16">
        <f>'Data OPUS'!B221</f>
        <v>4</v>
      </c>
      <c r="C221" s="22" t="str">
        <f>'Data OPUS'!F221</f>
        <v>reasoning</v>
      </c>
      <c r="D221" s="16" t="str">
        <f>LOWER(TRIM('Data OPUS'!H221))</f>
        <v>medium</v>
      </c>
      <c r="E221" s="23">
        <f>IF(ISNUMBER(SEARCH("move_legality",C221)),Parameters!$B$4,IF(ISNUMBER(SEARCH("piece_placement",C221)),Parameters!$B$5,IF(ISNUMBER(SEARCH("material",C221)),Parameters!$B$6,IF(ISNUMBER(SEARCH("piece_relations",C221)),Parameters!$B$7,IF(ISNUMBER(SEARCH("geometry",C221)),Parameters!$B$8,IF(ISNUMBER(SEARCH("reasoning",C221)),Parameters!$B$9,Parameters!$B$10))))))</f>
        <v>2</v>
      </c>
      <c r="F221" s="23">
        <f>IF(D221="major",Parameters!$B$14,IF(D221="medium",Parameters!$B$15,Parameters!$B$16))</f>
        <v>2</v>
      </c>
      <c r="G221" s="16">
        <f t="shared" si="6"/>
        <v>2</v>
      </c>
      <c r="H221" s="24">
        <f>Parameters!$B$20^(G221-1)</f>
        <v>0.7</v>
      </c>
      <c r="I221" s="18">
        <f t="shared" si="7"/>
        <v>2.8</v>
      </c>
    </row>
    <row r="222" spans="1:9" ht="13.15" x14ac:dyDescent="0.35">
      <c r="A222" s="21">
        <v>221</v>
      </c>
      <c r="B222" s="16">
        <f>'Data OPUS'!B222</f>
        <v>4</v>
      </c>
      <c r="C222" s="22" t="str">
        <f>'Data OPUS'!F222</f>
        <v>reasoning</v>
      </c>
      <c r="D222" s="16" t="str">
        <f>LOWER(TRIM('Data OPUS'!H222))</f>
        <v>medium</v>
      </c>
      <c r="E222" s="23">
        <f>IF(ISNUMBER(SEARCH("move_legality",C222)),Parameters!$B$4,IF(ISNUMBER(SEARCH("piece_placement",C222)),Parameters!$B$5,IF(ISNUMBER(SEARCH("material",C222)),Parameters!$B$6,IF(ISNUMBER(SEARCH("piece_relations",C222)),Parameters!$B$7,IF(ISNUMBER(SEARCH("geometry",C222)),Parameters!$B$8,IF(ISNUMBER(SEARCH("reasoning",C222)),Parameters!$B$9,Parameters!$B$10))))))</f>
        <v>2</v>
      </c>
      <c r="F222" s="23">
        <f>IF(D222="major",Parameters!$B$14,IF(D222="medium",Parameters!$B$15,Parameters!$B$16))</f>
        <v>2</v>
      </c>
      <c r="G222" s="16">
        <f t="shared" si="6"/>
        <v>3</v>
      </c>
      <c r="H222" s="24">
        <f>Parameters!$B$20^(G222-1)</f>
        <v>0.48999999999999994</v>
      </c>
      <c r="I222" s="18">
        <f t="shared" si="7"/>
        <v>1.9599999999999997</v>
      </c>
    </row>
    <row r="223" spans="1:9" ht="13.15" x14ac:dyDescent="0.35">
      <c r="A223" s="21">
        <v>222</v>
      </c>
      <c r="B223" s="16">
        <f>'Data OPUS'!B223</f>
        <v>4</v>
      </c>
      <c r="C223" s="22" t="str">
        <f>'Data OPUS'!F223</f>
        <v>material</v>
      </c>
      <c r="D223" s="16" t="str">
        <f>LOWER(TRIM('Data OPUS'!H223))</f>
        <v>major</v>
      </c>
      <c r="E223" s="23">
        <f>IF(ISNUMBER(SEARCH("move_legality",C223)),Parameters!$B$4,IF(ISNUMBER(SEARCH("piece_placement",C223)),Parameters!$B$5,IF(ISNUMBER(SEARCH("material",C223)),Parameters!$B$6,IF(ISNUMBER(SEARCH("piece_relations",C223)),Parameters!$B$7,IF(ISNUMBER(SEARCH("geometry",C223)),Parameters!$B$8,IF(ISNUMBER(SEARCH("reasoning",C223)),Parameters!$B$9,Parameters!$B$10))))))</f>
        <v>5</v>
      </c>
      <c r="F223" s="23">
        <f>IF(D223="major",Parameters!$B$14,IF(D223="medium",Parameters!$B$15,Parameters!$B$16))</f>
        <v>3</v>
      </c>
      <c r="G223" s="16">
        <f t="shared" si="6"/>
        <v>1</v>
      </c>
      <c r="H223" s="24">
        <f>Parameters!$B$20^(G223-1)</f>
        <v>1</v>
      </c>
      <c r="I223" s="18">
        <f t="shared" si="7"/>
        <v>15</v>
      </c>
    </row>
    <row r="224" spans="1:9" ht="13.15" x14ac:dyDescent="0.35">
      <c r="A224" s="21">
        <v>223</v>
      </c>
      <c r="B224" s="16">
        <f>'Data OPUS'!B224</f>
        <v>4</v>
      </c>
      <c r="C224" s="22" t="str">
        <f>'Data OPUS'!F224</f>
        <v>reasoning</v>
      </c>
      <c r="D224" s="16" t="str">
        <f>LOWER(TRIM('Data OPUS'!H224))</f>
        <v>medium</v>
      </c>
      <c r="E224" s="23">
        <f>IF(ISNUMBER(SEARCH("move_legality",C224)),Parameters!$B$4,IF(ISNUMBER(SEARCH("piece_placement",C224)),Parameters!$B$5,IF(ISNUMBER(SEARCH("material",C224)),Parameters!$B$6,IF(ISNUMBER(SEARCH("piece_relations",C224)),Parameters!$B$7,IF(ISNUMBER(SEARCH("geometry",C224)),Parameters!$B$8,IF(ISNUMBER(SEARCH("reasoning",C224)),Parameters!$B$9,Parameters!$B$10))))))</f>
        <v>2</v>
      </c>
      <c r="F224" s="23">
        <f>IF(D224="major",Parameters!$B$14,IF(D224="medium",Parameters!$B$15,Parameters!$B$16))</f>
        <v>2</v>
      </c>
      <c r="G224" s="16">
        <f t="shared" si="6"/>
        <v>4</v>
      </c>
      <c r="H224" s="24">
        <f>Parameters!$B$20^(G224-1)</f>
        <v>0.34299999999999992</v>
      </c>
      <c r="I224" s="18">
        <f t="shared" si="7"/>
        <v>1.3719999999999997</v>
      </c>
    </row>
  </sheetData>
  <autoFilter ref="A1:I224" xr:uid="{00000000-0009-0000-0000-000002000000}">
    <sortState xmlns:xlrd2="http://schemas.microsoft.com/office/spreadsheetml/2017/richdata2" ref="A2:I224">
      <sortCondition ref="A1:A224"/>
    </sortState>
  </autoFilter>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E22"/>
  <sheetViews>
    <sheetView zoomScaleNormal="100" workbookViewId="0">
      <pane ySplit="1" topLeftCell="A2" activePane="bottomLeft" state="frozen"/>
      <selection pane="bottomLeft" activeCell="A22" sqref="A22:B22"/>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OPUS'!$B:$B, A2)</f>
        <v>3</v>
      </c>
      <c r="C2" s="13">
        <f>SUMIF('Calculations OPUS'!$B:$B, A2, 'Calculations OPUS'!$I:$I)</f>
        <v>25.4</v>
      </c>
      <c r="D2" s="14">
        <f t="shared" ref="D2" si="0">MAX(0,100-C2)</f>
        <v>74.599999999999994</v>
      </c>
      <c r="E2" s="12" t="str">
        <f>IF(D2&gt;=90,"Excellent",IF(D2&gt;=75,"Good",IF(D2&gt;=55,"Acceptable",IF(D2&gt;=35,"Weak","Critic"))))</f>
        <v>Acceptable</v>
      </c>
    </row>
    <row r="3" spans="1:5" ht="13.15" x14ac:dyDescent="0.35">
      <c r="A3" s="15">
        <v>2</v>
      </c>
      <c r="B3" s="16">
        <f>COUNTIF('Calculations OPUS'!$B:$B, A3)</f>
        <v>13</v>
      </c>
      <c r="C3" s="17">
        <f>SUMIF('Calculations OPUS'!$B:$B, A3, 'Calculations OPUS'!$I:$I)</f>
        <v>81.498399999999975</v>
      </c>
      <c r="D3" s="18">
        <f t="shared" ref="D3:D21" si="1">MAX(0,100-C3)</f>
        <v>18.501600000000025</v>
      </c>
      <c r="E3" s="16" t="str">
        <f t="shared" ref="E3:E21" si="2">IF(D3&gt;=90,"Excellent",IF(D3&gt;=75,"Good",IF(D3&gt;=55,"Acceptable",IF(D3&gt;=35,"Weak","Critic"))))</f>
        <v>Critic</v>
      </c>
    </row>
    <row r="4" spans="1:5" ht="13.15" x14ac:dyDescent="0.35">
      <c r="A4" s="11">
        <v>3</v>
      </c>
      <c r="B4" s="12">
        <f>COUNTIF('Calculations OPUS'!$B:$B, A4)</f>
        <v>22</v>
      </c>
      <c r="C4" s="13">
        <f>SUMIF('Calculations OPUS'!$B:$B, A4, 'Calculations OPUS'!$I:$I)</f>
        <v>160.55419799999999</v>
      </c>
      <c r="D4" s="14">
        <f t="shared" si="1"/>
        <v>0</v>
      </c>
      <c r="E4" s="12" t="str">
        <f t="shared" si="2"/>
        <v>Critic</v>
      </c>
    </row>
    <row r="5" spans="1:5" ht="13.15" x14ac:dyDescent="0.35">
      <c r="A5" s="15">
        <v>4</v>
      </c>
      <c r="B5" s="16">
        <f>COUNTIF('Calculations OPUS'!$B:$B, A5)</f>
        <v>11</v>
      </c>
      <c r="C5" s="17">
        <f>SUMIF('Calculations OPUS'!$B:$B, A5, 'Calculations OPUS'!$I:$I)</f>
        <v>48.748346599999998</v>
      </c>
      <c r="D5" s="18">
        <f t="shared" si="1"/>
        <v>51.251653400000002</v>
      </c>
      <c r="E5" s="16" t="str">
        <f t="shared" si="2"/>
        <v>Weak</v>
      </c>
    </row>
    <row r="6" spans="1:5" ht="13.15" x14ac:dyDescent="0.35">
      <c r="A6" s="11">
        <v>5</v>
      </c>
      <c r="B6" s="12">
        <f>COUNTIF('Calculations OPUS'!$B:$B, A6)</f>
        <v>8</v>
      </c>
      <c r="C6" s="13">
        <f>SUMIF('Calculations OPUS'!$B:$B, A6, 'Calculations OPUS'!$I:$I)</f>
        <v>75.849999999999994</v>
      </c>
      <c r="D6" s="14">
        <f t="shared" si="1"/>
        <v>24.150000000000006</v>
      </c>
      <c r="E6" s="12" t="str">
        <f t="shared" si="2"/>
        <v>Critic</v>
      </c>
    </row>
    <row r="7" spans="1:5" ht="13.15" x14ac:dyDescent="0.35">
      <c r="A7" s="15">
        <v>6</v>
      </c>
      <c r="B7" s="16">
        <f>COUNTIF('Calculations OPUS'!$B:$B, A7)</f>
        <v>17</v>
      </c>
      <c r="C7" s="17">
        <f>SUMIF('Calculations OPUS'!$B:$B, A7, 'Calculations OPUS'!$I:$I)</f>
        <v>65.154815245722006</v>
      </c>
      <c r="D7" s="18">
        <f t="shared" si="1"/>
        <v>34.845184754277994</v>
      </c>
      <c r="E7" s="16" t="str">
        <f t="shared" si="2"/>
        <v>Critic</v>
      </c>
    </row>
    <row r="8" spans="1:5" ht="13.15" x14ac:dyDescent="0.35">
      <c r="A8" s="11">
        <v>7</v>
      </c>
      <c r="B8" s="12">
        <f>COUNTIF('Calculations OPUS'!$B:$B, A8)</f>
        <v>4</v>
      </c>
      <c r="C8" s="13">
        <f>SUMIF('Calculations OPUS'!$B:$B, A8, 'Calculations OPUS'!$I:$I)</f>
        <v>17.16</v>
      </c>
      <c r="D8" s="14">
        <f t="shared" si="1"/>
        <v>82.84</v>
      </c>
      <c r="E8" s="12" t="str">
        <f t="shared" si="2"/>
        <v>Good</v>
      </c>
    </row>
    <row r="9" spans="1:5" ht="13.15" x14ac:dyDescent="0.35">
      <c r="A9" s="15">
        <v>8</v>
      </c>
      <c r="B9" s="16">
        <f>COUNTIF('Calculations OPUS'!$B:$B, A9)</f>
        <v>18</v>
      </c>
      <c r="C9" s="17">
        <f>SUMIF('Calculations OPUS'!$B:$B, A9, 'Calculations OPUS'!$I:$I)</f>
        <v>106.98408983399997</v>
      </c>
      <c r="D9" s="18">
        <f t="shared" si="1"/>
        <v>0</v>
      </c>
      <c r="E9" s="16" t="str">
        <f t="shared" si="2"/>
        <v>Critic</v>
      </c>
    </row>
    <row r="10" spans="1:5" ht="13.15" x14ac:dyDescent="0.35">
      <c r="A10" s="11">
        <v>9</v>
      </c>
      <c r="B10" s="12">
        <f>COUNTIF('Calculations OPUS'!$B:$B, A10)</f>
        <v>14</v>
      </c>
      <c r="C10" s="13">
        <f>SUMIF('Calculations OPUS'!$B:$B, A10, 'Calculations OPUS'!$I:$I)</f>
        <v>56.802322619999991</v>
      </c>
      <c r="D10" s="14">
        <f t="shared" si="1"/>
        <v>43.197677380000009</v>
      </c>
      <c r="E10" s="12" t="str">
        <f t="shared" si="2"/>
        <v>Weak</v>
      </c>
    </row>
    <row r="11" spans="1:5" ht="13.15" x14ac:dyDescent="0.35">
      <c r="A11" s="15">
        <v>10</v>
      </c>
      <c r="B11" s="16">
        <f>COUNTIF('Calculations OPUS'!$B:$B, A11)</f>
        <v>9</v>
      </c>
      <c r="C11" s="17">
        <f>SUMIF('Calculations OPUS'!$B:$B, A11, 'Calculations OPUS'!$I:$I)</f>
        <v>66.62</v>
      </c>
      <c r="D11" s="18">
        <f t="shared" si="1"/>
        <v>33.379999999999995</v>
      </c>
      <c r="E11" s="16" t="str">
        <f t="shared" si="2"/>
        <v>Critic</v>
      </c>
    </row>
    <row r="12" spans="1:5" ht="13.15" x14ac:dyDescent="0.35">
      <c r="A12" s="11">
        <v>11</v>
      </c>
      <c r="B12" s="12">
        <f>COUNTIF('Calculations OPUS'!$B:$B, A12)</f>
        <v>3</v>
      </c>
      <c r="C12" s="13">
        <f>SUMIF('Calculations OPUS'!$B:$B, A12, 'Calculations OPUS'!$I:$I)</f>
        <v>33</v>
      </c>
      <c r="D12" s="14">
        <f t="shared" si="1"/>
        <v>67</v>
      </c>
      <c r="E12" s="12" t="str">
        <f t="shared" si="2"/>
        <v>Acceptable</v>
      </c>
    </row>
    <row r="13" spans="1:5" ht="13.15" x14ac:dyDescent="0.35">
      <c r="A13" s="15">
        <v>12</v>
      </c>
      <c r="B13" s="16">
        <f>COUNTIF('Calculations OPUS'!$B:$B, A13)</f>
        <v>6</v>
      </c>
      <c r="C13" s="17">
        <f>SUMIF('Calculations OPUS'!$B:$B, A13, 'Calculations OPUS'!$I:$I)</f>
        <v>30.699999999999996</v>
      </c>
      <c r="D13" s="18">
        <f t="shared" si="1"/>
        <v>69.300000000000011</v>
      </c>
      <c r="E13" s="16" t="str">
        <f t="shared" si="2"/>
        <v>Acceptable</v>
      </c>
    </row>
    <row r="14" spans="1:5" ht="13.15" x14ac:dyDescent="0.35">
      <c r="A14" s="11">
        <v>13</v>
      </c>
      <c r="B14" s="12">
        <f>COUNTIF('Calculations OPUS'!$B:$B, A14)</f>
        <v>18</v>
      </c>
      <c r="C14" s="13">
        <f>SUMIF('Calculations OPUS'!$B:$B, A14, 'Calculations OPUS'!$I:$I)</f>
        <v>114.942889834</v>
      </c>
      <c r="D14" s="14">
        <f t="shared" si="1"/>
        <v>0</v>
      </c>
      <c r="E14" s="12" t="str">
        <f t="shared" si="2"/>
        <v>Critic</v>
      </c>
    </row>
    <row r="15" spans="1:5" ht="13.15" x14ac:dyDescent="0.35">
      <c r="A15" s="15">
        <v>14</v>
      </c>
      <c r="B15" s="16">
        <f>COUNTIF('Calculations OPUS'!$B:$B, A15)</f>
        <v>9</v>
      </c>
      <c r="C15" s="17">
        <f>SUMIF('Calculations OPUS'!$B:$B, A15, 'Calculations OPUS'!$I:$I)</f>
        <v>73.006</v>
      </c>
      <c r="D15" s="18">
        <f t="shared" si="1"/>
        <v>26.994</v>
      </c>
      <c r="E15" s="16" t="str">
        <f t="shared" si="2"/>
        <v>Critic</v>
      </c>
    </row>
    <row r="16" spans="1:5" ht="13.15" x14ac:dyDescent="0.35">
      <c r="A16" s="11">
        <v>15</v>
      </c>
      <c r="B16" s="12">
        <f>COUNTIF('Calculations OPUS'!$B:$B, A16)</f>
        <v>10</v>
      </c>
      <c r="C16" s="13">
        <f>SUMIF('Calculations OPUS'!$B:$B, A16, 'Calculations OPUS'!$I:$I)</f>
        <v>96.852800000000002</v>
      </c>
      <c r="D16" s="14">
        <f t="shared" si="1"/>
        <v>3.147199999999998</v>
      </c>
      <c r="E16" s="12" t="str">
        <f t="shared" si="2"/>
        <v>Critic</v>
      </c>
    </row>
    <row r="17" spans="1:5" ht="13.15" x14ac:dyDescent="0.35">
      <c r="A17" s="15">
        <v>16</v>
      </c>
      <c r="B17" s="16">
        <f>COUNTIF('Calculations OPUS'!$B:$B, A17)</f>
        <v>12</v>
      </c>
      <c r="C17" s="17">
        <f>SUMIF('Calculations OPUS'!$B:$B, A17, 'Calculations OPUS'!$I:$I)</f>
        <v>115.06</v>
      </c>
      <c r="D17" s="18">
        <f t="shared" si="1"/>
        <v>0</v>
      </c>
      <c r="E17" s="16" t="str">
        <f t="shared" si="2"/>
        <v>Critic</v>
      </c>
    </row>
    <row r="18" spans="1:5" ht="13.15" x14ac:dyDescent="0.35">
      <c r="A18" s="11">
        <v>17</v>
      </c>
      <c r="B18" s="12">
        <f>COUNTIF('Calculations OPUS'!$B:$B, A18)</f>
        <v>16</v>
      </c>
      <c r="C18" s="13">
        <f>SUMIF('Calculations OPUS'!$B:$B, A18, 'Calculations OPUS'!$I:$I)</f>
        <v>70.304959599999989</v>
      </c>
      <c r="D18" s="14">
        <f t="shared" si="1"/>
        <v>29.695040400000011</v>
      </c>
      <c r="E18" s="12" t="str">
        <f t="shared" si="2"/>
        <v>Critic</v>
      </c>
    </row>
    <row r="19" spans="1:5" ht="13.15" x14ac:dyDescent="0.35">
      <c r="A19" s="15">
        <v>18</v>
      </c>
      <c r="B19" s="16">
        <f>COUNTIF('Calculations OPUS'!$B:$B, A19)</f>
        <v>12</v>
      </c>
      <c r="C19" s="17">
        <f>SUMIF('Calculations OPUS'!$B:$B, A19, 'Calculations OPUS'!$I:$I)</f>
        <v>48.077625239999989</v>
      </c>
      <c r="D19" s="18">
        <f t="shared" si="1"/>
        <v>51.922374760000011</v>
      </c>
      <c r="E19" s="16" t="str">
        <f t="shared" si="2"/>
        <v>Weak</v>
      </c>
    </row>
    <row r="20" spans="1:5" ht="13.15" x14ac:dyDescent="0.35">
      <c r="A20" s="11">
        <v>19</v>
      </c>
      <c r="B20" s="12">
        <f>COUNTIF('Calculations OPUS'!$B:$B, A20)</f>
        <v>12</v>
      </c>
      <c r="C20" s="13">
        <f>SUMIF('Calculations OPUS'!$B:$B, A20, 'Calculations OPUS'!$I:$I)</f>
        <v>59.799999999999983</v>
      </c>
      <c r="D20" s="14">
        <f t="shared" si="1"/>
        <v>40.200000000000017</v>
      </c>
      <c r="E20" s="12" t="str">
        <f t="shared" si="2"/>
        <v>Weak</v>
      </c>
    </row>
    <row r="21" spans="1:5" ht="13.15" x14ac:dyDescent="0.35">
      <c r="A21" s="15">
        <v>20</v>
      </c>
      <c r="B21" s="16">
        <f>COUNTIF('Calculations OPUS'!$B:$B, A21)</f>
        <v>6</v>
      </c>
      <c r="C21" s="17">
        <f>SUMIF('Calculations OPUS'!$B:$B, A21, 'Calculations OPUS'!$I:$I)</f>
        <v>31.131999999999998</v>
      </c>
      <c r="D21" s="18">
        <f t="shared" si="1"/>
        <v>68.867999999999995</v>
      </c>
      <c r="E21" s="16" t="str">
        <f t="shared" si="2"/>
        <v>Acceptable</v>
      </c>
    </row>
    <row r="22" spans="1:5" ht="15" x14ac:dyDescent="0.35">
      <c r="A22" s="56" t="s">
        <v>577</v>
      </c>
      <c r="B22" s="56"/>
      <c r="C22" s="19">
        <f>ROUND(AVERAGE(C2:C21),2)</f>
        <v>68.88</v>
      </c>
      <c r="D22" s="19">
        <f>ROUND(AVERAGE(D2:D21),2)</f>
        <v>35.99</v>
      </c>
      <c r="E22" s="20" t="str">
        <f t="shared" ref="E22" si="3">IF(D22&gt;=90,"Excellent",IF(D22&gt;=75,"Good",IF(D22&gt;=55,"Acceptable",IF(D22&gt;=35,"Weak","Critic"))))</f>
        <v>Weak</v>
      </c>
    </row>
  </sheetData>
  <mergeCells count="1">
    <mergeCell ref="A22:B22"/>
  </mergeCells>
  <conditionalFormatting sqref="C2:C21">
    <cfRule type="cellIs" dxfId="6" priority="1" operator="greaterThan">
      <formula>99</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6D90-A0EC-429A-81B9-FA1B94141DA1}">
  <sheetPr>
    <tabColor theme="6"/>
  </sheetPr>
  <dimension ref="A1:H132"/>
  <sheetViews>
    <sheetView zoomScaleNormal="100" workbookViewId="0">
      <pane ySplit="1" topLeftCell="A2" activePane="bottomLeft" state="frozen"/>
      <selection pane="bottomLeft"/>
    </sheetView>
  </sheetViews>
  <sheetFormatPr defaultColWidth="12.59765625" defaultRowHeight="12.75" x14ac:dyDescent="0.35"/>
  <cols>
    <col min="1" max="1" width="10.6640625" bestFit="1" customWidth="1"/>
    <col min="2" max="2" width="13.46484375" bestFit="1" customWidth="1"/>
    <col min="3" max="3" width="50" customWidth="1"/>
    <col min="4" max="4" width="10" bestFit="1" customWidth="1"/>
    <col min="5" max="5" width="117.265625" bestFit="1" customWidth="1"/>
    <col min="6" max="6" width="21.3984375" bestFit="1" customWidth="1"/>
    <col min="7" max="7" width="68.33203125"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578</v>
      </c>
      <c r="B2" s="31">
        <v>1</v>
      </c>
      <c r="C2" s="31" t="s">
        <v>52</v>
      </c>
      <c r="D2" s="31" t="s">
        <v>579</v>
      </c>
      <c r="E2" s="31" t="s">
        <v>580</v>
      </c>
      <c r="F2" s="31" t="s">
        <v>25</v>
      </c>
      <c r="G2" s="31" t="s">
        <v>581</v>
      </c>
      <c r="H2" s="31" t="s">
        <v>60</v>
      </c>
    </row>
    <row r="3" spans="1:8" ht="23.25" x14ac:dyDescent="0.35">
      <c r="A3" s="32" t="s">
        <v>578</v>
      </c>
      <c r="B3" s="32">
        <v>1</v>
      </c>
      <c r="C3" s="32"/>
      <c r="D3" s="32" t="s">
        <v>582</v>
      </c>
      <c r="E3" s="32" t="s">
        <v>583</v>
      </c>
      <c r="F3" s="32" t="s">
        <v>18</v>
      </c>
      <c r="G3" s="32" t="s">
        <v>584</v>
      </c>
      <c r="H3" s="32" t="s">
        <v>34</v>
      </c>
    </row>
    <row r="4" spans="1:8" ht="23.25" x14ac:dyDescent="0.35">
      <c r="A4" s="31" t="s">
        <v>578</v>
      </c>
      <c r="B4" s="31">
        <v>1</v>
      </c>
      <c r="C4" s="31"/>
      <c r="D4" s="31" t="s">
        <v>585</v>
      </c>
      <c r="E4" s="31" t="s">
        <v>586</v>
      </c>
      <c r="F4" s="31" t="s">
        <v>25</v>
      </c>
      <c r="G4" s="31" t="s">
        <v>587</v>
      </c>
      <c r="H4" s="31" t="s">
        <v>33</v>
      </c>
    </row>
    <row r="5" spans="1:8" ht="23.25" x14ac:dyDescent="0.35">
      <c r="A5" s="32" t="s">
        <v>578</v>
      </c>
      <c r="B5" s="32">
        <v>4</v>
      </c>
      <c r="C5" s="32" t="s">
        <v>535</v>
      </c>
      <c r="D5" s="32" t="s">
        <v>261</v>
      </c>
      <c r="E5" s="32" t="s">
        <v>588</v>
      </c>
      <c r="F5" s="32" t="s">
        <v>25</v>
      </c>
      <c r="G5" s="32" t="s">
        <v>589</v>
      </c>
      <c r="H5" s="32" t="s">
        <v>34</v>
      </c>
    </row>
    <row r="6" spans="1:8" ht="23.25" x14ac:dyDescent="0.35">
      <c r="A6" s="31" t="s">
        <v>578</v>
      </c>
      <c r="B6" s="31">
        <v>4</v>
      </c>
      <c r="C6" s="31"/>
      <c r="D6" s="31" t="s">
        <v>261</v>
      </c>
      <c r="E6" s="31" t="s">
        <v>590</v>
      </c>
      <c r="F6" s="31" t="s">
        <v>25</v>
      </c>
      <c r="G6" s="31" t="s">
        <v>591</v>
      </c>
      <c r="H6" s="31" t="s">
        <v>34</v>
      </c>
    </row>
    <row r="7" spans="1:8" ht="23.25" x14ac:dyDescent="0.35">
      <c r="A7" s="32" t="s">
        <v>578</v>
      </c>
      <c r="B7" s="32">
        <v>4</v>
      </c>
      <c r="C7" s="32"/>
      <c r="D7" s="32" t="s">
        <v>458</v>
      </c>
      <c r="E7" s="32" t="s">
        <v>592</v>
      </c>
      <c r="F7" s="32" t="s">
        <v>25</v>
      </c>
      <c r="G7" s="32" t="s">
        <v>593</v>
      </c>
      <c r="H7" s="32" t="s">
        <v>34</v>
      </c>
    </row>
    <row r="8" spans="1:8" ht="23.25" x14ac:dyDescent="0.35">
      <c r="A8" s="31" t="s">
        <v>578</v>
      </c>
      <c r="B8" s="31">
        <v>4</v>
      </c>
      <c r="C8" s="31"/>
      <c r="D8" s="31" t="s">
        <v>458</v>
      </c>
      <c r="E8" s="31" t="s">
        <v>594</v>
      </c>
      <c r="F8" s="31" t="s">
        <v>25</v>
      </c>
      <c r="G8" s="31" t="s">
        <v>595</v>
      </c>
      <c r="H8" s="31" t="s">
        <v>60</v>
      </c>
    </row>
    <row r="9" spans="1:8" ht="23.25" x14ac:dyDescent="0.35">
      <c r="A9" s="32" t="s">
        <v>578</v>
      </c>
      <c r="B9" s="32">
        <v>4</v>
      </c>
      <c r="C9" s="32"/>
      <c r="D9" s="32"/>
      <c r="E9" s="32" t="s">
        <v>596</v>
      </c>
      <c r="F9" s="32" t="s">
        <v>25</v>
      </c>
      <c r="G9" s="32" t="s">
        <v>597</v>
      </c>
      <c r="H9" s="32" t="s">
        <v>60</v>
      </c>
    </row>
    <row r="10" spans="1:8" ht="23.25" x14ac:dyDescent="0.35">
      <c r="A10" s="31" t="s">
        <v>578</v>
      </c>
      <c r="B10" s="31">
        <v>4</v>
      </c>
      <c r="C10" s="31"/>
      <c r="D10" s="31" t="s">
        <v>258</v>
      </c>
      <c r="E10" s="31" t="s">
        <v>598</v>
      </c>
      <c r="F10" s="31" t="s">
        <v>19</v>
      </c>
      <c r="G10" s="31" t="s">
        <v>599</v>
      </c>
      <c r="H10" s="31" t="s">
        <v>33</v>
      </c>
    </row>
    <row r="11" spans="1:8" ht="23.25" x14ac:dyDescent="0.35">
      <c r="A11" s="32" t="s">
        <v>578</v>
      </c>
      <c r="B11" s="32">
        <v>4</v>
      </c>
      <c r="C11" s="32"/>
      <c r="D11" s="32" t="s">
        <v>258</v>
      </c>
      <c r="E11" s="32" t="s">
        <v>600</v>
      </c>
      <c r="F11" s="32" t="s">
        <v>25</v>
      </c>
      <c r="G11" s="32" t="s">
        <v>601</v>
      </c>
      <c r="H11" s="32" t="s">
        <v>33</v>
      </c>
    </row>
    <row r="12" spans="1:8" ht="23.25" x14ac:dyDescent="0.35">
      <c r="A12" s="31" t="s">
        <v>578</v>
      </c>
      <c r="B12" s="31">
        <v>5</v>
      </c>
      <c r="C12" s="31" t="s">
        <v>139</v>
      </c>
      <c r="D12" s="31" t="s">
        <v>602</v>
      </c>
      <c r="E12" s="31" t="s">
        <v>603</v>
      </c>
      <c r="F12" s="31" t="s">
        <v>18</v>
      </c>
      <c r="G12" s="31" t="s">
        <v>604</v>
      </c>
      <c r="H12" s="31" t="s">
        <v>34</v>
      </c>
    </row>
    <row r="13" spans="1:8" ht="23.25" x14ac:dyDescent="0.35">
      <c r="A13" s="32" t="s">
        <v>578</v>
      </c>
      <c r="B13" s="32">
        <v>5</v>
      </c>
      <c r="C13" s="32"/>
      <c r="D13" s="32" t="s">
        <v>140</v>
      </c>
      <c r="E13" s="32" t="s">
        <v>605</v>
      </c>
      <c r="F13" s="32" t="s">
        <v>25</v>
      </c>
      <c r="G13" s="32" t="s">
        <v>606</v>
      </c>
      <c r="H13" s="32" t="s">
        <v>34</v>
      </c>
    </row>
    <row r="14" spans="1:8" ht="23.25" x14ac:dyDescent="0.35">
      <c r="A14" s="31" t="s">
        <v>578</v>
      </c>
      <c r="B14" s="31">
        <v>5</v>
      </c>
      <c r="C14" s="31"/>
      <c r="D14" s="31" t="s">
        <v>607</v>
      </c>
      <c r="E14" s="31" t="s">
        <v>608</v>
      </c>
      <c r="F14" s="31" t="s">
        <v>25</v>
      </c>
      <c r="G14" s="31" t="s">
        <v>609</v>
      </c>
      <c r="H14" s="31" t="s">
        <v>33</v>
      </c>
    </row>
    <row r="15" spans="1:8" ht="23.25" x14ac:dyDescent="0.35">
      <c r="A15" s="32" t="s">
        <v>578</v>
      </c>
      <c r="B15" s="32">
        <v>5</v>
      </c>
      <c r="C15" s="32"/>
      <c r="D15" s="32" t="s">
        <v>146</v>
      </c>
      <c r="E15" s="32" t="s">
        <v>610</v>
      </c>
      <c r="F15" s="32" t="s">
        <v>25</v>
      </c>
      <c r="G15" s="32" t="s">
        <v>611</v>
      </c>
      <c r="H15" s="32" t="s">
        <v>33</v>
      </c>
    </row>
    <row r="16" spans="1:8" ht="23.25" x14ac:dyDescent="0.35">
      <c r="A16" s="31" t="s">
        <v>578</v>
      </c>
      <c r="B16" s="31">
        <v>5</v>
      </c>
      <c r="C16" s="31"/>
      <c r="D16" s="31" t="s">
        <v>151</v>
      </c>
      <c r="E16" s="31" t="s">
        <v>612</v>
      </c>
      <c r="F16" s="31" t="s">
        <v>25</v>
      </c>
      <c r="G16" s="31" t="s">
        <v>613</v>
      </c>
      <c r="H16" s="31" t="s">
        <v>33</v>
      </c>
    </row>
    <row r="17" spans="1:8" ht="23.25" x14ac:dyDescent="0.35">
      <c r="A17" s="32" t="s">
        <v>578</v>
      </c>
      <c r="B17" s="32">
        <v>5</v>
      </c>
      <c r="C17" s="32"/>
      <c r="D17" s="32" t="s">
        <v>151</v>
      </c>
      <c r="E17" s="32" t="s">
        <v>614</v>
      </c>
      <c r="F17" s="32" t="s">
        <v>25</v>
      </c>
      <c r="G17" s="32" t="s">
        <v>615</v>
      </c>
      <c r="H17" s="32" t="s">
        <v>33</v>
      </c>
    </row>
    <row r="18" spans="1:8" ht="23.25" x14ac:dyDescent="0.35">
      <c r="A18" s="31" t="s">
        <v>578</v>
      </c>
      <c r="B18" s="31">
        <v>5</v>
      </c>
      <c r="C18" s="31"/>
      <c r="D18" s="31" t="s">
        <v>158</v>
      </c>
      <c r="E18" s="31" t="s">
        <v>616</v>
      </c>
      <c r="F18" s="31" t="s">
        <v>18</v>
      </c>
      <c r="G18" s="31" t="s">
        <v>617</v>
      </c>
      <c r="H18" s="31" t="s">
        <v>33</v>
      </c>
    </row>
    <row r="19" spans="1:8" ht="23.25" x14ac:dyDescent="0.35">
      <c r="A19" s="32" t="s">
        <v>578</v>
      </c>
      <c r="B19" s="32">
        <v>5</v>
      </c>
      <c r="C19" s="32"/>
      <c r="D19" s="32" t="s">
        <v>158</v>
      </c>
      <c r="E19" s="32" t="s">
        <v>618</v>
      </c>
      <c r="F19" s="32" t="s">
        <v>18</v>
      </c>
      <c r="G19" s="32" t="s">
        <v>617</v>
      </c>
      <c r="H19" s="32" t="s">
        <v>33</v>
      </c>
    </row>
    <row r="20" spans="1:8" ht="23.25" x14ac:dyDescent="0.35">
      <c r="A20" s="31" t="s">
        <v>578</v>
      </c>
      <c r="B20" s="31">
        <v>5</v>
      </c>
      <c r="C20" s="31"/>
      <c r="D20" s="31" t="s">
        <v>158</v>
      </c>
      <c r="E20" s="31" t="s">
        <v>619</v>
      </c>
      <c r="F20" s="31" t="s">
        <v>25</v>
      </c>
      <c r="G20" s="31" t="s">
        <v>620</v>
      </c>
      <c r="H20" s="31" t="s">
        <v>33</v>
      </c>
    </row>
    <row r="21" spans="1:8" ht="23.25" x14ac:dyDescent="0.35">
      <c r="A21" s="32" t="s">
        <v>578</v>
      </c>
      <c r="B21" s="32">
        <v>6</v>
      </c>
      <c r="C21" s="32" t="s">
        <v>161</v>
      </c>
      <c r="D21" s="32" t="s">
        <v>168</v>
      </c>
      <c r="E21" s="32" t="s">
        <v>621</v>
      </c>
      <c r="F21" s="32" t="s">
        <v>25</v>
      </c>
      <c r="G21" s="32" t="s">
        <v>622</v>
      </c>
      <c r="H21" s="32" t="s">
        <v>33</v>
      </c>
    </row>
    <row r="22" spans="1:8" ht="23.25" x14ac:dyDescent="0.35">
      <c r="A22" s="31" t="s">
        <v>578</v>
      </c>
      <c r="B22" s="31">
        <v>6</v>
      </c>
      <c r="C22" s="31"/>
      <c r="D22" s="31" t="s">
        <v>182</v>
      </c>
      <c r="E22" s="31" t="s">
        <v>623</v>
      </c>
      <c r="F22" s="31" t="s">
        <v>18</v>
      </c>
      <c r="G22" s="31" t="s">
        <v>624</v>
      </c>
      <c r="H22" s="31" t="s">
        <v>34</v>
      </c>
    </row>
    <row r="23" spans="1:8" ht="23.25" x14ac:dyDescent="0.35">
      <c r="A23" s="32" t="s">
        <v>578</v>
      </c>
      <c r="B23" s="32">
        <v>6</v>
      </c>
      <c r="C23" s="32"/>
      <c r="D23" s="32" t="s">
        <v>182</v>
      </c>
      <c r="E23" s="32" t="s">
        <v>625</v>
      </c>
      <c r="F23" s="32" t="s">
        <v>25</v>
      </c>
      <c r="G23" s="32" t="s">
        <v>626</v>
      </c>
      <c r="H23" s="32" t="s">
        <v>33</v>
      </c>
    </row>
    <row r="24" spans="1:8" ht="23.25" x14ac:dyDescent="0.35">
      <c r="A24" s="31" t="s">
        <v>578</v>
      </c>
      <c r="B24" s="31">
        <v>6</v>
      </c>
      <c r="C24" s="31"/>
      <c r="D24" s="31" t="s">
        <v>182</v>
      </c>
      <c r="E24" s="31" t="s">
        <v>627</v>
      </c>
      <c r="F24" s="31" t="s">
        <v>25</v>
      </c>
      <c r="G24" s="31" t="s">
        <v>628</v>
      </c>
      <c r="H24" s="31" t="s">
        <v>33</v>
      </c>
    </row>
    <row r="25" spans="1:8" ht="23.25" x14ac:dyDescent="0.35">
      <c r="A25" s="32" t="s">
        <v>578</v>
      </c>
      <c r="B25" s="32">
        <v>6</v>
      </c>
      <c r="C25" s="32"/>
      <c r="D25" s="32" t="s">
        <v>185</v>
      </c>
      <c r="E25" s="32" t="s">
        <v>629</v>
      </c>
      <c r="F25" s="32" t="s">
        <v>25</v>
      </c>
      <c r="G25" s="32" t="s">
        <v>630</v>
      </c>
      <c r="H25" s="32" t="s">
        <v>60</v>
      </c>
    </row>
    <row r="26" spans="1:8" ht="23.25" x14ac:dyDescent="0.35">
      <c r="A26" s="31" t="s">
        <v>578</v>
      </c>
      <c r="B26" s="31">
        <v>6</v>
      </c>
      <c r="C26" s="31"/>
      <c r="D26" s="31" t="s">
        <v>185</v>
      </c>
      <c r="E26" s="31" t="s">
        <v>631</v>
      </c>
      <c r="F26" s="31" t="s">
        <v>25</v>
      </c>
      <c r="G26" s="31" t="s">
        <v>632</v>
      </c>
      <c r="H26" s="31" t="s">
        <v>33</v>
      </c>
    </row>
    <row r="27" spans="1:8" ht="23.25" x14ac:dyDescent="0.35">
      <c r="A27" s="32" t="s">
        <v>578</v>
      </c>
      <c r="B27" s="32">
        <v>6</v>
      </c>
      <c r="C27" s="32"/>
      <c r="D27" s="32" t="s">
        <v>185</v>
      </c>
      <c r="E27" s="32" t="s">
        <v>633</v>
      </c>
      <c r="F27" s="32" t="s">
        <v>25</v>
      </c>
      <c r="G27" s="32" t="s">
        <v>634</v>
      </c>
      <c r="H27" s="32" t="s">
        <v>33</v>
      </c>
    </row>
    <row r="28" spans="1:8" ht="23.25" x14ac:dyDescent="0.35">
      <c r="A28" s="31" t="s">
        <v>578</v>
      </c>
      <c r="B28" s="31">
        <v>7</v>
      </c>
      <c r="C28" s="31" t="s">
        <v>198</v>
      </c>
      <c r="D28" s="31" t="s">
        <v>510</v>
      </c>
      <c r="E28" s="31" t="s">
        <v>635</v>
      </c>
      <c r="F28" s="31" t="s">
        <v>25</v>
      </c>
      <c r="G28" s="31" t="s">
        <v>636</v>
      </c>
      <c r="H28" s="31" t="s">
        <v>33</v>
      </c>
    </row>
    <row r="29" spans="1:8" ht="23.25" x14ac:dyDescent="0.35">
      <c r="A29" s="32" t="s">
        <v>578</v>
      </c>
      <c r="B29" s="32">
        <v>7</v>
      </c>
      <c r="C29" s="32"/>
      <c r="D29" s="32" t="s">
        <v>510</v>
      </c>
      <c r="E29" s="32" t="s">
        <v>637</v>
      </c>
      <c r="F29" s="32" t="s">
        <v>25</v>
      </c>
      <c r="G29" s="32" t="s">
        <v>638</v>
      </c>
      <c r="H29" s="32" t="s">
        <v>34</v>
      </c>
    </row>
    <row r="30" spans="1:8" ht="23.25" x14ac:dyDescent="0.35">
      <c r="A30" s="31" t="s">
        <v>578</v>
      </c>
      <c r="B30" s="31">
        <v>7</v>
      </c>
      <c r="C30" s="31"/>
      <c r="D30" s="31" t="s">
        <v>510</v>
      </c>
      <c r="E30" s="31" t="s">
        <v>639</v>
      </c>
      <c r="F30" s="31" t="s">
        <v>25</v>
      </c>
      <c r="G30" s="31" t="s">
        <v>640</v>
      </c>
      <c r="H30" s="31" t="s">
        <v>33</v>
      </c>
    </row>
    <row r="31" spans="1:8" ht="23.25" x14ac:dyDescent="0.35">
      <c r="A31" s="32" t="s">
        <v>578</v>
      </c>
      <c r="B31" s="32">
        <v>7</v>
      </c>
      <c r="C31" s="32"/>
      <c r="D31" s="32" t="s">
        <v>510</v>
      </c>
      <c r="E31" s="32" t="s">
        <v>641</v>
      </c>
      <c r="F31" s="32" t="s">
        <v>25</v>
      </c>
      <c r="G31" s="32" t="s">
        <v>642</v>
      </c>
      <c r="H31" s="32" t="s">
        <v>34</v>
      </c>
    </row>
    <row r="32" spans="1:8" ht="23.25" x14ac:dyDescent="0.35">
      <c r="A32" s="31" t="s">
        <v>578</v>
      </c>
      <c r="B32" s="31">
        <v>7</v>
      </c>
      <c r="C32" s="31"/>
      <c r="D32" s="31" t="s">
        <v>204</v>
      </c>
      <c r="E32" s="31" t="s">
        <v>643</v>
      </c>
      <c r="F32" s="31" t="s">
        <v>25</v>
      </c>
      <c r="G32" s="31" t="s">
        <v>644</v>
      </c>
      <c r="H32" s="31" t="s">
        <v>60</v>
      </c>
    </row>
    <row r="33" spans="1:8" ht="23.25" x14ac:dyDescent="0.35">
      <c r="A33" s="32" t="s">
        <v>578</v>
      </c>
      <c r="B33" s="32">
        <v>7</v>
      </c>
      <c r="C33" s="32"/>
      <c r="D33" s="32" t="s">
        <v>204</v>
      </c>
      <c r="E33" s="32" t="s">
        <v>645</v>
      </c>
      <c r="F33" s="32" t="s">
        <v>25</v>
      </c>
      <c r="G33" s="32" t="s">
        <v>646</v>
      </c>
      <c r="H33" s="32" t="s">
        <v>60</v>
      </c>
    </row>
    <row r="34" spans="1:8" ht="23.25" x14ac:dyDescent="0.35">
      <c r="A34" s="31" t="s">
        <v>578</v>
      </c>
      <c r="B34" s="31">
        <v>7</v>
      </c>
      <c r="C34" s="31"/>
      <c r="D34" s="31" t="s">
        <v>204</v>
      </c>
      <c r="E34" s="31" t="s">
        <v>647</v>
      </c>
      <c r="F34" s="31" t="s">
        <v>21</v>
      </c>
      <c r="G34" s="31" t="s">
        <v>648</v>
      </c>
      <c r="H34" s="31" t="s">
        <v>33</v>
      </c>
    </row>
    <row r="35" spans="1:8" ht="23.25" x14ac:dyDescent="0.35">
      <c r="A35" s="32" t="s">
        <v>578</v>
      </c>
      <c r="B35" s="32">
        <v>7</v>
      </c>
      <c r="C35" s="32"/>
      <c r="D35" s="32" t="s">
        <v>207</v>
      </c>
      <c r="E35" s="32" t="s">
        <v>649</v>
      </c>
      <c r="F35" s="32" t="s">
        <v>21</v>
      </c>
      <c r="G35" s="32" t="s">
        <v>650</v>
      </c>
      <c r="H35" s="32" t="s">
        <v>33</v>
      </c>
    </row>
    <row r="36" spans="1:8" ht="23.25" x14ac:dyDescent="0.35">
      <c r="A36" s="31" t="s">
        <v>578</v>
      </c>
      <c r="B36" s="31">
        <v>7</v>
      </c>
      <c r="C36" s="31"/>
      <c r="D36" s="31" t="s">
        <v>207</v>
      </c>
      <c r="E36" s="31" t="s">
        <v>651</v>
      </c>
      <c r="F36" s="31" t="s">
        <v>25</v>
      </c>
      <c r="G36" s="31" t="s">
        <v>652</v>
      </c>
      <c r="H36" s="31" t="s">
        <v>34</v>
      </c>
    </row>
    <row r="37" spans="1:8" ht="23.25" x14ac:dyDescent="0.35">
      <c r="A37" s="32" t="s">
        <v>578</v>
      </c>
      <c r="B37" s="32">
        <v>8</v>
      </c>
      <c r="C37" s="32" t="s">
        <v>210</v>
      </c>
      <c r="D37" s="32" t="s">
        <v>653</v>
      </c>
      <c r="E37" s="32" t="s">
        <v>654</v>
      </c>
      <c r="F37" s="32" t="s">
        <v>23</v>
      </c>
      <c r="G37" s="32" t="s">
        <v>655</v>
      </c>
      <c r="H37" s="32" t="s">
        <v>33</v>
      </c>
    </row>
    <row r="38" spans="1:8" ht="23.25" x14ac:dyDescent="0.35">
      <c r="A38" s="31" t="s">
        <v>578</v>
      </c>
      <c r="B38" s="31">
        <v>8</v>
      </c>
      <c r="C38" s="31"/>
      <c r="D38" s="31" t="s">
        <v>653</v>
      </c>
      <c r="E38" s="31" t="s">
        <v>656</v>
      </c>
      <c r="F38" s="31" t="s">
        <v>21</v>
      </c>
      <c r="G38" s="31" t="s">
        <v>657</v>
      </c>
      <c r="H38" s="31" t="s">
        <v>33</v>
      </c>
    </row>
    <row r="39" spans="1:8" ht="23.25" x14ac:dyDescent="0.35">
      <c r="A39" s="32" t="s">
        <v>578</v>
      </c>
      <c r="B39" s="32">
        <v>8</v>
      </c>
      <c r="C39" s="32"/>
      <c r="D39" s="32" t="s">
        <v>653</v>
      </c>
      <c r="E39" s="32" t="s">
        <v>658</v>
      </c>
      <c r="F39" s="32" t="s">
        <v>25</v>
      </c>
      <c r="G39" s="32" t="s">
        <v>659</v>
      </c>
      <c r="H39" s="32" t="s">
        <v>33</v>
      </c>
    </row>
    <row r="40" spans="1:8" ht="23.25" x14ac:dyDescent="0.35">
      <c r="A40" s="31" t="s">
        <v>578</v>
      </c>
      <c r="B40" s="31">
        <v>8</v>
      </c>
      <c r="C40" s="31"/>
      <c r="D40" s="31" t="s">
        <v>653</v>
      </c>
      <c r="E40" s="31" t="s">
        <v>660</v>
      </c>
      <c r="F40" s="31" t="s">
        <v>19</v>
      </c>
      <c r="G40" s="31" t="s">
        <v>661</v>
      </c>
      <c r="H40" s="31" t="s">
        <v>33</v>
      </c>
    </row>
    <row r="41" spans="1:8" ht="23.25" x14ac:dyDescent="0.35">
      <c r="A41" s="32" t="s">
        <v>578</v>
      </c>
      <c r="B41" s="32">
        <v>8</v>
      </c>
      <c r="C41" s="32"/>
      <c r="D41" s="32" t="s">
        <v>653</v>
      </c>
      <c r="E41" s="32" t="s">
        <v>660</v>
      </c>
      <c r="F41" s="32" t="s">
        <v>21</v>
      </c>
      <c r="G41" s="32" t="s">
        <v>662</v>
      </c>
      <c r="H41" s="32" t="s">
        <v>33</v>
      </c>
    </row>
    <row r="42" spans="1:8" ht="23.25" x14ac:dyDescent="0.35">
      <c r="A42" s="31" t="s">
        <v>578</v>
      </c>
      <c r="B42" s="31">
        <v>8</v>
      </c>
      <c r="C42" s="31"/>
      <c r="D42" s="31" t="s">
        <v>653</v>
      </c>
      <c r="E42" s="31" t="s">
        <v>663</v>
      </c>
      <c r="F42" s="31" t="s">
        <v>25</v>
      </c>
      <c r="G42" s="31" t="s">
        <v>664</v>
      </c>
      <c r="H42" s="31" t="s">
        <v>34</v>
      </c>
    </row>
    <row r="43" spans="1:8" ht="23.25" x14ac:dyDescent="0.35">
      <c r="A43" s="32" t="s">
        <v>578</v>
      </c>
      <c r="B43" s="32">
        <v>9</v>
      </c>
      <c r="C43" s="32" t="s">
        <v>249</v>
      </c>
      <c r="D43" s="32" t="s">
        <v>268</v>
      </c>
      <c r="E43" s="32" t="s">
        <v>665</v>
      </c>
      <c r="F43" s="32" t="s">
        <v>19</v>
      </c>
      <c r="G43" s="32" t="s">
        <v>666</v>
      </c>
      <c r="H43" s="32" t="s">
        <v>33</v>
      </c>
    </row>
    <row r="44" spans="1:8" ht="23.25" x14ac:dyDescent="0.35">
      <c r="A44" s="31" t="s">
        <v>578</v>
      </c>
      <c r="B44" s="31">
        <v>9</v>
      </c>
      <c r="C44" s="31"/>
      <c r="D44" s="31" t="s">
        <v>268</v>
      </c>
      <c r="E44" s="31" t="s">
        <v>667</v>
      </c>
      <c r="F44" s="31" t="s">
        <v>25</v>
      </c>
      <c r="G44" s="31" t="s">
        <v>668</v>
      </c>
      <c r="H44" s="31" t="s">
        <v>34</v>
      </c>
    </row>
    <row r="45" spans="1:8" ht="23.25" x14ac:dyDescent="0.35">
      <c r="A45" s="32" t="s">
        <v>578</v>
      </c>
      <c r="B45" s="32">
        <v>9</v>
      </c>
      <c r="C45" s="32"/>
      <c r="D45" s="32" t="s">
        <v>268</v>
      </c>
      <c r="E45" s="32" t="s">
        <v>669</v>
      </c>
      <c r="F45" s="32" t="s">
        <v>25</v>
      </c>
      <c r="G45" s="32" t="s">
        <v>670</v>
      </c>
      <c r="H45" s="32" t="s">
        <v>60</v>
      </c>
    </row>
    <row r="46" spans="1:8" ht="23.25" x14ac:dyDescent="0.35">
      <c r="A46" s="31" t="s">
        <v>578</v>
      </c>
      <c r="B46" s="31">
        <v>9</v>
      </c>
      <c r="C46" s="31"/>
      <c r="D46" s="31" t="s">
        <v>671</v>
      </c>
      <c r="E46" s="31" t="s">
        <v>672</v>
      </c>
      <c r="F46" s="31" t="s">
        <v>25</v>
      </c>
      <c r="G46" s="31" t="s">
        <v>673</v>
      </c>
      <c r="H46" s="31" t="s">
        <v>60</v>
      </c>
    </row>
    <row r="47" spans="1:8" ht="23.25" x14ac:dyDescent="0.35">
      <c r="A47" s="32" t="s">
        <v>578</v>
      </c>
      <c r="B47" s="32">
        <v>9</v>
      </c>
      <c r="C47" s="32"/>
      <c r="D47" s="32" t="s">
        <v>280</v>
      </c>
      <c r="E47" s="32" t="s">
        <v>674</v>
      </c>
      <c r="F47" s="32" t="s">
        <v>19</v>
      </c>
      <c r="G47" s="32" t="s">
        <v>675</v>
      </c>
      <c r="H47" s="32" t="s">
        <v>33</v>
      </c>
    </row>
    <row r="48" spans="1:8" ht="23.25" x14ac:dyDescent="0.35">
      <c r="A48" s="31" t="s">
        <v>578</v>
      </c>
      <c r="B48" s="31">
        <v>9</v>
      </c>
      <c r="C48" s="31"/>
      <c r="D48" s="31" t="s">
        <v>280</v>
      </c>
      <c r="E48" s="31" t="s">
        <v>676</v>
      </c>
      <c r="F48" s="31" t="s">
        <v>25</v>
      </c>
      <c r="G48" s="31" t="s">
        <v>677</v>
      </c>
      <c r="H48" s="31" t="s">
        <v>33</v>
      </c>
    </row>
    <row r="49" spans="1:8" ht="23.25" x14ac:dyDescent="0.35">
      <c r="A49" s="32" t="s">
        <v>578</v>
      </c>
      <c r="B49" s="32">
        <v>10</v>
      </c>
      <c r="C49" s="32" t="s">
        <v>283</v>
      </c>
      <c r="D49" s="32" t="s">
        <v>168</v>
      </c>
      <c r="E49" s="32" t="s">
        <v>678</v>
      </c>
      <c r="F49" s="32" t="s">
        <v>25</v>
      </c>
      <c r="G49" s="32" t="s">
        <v>679</v>
      </c>
      <c r="H49" s="32" t="s">
        <v>33</v>
      </c>
    </row>
    <row r="50" spans="1:8" ht="23.25" x14ac:dyDescent="0.35">
      <c r="A50" s="31" t="s">
        <v>578</v>
      </c>
      <c r="B50" s="31">
        <v>10</v>
      </c>
      <c r="C50" s="31"/>
      <c r="D50" s="31" t="s">
        <v>168</v>
      </c>
      <c r="E50" s="31" t="s">
        <v>680</v>
      </c>
      <c r="F50" s="31" t="s">
        <v>21</v>
      </c>
      <c r="G50" s="31" t="s">
        <v>681</v>
      </c>
      <c r="H50" s="31" t="s">
        <v>33</v>
      </c>
    </row>
    <row r="51" spans="1:8" ht="23.25" x14ac:dyDescent="0.35">
      <c r="A51" s="32" t="s">
        <v>578</v>
      </c>
      <c r="B51" s="32">
        <v>10</v>
      </c>
      <c r="C51" s="32"/>
      <c r="D51" s="32" t="s">
        <v>168</v>
      </c>
      <c r="E51" s="32" t="s">
        <v>682</v>
      </c>
      <c r="F51" s="32" t="s">
        <v>21</v>
      </c>
      <c r="G51" s="32" t="s">
        <v>681</v>
      </c>
      <c r="H51" s="32" t="s">
        <v>33</v>
      </c>
    </row>
    <row r="52" spans="1:8" ht="23.25" x14ac:dyDescent="0.35">
      <c r="A52" s="31" t="s">
        <v>578</v>
      </c>
      <c r="B52" s="31">
        <v>10</v>
      </c>
      <c r="C52" s="31"/>
      <c r="D52" s="31" t="s">
        <v>292</v>
      </c>
      <c r="E52" s="31" t="s">
        <v>683</v>
      </c>
      <c r="F52" s="31" t="s">
        <v>19</v>
      </c>
      <c r="G52" s="31" t="s">
        <v>684</v>
      </c>
      <c r="H52" s="31" t="s">
        <v>33</v>
      </c>
    </row>
    <row r="53" spans="1:8" ht="23.25" x14ac:dyDescent="0.35">
      <c r="A53" s="32" t="s">
        <v>578</v>
      </c>
      <c r="B53" s="32">
        <v>10</v>
      </c>
      <c r="C53" s="32"/>
      <c r="D53" s="32" t="s">
        <v>185</v>
      </c>
      <c r="E53" s="32" t="s">
        <v>685</v>
      </c>
      <c r="F53" s="32" t="s">
        <v>19</v>
      </c>
      <c r="G53" s="32" t="s">
        <v>686</v>
      </c>
      <c r="H53" s="32" t="s">
        <v>33</v>
      </c>
    </row>
    <row r="54" spans="1:8" ht="23.25" x14ac:dyDescent="0.35">
      <c r="A54" s="31" t="s">
        <v>578</v>
      </c>
      <c r="B54" s="31">
        <v>10</v>
      </c>
      <c r="C54" s="31"/>
      <c r="D54" s="31" t="s">
        <v>185</v>
      </c>
      <c r="E54" s="31" t="s">
        <v>687</v>
      </c>
      <c r="F54" s="31" t="s">
        <v>25</v>
      </c>
      <c r="G54" s="31" t="s">
        <v>688</v>
      </c>
      <c r="H54" s="31" t="s">
        <v>60</v>
      </c>
    </row>
    <row r="55" spans="1:8" ht="23.25" x14ac:dyDescent="0.35">
      <c r="A55" s="32" t="s">
        <v>578</v>
      </c>
      <c r="B55" s="32">
        <v>12</v>
      </c>
      <c r="C55" s="32" t="s">
        <v>313</v>
      </c>
      <c r="D55" s="32" t="s">
        <v>316</v>
      </c>
      <c r="E55" s="32" t="s">
        <v>689</v>
      </c>
      <c r="F55" s="32" t="s">
        <v>25</v>
      </c>
      <c r="G55" s="32" t="s">
        <v>690</v>
      </c>
      <c r="H55" s="32" t="s">
        <v>34</v>
      </c>
    </row>
    <row r="56" spans="1:8" ht="23.25" x14ac:dyDescent="0.35">
      <c r="A56" s="31" t="s">
        <v>578</v>
      </c>
      <c r="B56" s="31">
        <v>12</v>
      </c>
      <c r="C56" s="31"/>
      <c r="D56" s="31" t="s">
        <v>316</v>
      </c>
      <c r="E56" s="31" t="s">
        <v>691</v>
      </c>
      <c r="F56" s="31" t="s">
        <v>25</v>
      </c>
      <c r="G56" s="31" t="s">
        <v>692</v>
      </c>
      <c r="H56" s="31" t="s">
        <v>34</v>
      </c>
    </row>
    <row r="57" spans="1:8" ht="23.25" x14ac:dyDescent="0.35">
      <c r="A57" s="32" t="s">
        <v>578</v>
      </c>
      <c r="B57" s="32">
        <v>12</v>
      </c>
      <c r="C57" s="32"/>
      <c r="D57" s="32" t="s">
        <v>693</v>
      </c>
      <c r="E57" s="32" t="s">
        <v>694</v>
      </c>
      <c r="F57" s="32" t="s">
        <v>19</v>
      </c>
      <c r="G57" s="32" t="s">
        <v>695</v>
      </c>
      <c r="H57" s="32" t="s">
        <v>33</v>
      </c>
    </row>
    <row r="58" spans="1:8" ht="23.25" x14ac:dyDescent="0.35">
      <c r="A58" s="31" t="s">
        <v>578</v>
      </c>
      <c r="B58" s="31">
        <v>12</v>
      </c>
      <c r="C58" s="31"/>
      <c r="D58" s="31" t="s">
        <v>693</v>
      </c>
      <c r="E58" s="31" t="s">
        <v>696</v>
      </c>
      <c r="F58" s="31" t="s">
        <v>25</v>
      </c>
      <c r="G58" s="31" t="s">
        <v>697</v>
      </c>
      <c r="H58" s="31" t="s">
        <v>33</v>
      </c>
    </row>
    <row r="59" spans="1:8" ht="23.25" x14ac:dyDescent="0.35">
      <c r="A59" s="32" t="s">
        <v>578</v>
      </c>
      <c r="B59" s="32">
        <v>12</v>
      </c>
      <c r="C59" s="32"/>
      <c r="D59" s="32" t="s">
        <v>319</v>
      </c>
      <c r="E59" s="32" t="s">
        <v>698</v>
      </c>
      <c r="F59" s="32" t="s">
        <v>25</v>
      </c>
      <c r="G59" s="32" t="s">
        <v>699</v>
      </c>
      <c r="H59" s="32" t="s">
        <v>33</v>
      </c>
    </row>
    <row r="60" spans="1:8" ht="23.25" x14ac:dyDescent="0.35">
      <c r="A60" s="31" t="s">
        <v>578</v>
      </c>
      <c r="B60" s="31">
        <v>12</v>
      </c>
      <c r="C60" s="31"/>
      <c r="D60" s="31" t="s">
        <v>319</v>
      </c>
      <c r="E60" s="31" t="s">
        <v>700</v>
      </c>
      <c r="F60" s="31" t="s">
        <v>25</v>
      </c>
      <c r="G60" s="31" t="s">
        <v>634</v>
      </c>
      <c r="H60" s="31" t="s">
        <v>33</v>
      </c>
    </row>
    <row r="61" spans="1:8" ht="23.25" x14ac:dyDescent="0.35">
      <c r="A61" s="32" t="s">
        <v>578</v>
      </c>
      <c r="B61" s="32">
        <v>12</v>
      </c>
      <c r="C61" s="32"/>
      <c r="D61" s="32" t="s">
        <v>319</v>
      </c>
      <c r="E61" s="32" t="s">
        <v>701</v>
      </c>
      <c r="F61" s="32" t="s">
        <v>25</v>
      </c>
      <c r="G61" s="32" t="s">
        <v>692</v>
      </c>
      <c r="H61" s="32" t="s">
        <v>34</v>
      </c>
    </row>
    <row r="62" spans="1:8" ht="23.25" x14ac:dyDescent="0.35">
      <c r="A62" s="31" t="s">
        <v>578</v>
      </c>
      <c r="B62" s="31">
        <v>12</v>
      </c>
      <c r="C62" s="31"/>
      <c r="D62" s="31" t="s">
        <v>702</v>
      </c>
      <c r="E62" s="31" t="s">
        <v>703</v>
      </c>
      <c r="F62" s="31" t="s">
        <v>25</v>
      </c>
      <c r="G62" s="31" t="s">
        <v>704</v>
      </c>
      <c r="H62" s="31" t="s">
        <v>33</v>
      </c>
    </row>
    <row r="63" spans="1:8" ht="23.25" x14ac:dyDescent="0.35">
      <c r="A63" s="32" t="s">
        <v>578</v>
      </c>
      <c r="B63" s="32">
        <v>12</v>
      </c>
      <c r="C63" s="32"/>
      <c r="D63" s="32" t="s">
        <v>702</v>
      </c>
      <c r="E63" s="32" t="s">
        <v>705</v>
      </c>
      <c r="F63" s="32" t="s">
        <v>25</v>
      </c>
      <c r="G63" s="32" t="s">
        <v>704</v>
      </c>
      <c r="H63" s="32" t="s">
        <v>33</v>
      </c>
    </row>
    <row r="64" spans="1:8" ht="23.25" x14ac:dyDescent="0.35">
      <c r="A64" s="31" t="s">
        <v>578</v>
      </c>
      <c r="B64" s="31">
        <v>12</v>
      </c>
      <c r="C64" s="31"/>
      <c r="D64" s="31" t="s">
        <v>702</v>
      </c>
      <c r="E64" s="31" t="s">
        <v>706</v>
      </c>
      <c r="F64" s="31" t="s">
        <v>20</v>
      </c>
      <c r="G64" s="31" t="s">
        <v>707</v>
      </c>
      <c r="H64" s="31" t="s">
        <v>60</v>
      </c>
    </row>
    <row r="65" spans="1:8" ht="23.25" x14ac:dyDescent="0.35">
      <c r="A65" s="32" t="s">
        <v>578</v>
      </c>
      <c r="B65" s="32">
        <v>13</v>
      </c>
      <c r="C65" s="32" t="s">
        <v>329</v>
      </c>
      <c r="D65" s="32" t="s">
        <v>338</v>
      </c>
      <c r="E65" s="32" t="s">
        <v>708</v>
      </c>
      <c r="F65" s="32" t="s">
        <v>25</v>
      </c>
      <c r="G65" s="32" t="s">
        <v>709</v>
      </c>
      <c r="H65" s="32" t="s">
        <v>60</v>
      </c>
    </row>
    <row r="66" spans="1:8" ht="23.25" x14ac:dyDescent="0.35">
      <c r="A66" s="31" t="s">
        <v>578</v>
      </c>
      <c r="B66" s="31">
        <v>13</v>
      </c>
      <c r="C66" s="31"/>
      <c r="D66" s="31" t="s">
        <v>338</v>
      </c>
      <c r="E66" s="31" t="s">
        <v>710</v>
      </c>
      <c r="F66" s="31" t="s">
        <v>25</v>
      </c>
      <c r="G66" s="31" t="s">
        <v>711</v>
      </c>
      <c r="H66" s="31" t="s">
        <v>60</v>
      </c>
    </row>
    <row r="67" spans="1:8" ht="23.25" x14ac:dyDescent="0.35">
      <c r="A67" s="32" t="s">
        <v>578</v>
      </c>
      <c r="B67" s="32">
        <v>13</v>
      </c>
      <c r="C67" s="32"/>
      <c r="D67" s="32" t="s">
        <v>348</v>
      </c>
      <c r="E67" s="32" t="s">
        <v>712</v>
      </c>
      <c r="F67" s="32" t="s">
        <v>25</v>
      </c>
      <c r="G67" s="32" t="s">
        <v>713</v>
      </c>
      <c r="H67" s="32" t="s">
        <v>33</v>
      </c>
    </row>
    <row r="68" spans="1:8" ht="23.25" x14ac:dyDescent="0.35">
      <c r="A68" s="31" t="s">
        <v>578</v>
      </c>
      <c r="B68" s="31">
        <v>14</v>
      </c>
      <c r="C68" s="31" t="s">
        <v>367</v>
      </c>
      <c r="D68" s="31" t="s">
        <v>372</v>
      </c>
      <c r="E68" s="31" t="s">
        <v>714</v>
      </c>
      <c r="F68" s="31" t="s">
        <v>25</v>
      </c>
      <c r="G68" s="31" t="s">
        <v>715</v>
      </c>
      <c r="H68" s="31" t="s">
        <v>60</v>
      </c>
    </row>
    <row r="69" spans="1:8" ht="23.25" x14ac:dyDescent="0.35">
      <c r="A69" s="32" t="s">
        <v>578</v>
      </c>
      <c r="B69" s="32">
        <v>14</v>
      </c>
      <c r="C69" s="32"/>
      <c r="D69" s="32" t="s">
        <v>716</v>
      </c>
      <c r="E69" s="32" t="s">
        <v>717</v>
      </c>
      <c r="F69" s="32" t="s">
        <v>25</v>
      </c>
      <c r="G69" s="32" t="s">
        <v>718</v>
      </c>
      <c r="H69" s="32" t="s">
        <v>33</v>
      </c>
    </row>
    <row r="70" spans="1:8" ht="23.25" x14ac:dyDescent="0.35">
      <c r="A70" s="31" t="s">
        <v>578</v>
      </c>
      <c r="B70" s="31">
        <v>16</v>
      </c>
      <c r="C70" s="31" t="s">
        <v>417</v>
      </c>
      <c r="D70" s="31" t="s">
        <v>422</v>
      </c>
      <c r="E70" s="31" t="s">
        <v>719</v>
      </c>
      <c r="F70" s="31" t="s">
        <v>25</v>
      </c>
      <c r="G70" s="31" t="s">
        <v>720</v>
      </c>
      <c r="H70" s="31" t="s">
        <v>34</v>
      </c>
    </row>
    <row r="71" spans="1:8" ht="23.25" x14ac:dyDescent="0.35">
      <c r="A71" s="32" t="s">
        <v>578</v>
      </c>
      <c r="B71" s="32">
        <v>16</v>
      </c>
      <c r="C71" s="32"/>
      <c r="D71" s="32" t="s">
        <v>422</v>
      </c>
      <c r="E71" s="32" t="s">
        <v>721</v>
      </c>
      <c r="F71" s="32" t="s">
        <v>18</v>
      </c>
      <c r="G71" s="32" t="s">
        <v>722</v>
      </c>
      <c r="H71" s="32" t="s">
        <v>33</v>
      </c>
    </row>
    <row r="72" spans="1:8" ht="23.25" x14ac:dyDescent="0.35">
      <c r="A72" s="31" t="s">
        <v>578</v>
      </c>
      <c r="B72" s="31">
        <v>16</v>
      </c>
      <c r="C72" s="31"/>
      <c r="D72" s="31" t="s">
        <v>422</v>
      </c>
      <c r="E72" s="31" t="s">
        <v>721</v>
      </c>
      <c r="F72" s="31" t="s">
        <v>25</v>
      </c>
      <c r="G72" s="31" t="s">
        <v>723</v>
      </c>
      <c r="H72" s="31" t="s">
        <v>34</v>
      </c>
    </row>
    <row r="73" spans="1:8" ht="23.25" x14ac:dyDescent="0.35">
      <c r="A73" s="32" t="s">
        <v>578</v>
      </c>
      <c r="B73" s="32">
        <v>16</v>
      </c>
      <c r="C73" s="32"/>
      <c r="D73" s="32" t="s">
        <v>431</v>
      </c>
      <c r="E73" s="32" t="s">
        <v>724</v>
      </c>
      <c r="F73" s="32" t="s">
        <v>21</v>
      </c>
      <c r="G73" s="32" t="s">
        <v>725</v>
      </c>
      <c r="H73" s="32" t="s">
        <v>33</v>
      </c>
    </row>
    <row r="74" spans="1:8" ht="23.25" x14ac:dyDescent="0.35">
      <c r="A74" s="31" t="s">
        <v>578</v>
      </c>
      <c r="B74" s="31">
        <v>16</v>
      </c>
      <c r="C74" s="31"/>
      <c r="D74" s="31" t="s">
        <v>431</v>
      </c>
      <c r="E74" s="31" t="s">
        <v>726</v>
      </c>
      <c r="F74" s="31" t="s">
        <v>18</v>
      </c>
      <c r="G74" s="31" t="s">
        <v>727</v>
      </c>
      <c r="H74" s="31" t="s">
        <v>34</v>
      </c>
    </row>
    <row r="75" spans="1:8" ht="23.25" x14ac:dyDescent="0.35">
      <c r="A75" s="32" t="s">
        <v>578</v>
      </c>
      <c r="B75" s="32">
        <v>16</v>
      </c>
      <c r="C75" s="32"/>
      <c r="D75" s="32" t="s">
        <v>431</v>
      </c>
      <c r="E75" s="32" t="s">
        <v>728</v>
      </c>
      <c r="F75" s="32" t="s">
        <v>25</v>
      </c>
      <c r="G75" s="32" t="s">
        <v>729</v>
      </c>
      <c r="H75" s="32" t="s">
        <v>33</v>
      </c>
    </row>
    <row r="76" spans="1:8" ht="23.25" x14ac:dyDescent="0.35">
      <c r="A76" s="31" t="s">
        <v>578</v>
      </c>
      <c r="B76" s="31">
        <v>16</v>
      </c>
      <c r="C76" s="31"/>
      <c r="D76" s="31" t="s">
        <v>730</v>
      </c>
      <c r="E76" s="31" t="s">
        <v>731</v>
      </c>
      <c r="F76" s="31" t="s">
        <v>19</v>
      </c>
      <c r="G76" s="31" t="s">
        <v>732</v>
      </c>
      <c r="H76" s="31" t="s">
        <v>33</v>
      </c>
    </row>
    <row r="77" spans="1:8" ht="23.25" x14ac:dyDescent="0.35">
      <c r="A77" s="32" t="s">
        <v>578</v>
      </c>
      <c r="B77" s="32">
        <v>16</v>
      </c>
      <c r="C77" s="32"/>
      <c r="D77" s="32" t="s">
        <v>730</v>
      </c>
      <c r="E77" s="32" t="s">
        <v>731</v>
      </c>
      <c r="F77" s="32" t="s">
        <v>25</v>
      </c>
      <c r="G77" s="32" t="s">
        <v>733</v>
      </c>
      <c r="H77" s="32" t="s">
        <v>33</v>
      </c>
    </row>
    <row r="78" spans="1:8" ht="23.25" x14ac:dyDescent="0.35">
      <c r="A78" s="31" t="s">
        <v>578</v>
      </c>
      <c r="B78" s="31">
        <v>16</v>
      </c>
      <c r="C78" s="31"/>
      <c r="D78" s="31" t="s">
        <v>730</v>
      </c>
      <c r="E78" s="31" t="s">
        <v>734</v>
      </c>
      <c r="F78" s="31" t="s">
        <v>25</v>
      </c>
      <c r="G78" s="31" t="s">
        <v>735</v>
      </c>
      <c r="H78" s="31" t="s">
        <v>33</v>
      </c>
    </row>
    <row r="79" spans="1:8" ht="23.25" x14ac:dyDescent="0.35">
      <c r="A79" s="32" t="s">
        <v>578</v>
      </c>
      <c r="B79" s="32">
        <v>17</v>
      </c>
      <c r="C79" s="32" t="s">
        <v>442</v>
      </c>
      <c r="D79" s="32" t="s">
        <v>449</v>
      </c>
      <c r="E79" s="32" t="s">
        <v>736</v>
      </c>
      <c r="F79" s="32" t="s">
        <v>21</v>
      </c>
      <c r="G79" s="32" t="s">
        <v>460</v>
      </c>
      <c r="H79" s="32" t="s">
        <v>33</v>
      </c>
    </row>
    <row r="80" spans="1:8" ht="23.25" x14ac:dyDescent="0.35">
      <c r="A80" s="31" t="s">
        <v>578</v>
      </c>
      <c r="B80" s="31">
        <v>17</v>
      </c>
      <c r="C80" s="31"/>
      <c r="D80" s="31" t="s">
        <v>449</v>
      </c>
      <c r="E80" s="31" t="s">
        <v>737</v>
      </c>
      <c r="F80" s="31" t="s">
        <v>18</v>
      </c>
      <c r="G80" s="31" t="s">
        <v>738</v>
      </c>
      <c r="H80" s="31" t="s">
        <v>33</v>
      </c>
    </row>
    <row r="81" spans="1:8" ht="23.25" x14ac:dyDescent="0.35">
      <c r="A81" s="32" t="s">
        <v>578</v>
      </c>
      <c r="B81" s="32">
        <v>17</v>
      </c>
      <c r="C81" s="32"/>
      <c r="D81" s="32" t="s">
        <v>449</v>
      </c>
      <c r="E81" s="32" t="s">
        <v>739</v>
      </c>
      <c r="F81" s="32" t="s">
        <v>25</v>
      </c>
      <c r="G81" s="32" t="s">
        <v>740</v>
      </c>
      <c r="H81" s="32" t="s">
        <v>60</v>
      </c>
    </row>
    <row r="82" spans="1:8" ht="23.25" x14ac:dyDescent="0.35">
      <c r="A82" s="31" t="s">
        <v>578</v>
      </c>
      <c r="B82" s="31">
        <v>17</v>
      </c>
      <c r="C82" s="31"/>
      <c r="D82" s="31" t="s">
        <v>458</v>
      </c>
      <c r="E82" s="31" t="s">
        <v>741</v>
      </c>
      <c r="F82" s="31" t="s">
        <v>18</v>
      </c>
      <c r="G82" s="31" t="s">
        <v>727</v>
      </c>
      <c r="H82" s="31" t="s">
        <v>33</v>
      </c>
    </row>
    <row r="83" spans="1:8" ht="23.25" x14ac:dyDescent="0.35">
      <c r="A83" s="32" t="s">
        <v>578</v>
      </c>
      <c r="B83" s="32">
        <v>17</v>
      </c>
      <c r="C83" s="32"/>
      <c r="D83" s="32" t="s">
        <v>458</v>
      </c>
      <c r="E83" s="32" t="s">
        <v>742</v>
      </c>
      <c r="F83" s="32" t="s">
        <v>21</v>
      </c>
      <c r="G83" s="32" t="s">
        <v>743</v>
      </c>
      <c r="H83" s="32" t="s">
        <v>33</v>
      </c>
    </row>
    <row r="84" spans="1:8" ht="23.25" x14ac:dyDescent="0.35">
      <c r="A84" s="31" t="s">
        <v>578</v>
      </c>
      <c r="B84" s="31">
        <v>17</v>
      </c>
      <c r="C84" s="31"/>
      <c r="D84" s="31" t="s">
        <v>464</v>
      </c>
      <c r="E84" s="31" t="s">
        <v>744</v>
      </c>
      <c r="F84" s="31" t="s">
        <v>23</v>
      </c>
      <c r="G84" s="31" t="s">
        <v>745</v>
      </c>
      <c r="H84" s="31" t="s">
        <v>33</v>
      </c>
    </row>
    <row r="85" spans="1:8" ht="23.25" x14ac:dyDescent="0.35">
      <c r="A85" s="32" t="s">
        <v>578</v>
      </c>
      <c r="B85" s="32">
        <v>17</v>
      </c>
      <c r="C85" s="32"/>
      <c r="D85" s="32" t="s">
        <v>464</v>
      </c>
      <c r="E85" s="32" t="s">
        <v>746</v>
      </c>
      <c r="F85" s="32" t="s">
        <v>23</v>
      </c>
      <c r="G85" s="32" t="s">
        <v>747</v>
      </c>
      <c r="H85" s="32" t="s">
        <v>33</v>
      </c>
    </row>
    <row r="86" spans="1:8" ht="23.25" x14ac:dyDescent="0.35">
      <c r="A86" s="31" t="s">
        <v>578</v>
      </c>
      <c r="B86" s="31">
        <v>17</v>
      </c>
      <c r="C86" s="31"/>
      <c r="D86" s="31" t="s">
        <v>464</v>
      </c>
      <c r="E86" s="31" t="s">
        <v>748</v>
      </c>
      <c r="F86" s="31" t="s">
        <v>25</v>
      </c>
      <c r="G86" s="31" t="s">
        <v>749</v>
      </c>
      <c r="H86" s="31" t="s">
        <v>33</v>
      </c>
    </row>
    <row r="87" spans="1:8" ht="23.25" x14ac:dyDescent="0.35">
      <c r="A87" s="32" t="s">
        <v>578</v>
      </c>
      <c r="B87" s="32">
        <v>18</v>
      </c>
      <c r="C87" s="32" t="s">
        <v>472</v>
      </c>
      <c r="D87" s="32" t="s">
        <v>475</v>
      </c>
      <c r="E87" s="32" t="s">
        <v>750</v>
      </c>
      <c r="F87" s="32" t="s">
        <v>25</v>
      </c>
      <c r="G87" s="32" t="s">
        <v>751</v>
      </c>
      <c r="H87" s="32" t="s">
        <v>60</v>
      </c>
    </row>
    <row r="88" spans="1:8" ht="23.25" x14ac:dyDescent="0.35">
      <c r="A88" s="31" t="s">
        <v>578</v>
      </c>
      <c r="B88" s="31">
        <v>18</v>
      </c>
      <c r="C88" s="31"/>
      <c r="D88" s="31" t="s">
        <v>475</v>
      </c>
      <c r="E88" s="31" t="s">
        <v>752</v>
      </c>
      <c r="F88" s="31" t="s">
        <v>25</v>
      </c>
      <c r="G88" s="31" t="s">
        <v>753</v>
      </c>
      <c r="H88" s="31" t="s">
        <v>33</v>
      </c>
    </row>
    <row r="89" spans="1:8" ht="23.25" x14ac:dyDescent="0.35">
      <c r="A89" s="32" t="s">
        <v>578</v>
      </c>
      <c r="B89" s="32">
        <v>18</v>
      </c>
      <c r="C89" s="32"/>
      <c r="D89" s="32" t="s">
        <v>754</v>
      </c>
      <c r="E89" s="32" t="s">
        <v>755</v>
      </c>
      <c r="F89" s="32" t="s">
        <v>18</v>
      </c>
      <c r="G89" s="32" t="s">
        <v>756</v>
      </c>
      <c r="H89" s="32" t="s">
        <v>33</v>
      </c>
    </row>
    <row r="90" spans="1:8" ht="23.25" x14ac:dyDescent="0.35">
      <c r="A90" s="31" t="s">
        <v>578</v>
      </c>
      <c r="B90" s="31">
        <v>18</v>
      </c>
      <c r="C90" s="31"/>
      <c r="D90" s="31" t="s">
        <v>483</v>
      </c>
      <c r="E90" s="31" t="s">
        <v>757</v>
      </c>
      <c r="F90" s="31" t="s">
        <v>25</v>
      </c>
      <c r="G90" s="31" t="s">
        <v>758</v>
      </c>
      <c r="H90" s="31" t="s">
        <v>33</v>
      </c>
    </row>
    <row r="91" spans="1:8" ht="23.25" x14ac:dyDescent="0.35">
      <c r="A91" s="32" t="s">
        <v>578</v>
      </c>
      <c r="B91" s="32">
        <v>2</v>
      </c>
      <c r="C91" s="32" t="s">
        <v>759</v>
      </c>
      <c r="D91" s="32" t="s">
        <v>760</v>
      </c>
      <c r="E91" s="32" t="s">
        <v>761</v>
      </c>
      <c r="F91" s="32" t="s">
        <v>25</v>
      </c>
      <c r="G91" s="32" t="s">
        <v>762</v>
      </c>
      <c r="H91" s="32" t="s">
        <v>34</v>
      </c>
    </row>
    <row r="92" spans="1:8" ht="23.25" x14ac:dyDescent="0.35">
      <c r="A92" s="31" t="s">
        <v>578</v>
      </c>
      <c r="B92" s="31">
        <v>2</v>
      </c>
      <c r="C92" s="31"/>
      <c r="D92" s="31" t="s">
        <v>71</v>
      </c>
      <c r="E92" s="31" t="s">
        <v>763</v>
      </c>
      <c r="F92" s="31" t="s">
        <v>23</v>
      </c>
      <c r="G92" s="31" t="s">
        <v>764</v>
      </c>
      <c r="H92" s="31" t="s">
        <v>33</v>
      </c>
    </row>
    <row r="93" spans="1:8" ht="23.25" x14ac:dyDescent="0.35">
      <c r="A93" s="32" t="s">
        <v>578</v>
      </c>
      <c r="B93" s="32">
        <v>2</v>
      </c>
      <c r="C93" s="32"/>
      <c r="D93" s="32" t="s">
        <v>71</v>
      </c>
      <c r="E93" s="32" t="s">
        <v>765</v>
      </c>
      <c r="F93" s="32" t="s">
        <v>19</v>
      </c>
      <c r="G93" s="32" t="s">
        <v>766</v>
      </c>
      <c r="H93" s="32" t="s">
        <v>33</v>
      </c>
    </row>
    <row r="94" spans="1:8" ht="23.25" x14ac:dyDescent="0.35">
      <c r="A94" s="31" t="s">
        <v>578</v>
      </c>
      <c r="B94" s="31">
        <v>2</v>
      </c>
      <c r="C94" s="31"/>
      <c r="D94" s="31" t="s">
        <v>71</v>
      </c>
      <c r="E94" s="31" t="s">
        <v>767</v>
      </c>
      <c r="F94" s="31" t="s">
        <v>25</v>
      </c>
      <c r="G94" s="31" t="s">
        <v>768</v>
      </c>
      <c r="H94" s="31" t="s">
        <v>33</v>
      </c>
    </row>
    <row r="95" spans="1:8" ht="23.25" x14ac:dyDescent="0.35">
      <c r="A95" s="32" t="s">
        <v>578</v>
      </c>
      <c r="B95" s="32">
        <v>2</v>
      </c>
      <c r="C95" s="32"/>
      <c r="D95" s="32" t="s">
        <v>81</v>
      </c>
      <c r="E95" s="32" t="s">
        <v>769</v>
      </c>
      <c r="F95" s="32" t="s">
        <v>18</v>
      </c>
      <c r="G95" s="32" t="s">
        <v>770</v>
      </c>
      <c r="H95" s="32" t="s">
        <v>34</v>
      </c>
    </row>
    <row r="96" spans="1:8" ht="23.25" x14ac:dyDescent="0.35">
      <c r="A96" s="31" t="s">
        <v>578</v>
      </c>
      <c r="B96" s="31">
        <v>3</v>
      </c>
      <c r="C96" s="31" t="s">
        <v>92</v>
      </c>
      <c r="D96" s="31" t="s">
        <v>771</v>
      </c>
      <c r="E96" s="31" t="s">
        <v>772</v>
      </c>
      <c r="F96" s="31" t="s">
        <v>25</v>
      </c>
      <c r="G96" s="31" t="s">
        <v>773</v>
      </c>
      <c r="H96" s="31" t="s">
        <v>34</v>
      </c>
    </row>
    <row r="97" spans="1:8" ht="23.25" x14ac:dyDescent="0.35">
      <c r="A97" s="32" t="s">
        <v>578</v>
      </c>
      <c r="B97" s="32">
        <v>3</v>
      </c>
      <c r="C97" s="32"/>
      <c r="D97" s="32" t="s">
        <v>774</v>
      </c>
      <c r="E97" s="32" t="s">
        <v>775</v>
      </c>
      <c r="F97" s="32" t="s">
        <v>25</v>
      </c>
      <c r="G97" s="32" t="s">
        <v>776</v>
      </c>
      <c r="H97" s="32" t="s">
        <v>33</v>
      </c>
    </row>
    <row r="98" spans="1:8" ht="23.25" x14ac:dyDescent="0.35">
      <c r="A98" s="31" t="s">
        <v>578</v>
      </c>
      <c r="B98" s="31">
        <v>3</v>
      </c>
      <c r="C98" s="31"/>
      <c r="D98" s="31" t="s">
        <v>71</v>
      </c>
      <c r="E98" s="31" t="s">
        <v>777</v>
      </c>
      <c r="F98" s="31" t="s">
        <v>25</v>
      </c>
      <c r="G98" s="31" t="s">
        <v>778</v>
      </c>
      <c r="H98" s="31" t="s">
        <v>33</v>
      </c>
    </row>
    <row r="99" spans="1:8" ht="23.25" x14ac:dyDescent="0.35">
      <c r="A99" s="32" t="s">
        <v>578</v>
      </c>
      <c r="B99" s="32">
        <v>3</v>
      </c>
      <c r="C99" s="32"/>
      <c r="D99" s="32" t="s">
        <v>71</v>
      </c>
      <c r="E99" s="32" t="s">
        <v>779</v>
      </c>
      <c r="F99" s="32" t="s">
        <v>25</v>
      </c>
      <c r="G99" s="32" t="s">
        <v>780</v>
      </c>
      <c r="H99" s="32" t="s">
        <v>34</v>
      </c>
    </row>
    <row r="100" spans="1:8" ht="23.25" x14ac:dyDescent="0.35">
      <c r="A100" s="31" t="s">
        <v>578</v>
      </c>
      <c r="B100" s="31">
        <v>3</v>
      </c>
      <c r="C100" s="31"/>
      <c r="D100" s="31" t="s">
        <v>81</v>
      </c>
      <c r="E100" s="31" t="s">
        <v>781</v>
      </c>
      <c r="F100" s="31" t="s">
        <v>25</v>
      </c>
      <c r="G100" s="31" t="s">
        <v>782</v>
      </c>
      <c r="H100" s="31" t="s">
        <v>33</v>
      </c>
    </row>
    <row r="101" spans="1:8" ht="23.25" x14ac:dyDescent="0.35">
      <c r="A101" s="32" t="s">
        <v>578</v>
      </c>
      <c r="B101" s="32">
        <v>3</v>
      </c>
      <c r="C101" s="32"/>
      <c r="D101" s="32" t="s">
        <v>81</v>
      </c>
      <c r="E101" s="32" t="s">
        <v>783</v>
      </c>
      <c r="F101" s="32" t="s">
        <v>21</v>
      </c>
      <c r="G101" s="32" t="s">
        <v>784</v>
      </c>
      <c r="H101" s="32" t="s">
        <v>33</v>
      </c>
    </row>
    <row r="102" spans="1:8" ht="23.25" x14ac:dyDescent="0.35">
      <c r="A102" s="31" t="s">
        <v>578</v>
      </c>
      <c r="B102" s="31">
        <v>11</v>
      </c>
      <c r="C102" s="31" t="s">
        <v>304</v>
      </c>
      <c r="D102" s="31" t="s">
        <v>785</v>
      </c>
      <c r="E102" s="31" t="s">
        <v>786</v>
      </c>
      <c r="F102" s="31" t="s">
        <v>21</v>
      </c>
      <c r="G102" s="31" t="s">
        <v>787</v>
      </c>
      <c r="H102" s="31" t="s">
        <v>33</v>
      </c>
    </row>
    <row r="103" spans="1:8" ht="23.25" x14ac:dyDescent="0.35">
      <c r="A103" s="32" t="s">
        <v>578</v>
      </c>
      <c r="B103" s="32">
        <v>11</v>
      </c>
      <c r="C103" s="32"/>
      <c r="D103" s="32" t="s">
        <v>788</v>
      </c>
      <c r="E103" s="32" t="s">
        <v>789</v>
      </c>
      <c r="F103" s="32" t="s">
        <v>20</v>
      </c>
      <c r="G103" s="32" t="s">
        <v>790</v>
      </c>
      <c r="H103" s="32" t="s">
        <v>34</v>
      </c>
    </row>
    <row r="104" spans="1:8" ht="23.25" x14ac:dyDescent="0.35">
      <c r="A104" s="31" t="s">
        <v>578</v>
      </c>
      <c r="B104" s="31">
        <v>15</v>
      </c>
      <c r="C104" s="31" t="s">
        <v>387</v>
      </c>
      <c r="D104" s="31" t="s">
        <v>388</v>
      </c>
      <c r="E104" s="31" t="s">
        <v>791</v>
      </c>
      <c r="F104" s="31" t="s">
        <v>19</v>
      </c>
      <c r="G104" s="31" t="s">
        <v>792</v>
      </c>
      <c r="H104" s="31" t="s">
        <v>33</v>
      </c>
    </row>
    <row r="105" spans="1:8" ht="23.25" x14ac:dyDescent="0.35">
      <c r="A105" s="32" t="s">
        <v>578</v>
      </c>
      <c r="B105" s="32">
        <v>15</v>
      </c>
      <c r="C105" s="32"/>
      <c r="D105" s="32" t="s">
        <v>793</v>
      </c>
      <c r="E105" s="32" t="s">
        <v>794</v>
      </c>
      <c r="F105" s="32" t="s">
        <v>25</v>
      </c>
      <c r="G105" s="32" t="s">
        <v>795</v>
      </c>
      <c r="H105" s="32" t="s">
        <v>60</v>
      </c>
    </row>
    <row r="106" spans="1:8" ht="23.25" x14ac:dyDescent="0.35">
      <c r="A106" s="31" t="s">
        <v>578</v>
      </c>
      <c r="B106" s="31">
        <v>15</v>
      </c>
      <c r="C106" s="31"/>
      <c r="D106" s="31" t="s">
        <v>397</v>
      </c>
      <c r="E106" s="31" t="s">
        <v>796</v>
      </c>
      <c r="F106" s="31" t="s">
        <v>25</v>
      </c>
      <c r="G106" s="31" t="s">
        <v>797</v>
      </c>
      <c r="H106" s="31" t="s">
        <v>34</v>
      </c>
    </row>
    <row r="107" spans="1:8" ht="23.25" x14ac:dyDescent="0.35">
      <c r="A107" s="32" t="s">
        <v>578</v>
      </c>
      <c r="B107" s="32">
        <v>19</v>
      </c>
      <c r="C107" s="32" t="s">
        <v>496</v>
      </c>
      <c r="D107" s="32" t="s">
        <v>503</v>
      </c>
      <c r="E107" s="32" t="s">
        <v>798</v>
      </c>
      <c r="F107" s="32" t="s">
        <v>25</v>
      </c>
      <c r="G107" s="32" t="s">
        <v>799</v>
      </c>
      <c r="H107" s="32" t="s">
        <v>60</v>
      </c>
    </row>
    <row r="108" spans="1:8" ht="23.25" x14ac:dyDescent="0.35">
      <c r="A108" s="31" t="s">
        <v>578</v>
      </c>
      <c r="B108" s="31">
        <v>19</v>
      </c>
      <c r="C108" s="31"/>
      <c r="D108" s="31" t="s">
        <v>503</v>
      </c>
      <c r="E108" s="31" t="s">
        <v>800</v>
      </c>
      <c r="F108" s="31" t="s">
        <v>21</v>
      </c>
      <c r="G108" s="31" t="s">
        <v>801</v>
      </c>
      <c r="H108" s="31" t="s">
        <v>33</v>
      </c>
    </row>
    <row r="109" spans="1:8" ht="23.25" x14ac:dyDescent="0.35">
      <c r="A109" s="32" t="s">
        <v>578</v>
      </c>
      <c r="B109" s="32">
        <v>19</v>
      </c>
      <c r="C109" s="32"/>
      <c r="D109" s="32" t="s">
        <v>503</v>
      </c>
      <c r="E109" s="32" t="s">
        <v>802</v>
      </c>
      <c r="F109" s="32" t="s">
        <v>19</v>
      </c>
      <c r="G109" s="32" t="s">
        <v>803</v>
      </c>
      <c r="H109" s="32" t="s">
        <v>33</v>
      </c>
    </row>
    <row r="110" spans="1:8" ht="23.25" x14ac:dyDescent="0.35">
      <c r="A110" s="31" t="s">
        <v>578</v>
      </c>
      <c r="B110" s="31">
        <v>19</v>
      </c>
      <c r="C110" s="31"/>
      <c r="D110" s="31" t="s">
        <v>503</v>
      </c>
      <c r="E110" s="31" t="s">
        <v>804</v>
      </c>
      <c r="F110" s="31" t="s">
        <v>25</v>
      </c>
      <c r="G110" s="31" t="s">
        <v>805</v>
      </c>
      <c r="H110" s="31" t="s">
        <v>33</v>
      </c>
    </row>
    <row r="111" spans="1:8" ht="23.25" x14ac:dyDescent="0.35">
      <c r="A111" s="32" t="s">
        <v>578</v>
      </c>
      <c r="B111" s="32">
        <v>19</v>
      </c>
      <c r="C111" s="32"/>
      <c r="D111" s="32" t="s">
        <v>503</v>
      </c>
      <c r="E111" s="32" t="s">
        <v>806</v>
      </c>
      <c r="F111" s="32" t="s">
        <v>25</v>
      </c>
      <c r="G111" s="32" t="s">
        <v>807</v>
      </c>
      <c r="H111" s="32" t="s">
        <v>60</v>
      </c>
    </row>
    <row r="112" spans="1:8" ht="23.25" x14ac:dyDescent="0.35">
      <c r="A112" s="31" t="s">
        <v>578</v>
      </c>
      <c r="B112" s="31">
        <v>19</v>
      </c>
      <c r="C112" s="31"/>
      <c r="D112" s="31" t="s">
        <v>503</v>
      </c>
      <c r="E112" s="31" t="s">
        <v>808</v>
      </c>
      <c r="F112" s="31" t="s">
        <v>21</v>
      </c>
      <c r="G112" s="31" t="s">
        <v>809</v>
      </c>
      <c r="H112" s="31" t="s">
        <v>33</v>
      </c>
    </row>
    <row r="113" spans="1:8" ht="23.25" x14ac:dyDescent="0.35">
      <c r="A113" s="32" t="s">
        <v>578</v>
      </c>
      <c r="B113" s="32">
        <v>19</v>
      </c>
      <c r="C113" s="32"/>
      <c r="D113" s="32" t="s">
        <v>507</v>
      </c>
      <c r="E113" s="32" t="s">
        <v>810</v>
      </c>
      <c r="F113" s="32" t="s">
        <v>25</v>
      </c>
      <c r="G113" s="32" t="s">
        <v>811</v>
      </c>
      <c r="H113" s="32" t="s">
        <v>33</v>
      </c>
    </row>
    <row r="114" spans="1:8" ht="23.25" x14ac:dyDescent="0.35">
      <c r="A114" s="31" t="s">
        <v>578</v>
      </c>
      <c r="B114" s="31">
        <v>19</v>
      </c>
      <c r="C114" s="31"/>
      <c r="D114" s="31" t="s">
        <v>507</v>
      </c>
      <c r="E114" s="31" t="s">
        <v>812</v>
      </c>
      <c r="F114" s="31" t="s">
        <v>25</v>
      </c>
      <c r="G114" s="31" t="s">
        <v>811</v>
      </c>
      <c r="H114" s="31" t="s">
        <v>33</v>
      </c>
    </row>
    <row r="115" spans="1:8" ht="23.25" x14ac:dyDescent="0.35">
      <c r="A115" s="32" t="s">
        <v>578</v>
      </c>
      <c r="B115" s="32">
        <v>19</v>
      </c>
      <c r="C115" s="32"/>
      <c r="D115" s="32" t="s">
        <v>510</v>
      </c>
      <c r="E115" s="32" t="s">
        <v>813</v>
      </c>
      <c r="F115" s="32" t="s">
        <v>23</v>
      </c>
      <c r="G115" s="32" t="s">
        <v>814</v>
      </c>
      <c r="H115" s="32" t="s">
        <v>33</v>
      </c>
    </row>
    <row r="116" spans="1:8" ht="23.25" x14ac:dyDescent="0.35">
      <c r="A116" s="31" t="s">
        <v>578</v>
      </c>
      <c r="B116" s="31">
        <v>19</v>
      </c>
      <c r="C116" s="31"/>
      <c r="D116" s="31" t="s">
        <v>510</v>
      </c>
      <c r="E116" s="31" t="s">
        <v>815</v>
      </c>
      <c r="F116" s="31" t="s">
        <v>19</v>
      </c>
      <c r="G116" s="31" t="s">
        <v>816</v>
      </c>
      <c r="H116" s="31" t="s">
        <v>33</v>
      </c>
    </row>
    <row r="117" spans="1:8" ht="23.25" x14ac:dyDescent="0.35">
      <c r="A117" s="32" t="s">
        <v>578</v>
      </c>
      <c r="B117" s="32">
        <v>19</v>
      </c>
      <c r="C117" s="32"/>
      <c r="D117" s="32" t="s">
        <v>510</v>
      </c>
      <c r="E117" s="32" t="s">
        <v>817</v>
      </c>
      <c r="F117" s="32" t="s">
        <v>25</v>
      </c>
      <c r="G117" s="32" t="s">
        <v>818</v>
      </c>
      <c r="H117" s="32" t="s">
        <v>33</v>
      </c>
    </row>
    <row r="118" spans="1:8" ht="23.25" x14ac:dyDescent="0.35">
      <c r="A118" s="31" t="s">
        <v>578</v>
      </c>
      <c r="B118" s="31">
        <v>19</v>
      </c>
      <c r="C118" s="31"/>
      <c r="D118" s="31" t="s">
        <v>510</v>
      </c>
      <c r="E118" s="31" t="s">
        <v>819</v>
      </c>
      <c r="F118" s="31" t="s">
        <v>25</v>
      </c>
      <c r="G118" s="31" t="s">
        <v>818</v>
      </c>
      <c r="H118" s="31" t="s">
        <v>33</v>
      </c>
    </row>
    <row r="119" spans="1:8" ht="23.25" x14ac:dyDescent="0.35">
      <c r="A119" s="32" t="s">
        <v>578</v>
      </c>
      <c r="B119" s="32">
        <v>20</v>
      </c>
      <c r="C119" s="32" t="s">
        <v>519</v>
      </c>
      <c r="D119" s="32" t="s">
        <v>820</v>
      </c>
      <c r="E119" s="32" t="s">
        <v>821</v>
      </c>
      <c r="F119" s="32" t="s">
        <v>25</v>
      </c>
      <c r="G119" s="32" t="s">
        <v>822</v>
      </c>
      <c r="H119" s="32" t="s">
        <v>33</v>
      </c>
    </row>
    <row r="120" spans="1:8" ht="23.25" x14ac:dyDescent="0.35">
      <c r="A120" s="31" t="s">
        <v>578</v>
      </c>
      <c r="B120" s="31">
        <v>20</v>
      </c>
      <c r="C120" s="31"/>
      <c r="D120" s="31"/>
      <c r="E120" s="31" t="s">
        <v>823</v>
      </c>
      <c r="F120" s="31" t="s">
        <v>21</v>
      </c>
      <c r="G120" s="31" t="s">
        <v>824</v>
      </c>
      <c r="H120" s="31" t="s">
        <v>33</v>
      </c>
    </row>
    <row r="121" spans="1:8" ht="23.25" x14ac:dyDescent="0.35">
      <c r="A121" s="32" t="s">
        <v>578</v>
      </c>
      <c r="B121" s="32">
        <v>20</v>
      </c>
      <c r="C121" s="32"/>
      <c r="D121" s="32"/>
      <c r="E121" s="32" t="s">
        <v>825</v>
      </c>
      <c r="F121" s="32" t="s">
        <v>23</v>
      </c>
      <c r="G121" s="32" t="s">
        <v>545</v>
      </c>
      <c r="H121" s="32" t="s">
        <v>33</v>
      </c>
    </row>
    <row r="122" spans="1:8" ht="23.25" x14ac:dyDescent="0.35">
      <c r="A122" s="31" t="s">
        <v>578</v>
      </c>
      <c r="B122" s="31">
        <v>20</v>
      </c>
      <c r="C122" s="31"/>
      <c r="D122" s="31"/>
      <c r="E122" s="31" t="s">
        <v>826</v>
      </c>
      <c r="F122" s="31" t="s">
        <v>25</v>
      </c>
      <c r="G122" s="31" t="s">
        <v>545</v>
      </c>
      <c r="H122" s="31" t="s">
        <v>33</v>
      </c>
    </row>
    <row r="123" spans="1:8" ht="23.25" x14ac:dyDescent="0.35">
      <c r="A123" s="32" t="s">
        <v>578</v>
      </c>
      <c r="B123" s="32">
        <v>20</v>
      </c>
      <c r="C123" s="32"/>
      <c r="D123" s="32" t="s">
        <v>827</v>
      </c>
      <c r="E123" s="32" t="s">
        <v>828</v>
      </c>
      <c r="F123" s="32" t="s">
        <v>25</v>
      </c>
      <c r="G123" s="32" t="s">
        <v>829</v>
      </c>
      <c r="H123" s="32" t="s">
        <v>34</v>
      </c>
    </row>
    <row r="124" spans="1:8" ht="23.25" x14ac:dyDescent="0.35">
      <c r="A124" s="31" t="s">
        <v>578</v>
      </c>
      <c r="B124" s="31">
        <v>20</v>
      </c>
      <c r="C124" s="31"/>
      <c r="D124" s="31" t="s">
        <v>830</v>
      </c>
      <c r="E124" s="31" t="s">
        <v>831</v>
      </c>
      <c r="F124" s="31" t="s">
        <v>25</v>
      </c>
      <c r="G124" s="31" t="s">
        <v>832</v>
      </c>
      <c r="H124" s="31" t="s">
        <v>34</v>
      </c>
    </row>
    <row r="125" spans="1:8" ht="23.25" x14ac:dyDescent="0.35">
      <c r="A125" s="32" t="s">
        <v>578</v>
      </c>
      <c r="B125" s="32">
        <v>20</v>
      </c>
      <c r="C125" s="32"/>
      <c r="D125" s="32" t="s">
        <v>830</v>
      </c>
      <c r="E125" s="32" t="s">
        <v>833</v>
      </c>
      <c r="F125" s="32" t="s">
        <v>21</v>
      </c>
      <c r="G125" s="32" t="s">
        <v>834</v>
      </c>
      <c r="H125" s="32" t="s">
        <v>33</v>
      </c>
    </row>
    <row r="126" spans="1:8" ht="23.25" x14ac:dyDescent="0.35">
      <c r="A126" s="31" t="s">
        <v>578</v>
      </c>
      <c r="B126" s="31">
        <v>20</v>
      </c>
      <c r="C126" s="31"/>
      <c r="D126" s="31" t="s">
        <v>835</v>
      </c>
      <c r="E126" s="31" t="s">
        <v>836</v>
      </c>
      <c r="F126" s="31" t="s">
        <v>20</v>
      </c>
      <c r="G126" s="31" t="s">
        <v>837</v>
      </c>
      <c r="H126" s="31" t="s">
        <v>33</v>
      </c>
    </row>
    <row r="127" spans="1:8" ht="23.25" x14ac:dyDescent="0.35">
      <c r="A127" s="32" t="s">
        <v>578</v>
      </c>
      <c r="B127" s="32">
        <v>20</v>
      </c>
      <c r="C127" s="32"/>
      <c r="D127" s="32" t="s">
        <v>835</v>
      </c>
      <c r="E127" s="32" t="s">
        <v>838</v>
      </c>
      <c r="F127" s="32" t="s">
        <v>20</v>
      </c>
      <c r="G127" s="32" t="s">
        <v>839</v>
      </c>
      <c r="H127" s="32" t="s">
        <v>33</v>
      </c>
    </row>
    <row r="128" spans="1:8" ht="23.25" x14ac:dyDescent="0.35">
      <c r="A128" s="31" t="s">
        <v>578</v>
      </c>
      <c r="B128" s="31">
        <v>20</v>
      </c>
      <c r="C128" s="31"/>
      <c r="D128" s="31" t="s">
        <v>840</v>
      </c>
      <c r="E128" s="31" t="s">
        <v>841</v>
      </c>
      <c r="F128" s="31" t="s">
        <v>21</v>
      </c>
      <c r="G128" s="31" t="s">
        <v>842</v>
      </c>
      <c r="H128" s="31" t="s">
        <v>33</v>
      </c>
    </row>
    <row r="129" spans="1:8" ht="23.25" x14ac:dyDescent="0.35">
      <c r="A129" s="32" t="s">
        <v>578</v>
      </c>
      <c r="B129" s="32">
        <v>20</v>
      </c>
      <c r="C129" s="32"/>
      <c r="D129" s="32" t="s">
        <v>840</v>
      </c>
      <c r="E129" s="32" t="s">
        <v>843</v>
      </c>
      <c r="F129" s="32" t="s">
        <v>25</v>
      </c>
      <c r="G129" s="32" t="s">
        <v>844</v>
      </c>
      <c r="H129" s="32" t="s">
        <v>33</v>
      </c>
    </row>
    <row r="130" spans="1:8" ht="23.25" x14ac:dyDescent="0.35">
      <c r="A130" s="31" t="s">
        <v>578</v>
      </c>
      <c r="B130" s="31">
        <v>20</v>
      </c>
      <c r="C130" s="31"/>
      <c r="D130" s="31" t="s">
        <v>840</v>
      </c>
      <c r="E130" s="31" t="s">
        <v>845</v>
      </c>
      <c r="F130" s="31" t="s">
        <v>21</v>
      </c>
      <c r="G130" s="31" t="s">
        <v>846</v>
      </c>
      <c r="H130" s="31" t="s">
        <v>33</v>
      </c>
    </row>
    <row r="131" spans="1:8" ht="23.25" x14ac:dyDescent="0.35">
      <c r="A131" s="32" t="s">
        <v>578</v>
      </c>
      <c r="B131" s="32">
        <v>20</v>
      </c>
      <c r="C131" s="32"/>
      <c r="D131" s="32" t="s">
        <v>840</v>
      </c>
      <c r="E131" s="32" t="s">
        <v>847</v>
      </c>
      <c r="F131" s="32" t="s">
        <v>25</v>
      </c>
      <c r="G131" s="32" t="s">
        <v>848</v>
      </c>
      <c r="H131" s="32" t="s">
        <v>33</v>
      </c>
    </row>
    <row r="132" spans="1:8" ht="23.25" x14ac:dyDescent="0.35">
      <c r="A132" s="31" t="s">
        <v>578</v>
      </c>
      <c r="B132" s="31">
        <v>20</v>
      </c>
      <c r="C132" s="31"/>
      <c r="D132" s="31" t="s">
        <v>849</v>
      </c>
      <c r="E132" s="31" t="s">
        <v>850</v>
      </c>
      <c r="F132" s="31" t="s">
        <v>18</v>
      </c>
      <c r="G132" s="31" t="s">
        <v>851</v>
      </c>
      <c r="H132" s="31" t="s">
        <v>33</v>
      </c>
    </row>
  </sheetData>
  <autoFilter ref="A1:H132" xr:uid="{81906D90-A0EC-429A-81B9-FA1B94141DA1}"/>
  <dataValidations count="2">
    <dataValidation type="list" allowBlank="1" showErrorMessage="1" sqref="F2:F132" xr:uid="{24AAD521-59BA-4DC8-BEFD-1356ACF6FB1D}">
      <formula1>"material,move_legality,piece_placement,piece_relations,geometry,reasoning,other/unsure"</formula1>
      <formula2>0</formula2>
    </dataValidation>
    <dataValidation type="list" allowBlank="1" showErrorMessage="1" sqref="A2:A132" xr:uid="{226B7510-8304-4D81-B12C-C0F6442FBDC3}">
      <formula1>"Deepseek V3.2,Kimi K2.5,Qwen 3.5 397B A17B,Llama 4 Maverick,Opus 4.6,GPT 5.4,Gemini 3.1 Pro"</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446F-AF4D-417D-93A4-4BBE2F6CE5EB}">
  <sheetPr>
    <tabColor theme="6"/>
  </sheetPr>
  <dimension ref="A1:I132"/>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10" t="s">
        <v>6</v>
      </c>
      <c r="B1" s="10" t="s">
        <v>7</v>
      </c>
      <c r="C1" s="10" t="s">
        <v>8</v>
      </c>
      <c r="D1" s="10" t="s">
        <v>9</v>
      </c>
      <c r="E1" s="10" t="s">
        <v>10</v>
      </c>
      <c r="F1" s="10" t="s">
        <v>11</v>
      </c>
      <c r="G1" s="10" t="s">
        <v>12</v>
      </c>
      <c r="H1" s="10" t="s">
        <v>13</v>
      </c>
      <c r="I1" s="10" t="s">
        <v>14</v>
      </c>
    </row>
    <row r="2" spans="1:9" ht="13.15" x14ac:dyDescent="0.35">
      <c r="A2" s="21">
        <v>1</v>
      </c>
      <c r="B2" s="16">
        <f>'Data LLAMA'!B2</f>
        <v>1</v>
      </c>
      <c r="C2" s="22" t="str">
        <f>'Data LLAMA'!F2</f>
        <v>reasoning</v>
      </c>
      <c r="D2" s="16" t="str">
        <f>LOWER(TRIM('Data LLAMA'!H2))</f>
        <v>minor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2</v>
      </c>
      <c r="F2" s="23">
        <f>IF(D2="major",Parameters!$B$14,IF(D2="medium",Parameters!$B$15,Parameters!$B$16))</f>
        <v>1</v>
      </c>
      <c r="G2" s="16">
        <f t="shared" ref="G2:G33" si="0">COUNTIFS($B$2:$B$132,B2,$C$2:$C$132,C2,$F$2:$F$132,"&gt;"&amp;F2)+COUNTIFS($B$2:$B$132,B2,$C$2:$C$132,C2,$F$2:$F$132,F2,$A$2:$A$132,"&lt;="&amp;A2)</f>
        <v>2</v>
      </c>
      <c r="H2" s="24">
        <f>Parameters!$B$20^(G2-1)</f>
        <v>0.7</v>
      </c>
      <c r="I2" s="18">
        <f>E2*F2*H2</f>
        <v>1.4</v>
      </c>
    </row>
    <row r="3" spans="1:9" ht="13.15" x14ac:dyDescent="0.35">
      <c r="A3" s="21">
        <v>2</v>
      </c>
      <c r="B3" s="16">
        <f>'Data LLAMA'!B3</f>
        <v>1</v>
      </c>
      <c r="C3" s="22" t="str">
        <f>'Data LLAMA'!F3</f>
        <v>move_legality</v>
      </c>
      <c r="D3" s="16" t="str">
        <f>LOWER(TRIM('Data LLAMA'!H3))</f>
        <v>medium</v>
      </c>
      <c r="E3" s="23">
        <f>IF(ISNUMBER(SEARCH("move_legality",C3)),Parameters!$B$4,IF(ISNUMBER(SEARCH("piece_placement",C3)),Parameters!$B$5,IF(ISNUMBER(SEARCH("material",C3)),Parameters!$B$6,IF(ISNUMBER(SEARCH("piece_relations",C3)),Parameters!$B$7,IF(ISNUMBER(SEARCH("geometry",C3)),Parameters!$B$8,IF(ISNUMBER(SEARCH("reasoning",C3)),Parameters!$B$9,Parameters!$B$10))))))</f>
        <v>8</v>
      </c>
      <c r="F3" s="23">
        <f>IF(D3="major",Parameters!$B$14,IF(D3="medium",Parameters!$B$15,Parameters!$B$16))</f>
        <v>2</v>
      </c>
      <c r="G3" s="16">
        <f t="shared" si="0"/>
        <v>1</v>
      </c>
      <c r="H3" s="24">
        <f>Parameters!$B$20^(G3-1)</f>
        <v>1</v>
      </c>
      <c r="I3" s="18">
        <f t="shared" ref="I3:I66" si="1">E3*F3*H3</f>
        <v>16</v>
      </c>
    </row>
    <row r="4" spans="1:9" ht="13.15" x14ac:dyDescent="0.35">
      <c r="A4" s="21">
        <v>3</v>
      </c>
      <c r="B4" s="16">
        <f>'Data LLAMA'!B4</f>
        <v>1</v>
      </c>
      <c r="C4" s="22" t="str">
        <f>'Data LLAMA'!F4</f>
        <v>reasoning</v>
      </c>
      <c r="D4" s="16" t="str">
        <f>LOWER(TRIM('Data LLAMA'!H4))</f>
        <v>major</v>
      </c>
      <c r="E4" s="23">
        <f>IF(ISNUMBER(SEARCH("move_legality",C4)),Parameters!$B$4,IF(ISNUMBER(SEARCH("piece_placement",C4)),Parameters!$B$5,IF(ISNUMBER(SEARCH("material",C4)),Parameters!$B$6,IF(ISNUMBER(SEARCH("piece_relations",C4)),Parameters!$B$7,IF(ISNUMBER(SEARCH("geometry",C4)),Parameters!$B$8,IF(ISNUMBER(SEARCH("reasoning",C4)),Parameters!$B$9,Parameters!$B$10))))))</f>
        <v>2</v>
      </c>
      <c r="F4" s="23">
        <f>IF(D4="major",Parameters!$B$14,IF(D4="medium",Parameters!$B$15,Parameters!$B$16))</f>
        <v>3</v>
      </c>
      <c r="G4" s="16">
        <f t="shared" si="0"/>
        <v>1</v>
      </c>
      <c r="H4" s="24">
        <f>Parameters!$B$20^(G4-1)</f>
        <v>1</v>
      </c>
      <c r="I4" s="18">
        <f t="shared" si="1"/>
        <v>6</v>
      </c>
    </row>
    <row r="5" spans="1:9" ht="13.15" x14ac:dyDescent="0.35">
      <c r="A5" s="21">
        <v>4</v>
      </c>
      <c r="B5" s="16">
        <f>'Data LLAMA'!B5</f>
        <v>4</v>
      </c>
      <c r="C5" s="22" t="str">
        <f>'Data LLAMA'!F5</f>
        <v>reasoning</v>
      </c>
      <c r="D5" s="16" t="str">
        <f>LOWER(TRIM('Data LLAMA'!H5))</f>
        <v>medium</v>
      </c>
      <c r="E5" s="23">
        <f>IF(ISNUMBER(SEARCH("move_legality",C5)),Parameters!$B$4,IF(ISNUMBER(SEARCH("piece_placement",C5)),Parameters!$B$5,IF(ISNUMBER(SEARCH("material",C5)),Parameters!$B$6,IF(ISNUMBER(SEARCH("piece_relations",C5)),Parameters!$B$7,IF(ISNUMBER(SEARCH("geometry",C5)),Parameters!$B$8,IF(ISNUMBER(SEARCH("reasoning",C5)),Parameters!$B$9,Parameters!$B$10))))))</f>
        <v>2</v>
      </c>
      <c r="F5" s="23">
        <f>IF(D5="major",Parameters!$B$14,IF(D5="medium",Parameters!$B$15,Parameters!$B$16))</f>
        <v>2</v>
      </c>
      <c r="G5" s="16">
        <f t="shared" si="0"/>
        <v>2</v>
      </c>
      <c r="H5" s="24">
        <f>Parameters!$B$20^(G5-1)</f>
        <v>0.7</v>
      </c>
      <c r="I5" s="18">
        <f t="shared" si="1"/>
        <v>2.8</v>
      </c>
    </row>
    <row r="6" spans="1:9" ht="13.15" x14ac:dyDescent="0.35">
      <c r="A6" s="21">
        <v>5</v>
      </c>
      <c r="B6" s="16">
        <f>'Data LLAMA'!B6</f>
        <v>4</v>
      </c>
      <c r="C6" s="22" t="str">
        <f>'Data LLAMA'!F6</f>
        <v>reasoning</v>
      </c>
      <c r="D6" s="16" t="str">
        <f>LOWER(TRIM('Data LLAMA'!H6))</f>
        <v>medium</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2</v>
      </c>
      <c r="G6" s="16">
        <f t="shared" si="0"/>
        <v>3</v>
      </c>
      <c r="H6" s="24">
        <f>Parameters!$B$20^(G6-1)</f>
        <v>0.48999999999999994</v>
      </c>
      <c r="I6" s="18">
        <f t="shared" si="1"/>
        <v>1.9599999999999997</v>
      </c>
    </row>
    <row r="7" spans="1:9" ht="13.15" x14ac:dyDescent="0.35">
      <c r="A7" s="21">
        <v>6</v>
      </c>
      <c r="B7" s="16">
        <f>'Data LLAMA'!B7</f>
        <v>4</v>
      </c>
      <c r="C7" s="22" t="str">
        <f>'Data LLAMA'!F7</f>
        <v>reasoning</v>
      </c>
      <c r="D7" s="16" t="str">
        <f>LOWER(TRIM('Data LLAMA'!H7))</f>
        <v>medium</v>
      </c>
      <c r="E7" s="23">
        <f>IF(ISNUMBER(SEARCH("move_legality",C7)),Parameters!$B$4,IF(ISNUMBER(SEARCH("piece_placement",C7)),Parameters!$B$5,IF(ISNUMBER(SEARCH("material",C7)),Parameters!$B$6,IF(ISNUMBER(SEARCH("piece_relations",C7)),Parameters!$B$7,IF(ISNUMBER(SEARCH("geometry",C7)),Parameters!$B$8,IF(ISNUMBER(SEARCH("reasoning",C7)),Parameters!$B$9,Parameters!$B$10))))))</f>
        <v>2</v>
      </c>
      <c r="F7" s="23">
        <f>IF(D7="major",Parameters!$B$14,IF(D7="medium",Parameters!$B$15,Parameters!$B$16))</f>
        <v>2</v>
      </c>
      <c r="G7" s="16">
        <f t="shared" si="0"/>
        <v>4</v>
      </c>
      <c r="H7" s="24">
        <f>Parameters!$B$20^(G7-1)</f>
        <v>0.34299999999999992</v>
      </c>
      <c r="I7" s="18">
        <f t="shared" si="1"/>
        <v>1.3719999999999997</v>
      </c>
    </row>
    <row r="8" spans="1:9" ht="13.15" x14ac:dyDescent="0.35">
      <c r="A8" s="21">
        <v>7</v>
      </c>
      <c r="B8" s="16">
        <f>'Data LLAMA'!B8</f>
        <v>4</v>
      </c>
      <c r="C8" s="22" t="str">
        <f>'Data LLAMA'!F8</f>
        <v>reasoning</v>
      </c>
      <c r="D8" s="16" t="str">
        <f>LOWER(TRIM('Data LLAMA'!H8))</f>
        <v>minor</v>
      </c>
      <c r="E8" s="23">
        <f>IF(ISNUMBER(SEARCH("move_legality",C8)),Parameters!$B$4,IF(ISNUMBER(SEARCH("piece_placement",C8)),Parameters!$B$5,IF(ISNUMBER(SEARCH("material",C8)),Parameters!$B$6,IF(ISNUMBER(SEARCH("piece_relations",C8)),Parameters!$B$7,IF(ISNUMBER(SEARCH("geometry",C8)),Parameters!$B$8,IF(ISNUMBER(SEARCH("reasoning",C8)),Parameters!$B$9,Parameters!$B$10))))))</f>
        <v>2</v>
      </c>
      <c r="F8" s="23">
        <f>IF(D8="major",Parameters!$B$14,IF(D8="medium",Parameters!$B$15,Parameters!$B$16))</f>
        <v>1</v>
      </c>
      <c r="G8" s="16">
        <f t="shared" si="0"/>
        <v>5</v>
      </c>
      <c r="H8" s="24">
        <f>Parameters!$B$20^(G8-1)</f>
        <v>0.24009999999999992</v>
      </c>
      <c r="I8" s="18">
        <f t="shared" si="1"/>
        <v>0.48019999999999985</v>
      </c>
    </row>
    <row r="9" spans="1:9" ht="13.15" x14ac:dyDescent="0.35">
      <c r="A9" s="21">
        <v>8</v>
      </c>
      <c r="B9" s="16">
        <f>'Data LLAMA'!B9</f>
        <v>4</v>
      </c>
      <c r="C9" s="22" t="str">
        <f>'Data LLAMA'!F9</f>
        <v>reasoning</v>
      </c>
      <c r="D9" s="16" t="str">
        <f>LOWER(TRIM('Data LLAMA'!H9))</f>
        <v>minor</v>
      </c>
      <c r="E9" s="23">
        <f>IF(ISNUMBER(SEARCH("move_legality",C9)),Parameters!$B$4,IF(ISNUMBER(SEARCH("piece_placement",C9)),Parameters!$B$5,IF(ISNUMBER(SEARCH("material",C9)),Parameters!$B$6,IF(ISNUMBER(SEARCH("piece_relations",C9)),Parameters!$B$7,IF(ISNUMBER(SEARCH("geometry",C9)),Parameters!$B$8,IF(ISNUMBER(SEARCH("reasoning",C9)),Parameters!$B$9,Parameters!$B$10))))))</f>
        <v>2</v>
      </c>
      <c r="F9" s="23">
        <f>IF(D9="major",Parameters!$B$14,IF(D9="medium",Parameters!$B$15,Parameters!$B$16))</f>
        <v>1</v>
      </c>
      <c r="G9" s="16">
        <f t="shared" si="0"/>
        <v>6</v>
      </c>
      <c r="H9" s="24">
        <f>Parameters!$B$20^(G9-1)</f>
        <v>0.16806999999999994</v>
      </c>
      <c r="I9" s="18">
        <f t="shared" si="1"/>
        <v>0.33613999999999988</v>
      </c>
    </row>
    <row r="10" spans="1:9" ht="13.15" x14ac:dyDescent="0.35">
      <c r="A10" s="21">
        <v>9</v>
      </c>
      <c r="B10" s="16">
        <f>'Data LLAMA'!B10</f>
        <v>4</v>
      </c>
      <c r="C10" s="22" t="str">
        <f>'Data LLAMA'!F10</f>
        <v>piece_placement</v>
      </c>
      <c r="D10" s="16" t="str">
        <f>LOWER(TRIM('Data LLAMA'!H10))</f>
        <v>major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6</v>
      </c>
      <c r="F10" s="23">
        <f>IF(D10="major",Parameters!$B$14,IF(D10="medium",Parameters!$B$15,Parameters!$B$16))</f>
        <v>3</v>
      </c>
      <c r="G10" s="16">
        <f t="shared" si="0"/>
        <v>1</v>
      </c>
      <c r="H10" s="24">
        <f>Parameters!$B$20^(G10-1)</f>
        <v>1</v>
      </c>
      <c r="I10" s="18">
        <f t="shared" si="1"/>
        <v>18</v>
      </c>
    </row>
    <row r="11" spans="1:9" ht="13.15" x14ac:dyDescent="0.35">
      <c r="A11" s="21">
        <v>10</v>
      </c>
      <c r="B11" s="16">
        <f>'Data LLAMA'!B11</f>
        <v>4</v>
      </c>
      <c r="C11" s="22" t="str">
        <f>'Data LLAMA'!F11</f>
        <v>reasoning</v>
      </c>
      <c r="D11" s="16" t="str">
        <f>LOWER(TRIM('Data LLAMA'!H11))</f>
        <v>major</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2</v>
      </c>
      <c r="F11" s="23">
        <f>IF(D11="major",Parameters!$B$14,IF(D11="medium",Parameters!$B$15,Parameters!$B$16))</f>
        <v>3</v>
      </c>
      <c r="G11" s="16">
        <f t="shared" si="0"/>
        <v>1</v>
      </c>
      <c r="H11" s="24">
        <f>Parameters!$B$20^(G11-1)</f>
        <v>1</v>
      </c>
      <c r="I11" s="18">
        <f t="shared" si="1"/>
        <v>6</v>
      </c>
    </row>
    <row r="12" spans="1:9" ht="13.15" x14ac:dyDescent="0.35">
      <c r="A12" s="21">
        <v>11</v>
      </c>
      <c r="B12" s="16">
        <f>'Data LLAMA'!B12</f>
        <v>5</v>
      </c>
      <c r="C12" s="22" t="str">
        <f>'Data LLAMA'!F12</f>
        <v>move_legality</v>
      </c>
      <c r="D12" s="16" t="str">
        <f>LOWER(TRIM('Data LLAMA'!H12))</f>
        <v>medium</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8</v>
      </c>
      <c r="F12" s="23">
        <f>IF(D12="major",Parameters!$B$14,IF(D12="medium",Parameters!$B$15,Parameters!$B$16))</f>
        <v>2</v>
      </c>
      <c r="G12" s="16">
        <f t="shared" si="0"/>
        <v>3</v>
      </c>
      <c r="H12" s="24">
        <f>Parameters!$B$20^(G12-1)</f>
        <v>0.48999999999999994</v>
      </c>
      <c r="I12" s="18">
        <f t="shared" si="1"/>
        <v>7.839999999999999</v>
      </c>
    </row>
    <row r="13" spans="1:9" ht="13.15" x14ac:dyDescent="0.35">
      <c r="A13" s="21">
        <v>12</v>
      </c>
      <c r="B13" s="16">
        <f>'Data LLAMA'!B13</f>
        <v>5</v>
      </c>
      <c r="C13" s="22" t="str">
        <f>'Data LLAMA'!F13</f>
        <v>reasoning</v>
      </c>
      <c r="D13" s="16" t="str">
        <f>LOWER(TRIM('Data LLAMA'!H13))</f>
        <v>medium</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2</v>
      </c>
      <c r="F13" s="23">
        <f>IF(D13="major",Parameters!$B$14,IF(D13="medium",Parameters!$B$15,Parameters!$B$16))</f>
        <v>2</v>
      </c>
      <c r="G13" s="16">
        <f t="shared" si="0"/>
        <v>6</v>
      </c>
      <c r="H13" s="24">
        <f>Parameters!$B$20^(G13-1)</f>
        <v>0.16806999999999994</v>
      </c>
      <c r="I13" s="18">
        <f t="shared" si="1"/>
        <v>0.67227999999999977</v>
      </c>
    </row>
    <row r="14" spans="1:9" ht="13.15" x14ac:dyDescent="0.35">
      <c r="A14" s="21">
        <v>13</v>
      </c>
      <c r="B14" s="16">
        <f>'Data LLAMA'!B14</f>
        <v>5</v>
      </c>
      <c r="C14" s="22" t="str">
        <f>'Data LLAMA'!F14</f>
        <v>reasoning</v>
      </c>
      <c r="D14" s="16" t="str">
        <f>LOWER(TRIM('Data LLAMA'!H14))</f>
        <v>major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2</v>
      </c>
      <c r="F14" s="23">
        <f>IF(D14="major",Parameters!$B$14,IF(D14="medium",Parameters!$B$15,Parameters!$B$16))</f>
        <v>3</v>
      </c>
      <c r="G14" s="16">
        <f t="shared" si="0"/>
        <v>1</v>
      </c>
      <c r="H14" s="24">
        <f>Parameters!$B$20^(G14-1)</f>
        <v>1</v>
      </c>
      <c r="I14" s="18">
        <f t="shared" si="1"/>
        <v>6</v>
      </c>
    </row>
    <row r="15" spans="1:9" ht="13.15" x14ac:dyDescent="0.35">
      <c r="A15" s="21">
        <v>14</v>
      </c>
      <c r="B15" s="16">
        <f>'Data LLAMA'!B15</f>
        <v>5</v>
      </c>
      <c r="C15" s="22" t="str">
        <f>'Data LLAMA'!F15</f>
        <v>reasoning</v>
      </c>
      <c r="D15" s="16" t="str">
        <f>LOWER(TRIM('Data LLAMA'!H15))</f>
        <v>major</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2</v>
      </c>
      <c r="F15" s="23">
        <f>IF(D15="major",Parameters!$B$14,IF(D15="medium",Parameters!$B$15,Parameters!$B$16))</f>
        <v>3</v>
      </c>
      <c r="G15" s="16">
        <f t="shared" si="0"/>
        <v>2</v>
      </c>
      <c r="H15" s="24">
        <f>Parameters!$B$20^(G15-1)</f>
        <v>0.7</v>
      </c>
      <c r="I15" s="18">
        <f t="shared" si="1"/>
        <v>4.1999999999999993</v>
      </c>
    </row>
    <row r="16" spans="1:9" ht="13.15" x14ac:dyDescent="0.35">
      <c r="A16" s="21">
        <v>15</v>
      </c>
      <c r="B16" s="16">
        <f>'Data LLAMA'!B16</f>
        <v>5</v>
      </c>
      <c r="C16" s="22" t="str">
        <f>'Data LLAMA'!F16</f>
        <v>reasoning</v>
      </c>
      <c r="D16" s="16" t="str">
        <f>LOWER(TRIM('Data LLAMA'!H16))</f>
        <v>major</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2</v>
      </c>
      <c r="F16" s="23">
        <f>IF(D16="major",Parameters!$B$14,IF(D16="medium",Parameters!$B$15,Parameters!$B$16))</f>
        <v>3</v>
      </c>
      <c r="G16" s="16">
        <f t="shared" si="0"/>
        <v>3</v>
      </c>
      <c r="H16" s="24">
        <f>Parameters!$B$20^(G16-1)</f>
        <v>0.48999999999999994</v>
      </c>
      <c r="I16" s="18">
        <f t="shared" si="1"/>
        <v>2.9399999999999995</v>
      </c>
    </row>
    <row r="17" spans="1:9" ht="13.15" x14ac:dyDescent="0.35">
      <c r="A17" s="21">
        <v>16</v>
      </c>
      <c r="B17" s="16">
        <f>'Data LLAMA'!B17</f>
        <v>5</v>
      </c>
      <c r="C17" s="22" t="str">
        <f>'Data LLAMA'!F17</f>
        <v>reasoning</v>
      </c>
      <c r="D17" s="16" t="str">
        <f>LOWER(TRIM('Data LLAMA'!H17))</f>
        <v>major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2</v>
      </c>
      <c r="F17" s="23">
        <f>IF(D17="major",Parameters!$B$14,IF(D17="medium",Parameters!$B$15,Parameters!$B$16))</f>
        <v>3</v>
      </c>
      <c r="G17" s="16">
        <f t="shared" si="0"/>
        <v>4</v>
      </c>
      <c r="H17" s="24">
        <f>Parameters!$B$20^(G17-1)</f>
        <v>0.34299999999999992</v>
      </c>
      <c r="I17" s="18">
        <f t="shared" si="1"/>
        <v>2.0579999999999994</v>
      </c>
    </row>
    <row r="18" spans="1:9" ht="13.15" x14ac:dyDescent="0.35">
      <c r="A18" s="21">
        <v>17</v>
      </c>
      <c r="B18" s="16">
        <f>'Data LLAMA'!B18</f>
        <v>5</v>
      </c>
      <c r="C18" s="22" t="str">
        <f>'Data LLAMA'!F18</f>
        <v>move_legality</v>
      </c>
      <c r="D18" s="16" t="str">
        <f>LOWER(TRIM('Data LLAMA'!H18))</f>
        <v>major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8</v>
      </c>
      <c r="F18" s="23">
        <f>IF(D18="major",Parameters!$B$14,IF(D18="medium",Parameters!$B$15,Parameters!$B$16))</f>
        <v>3</v>
      </c>
      <c r="G18" s="16">
        <f t="shared" si="0"/>
        <v>1</v>
      </c>
      <c r="H18" s="24">
        <f>Parameters!$B$20^(G18-1)</f>
        <v>1</v>
      </c>
      <c r="I18" s="18">
        <f t="shared" si="1"/>
        <v>24</v>
      </c>
    </row>
    <row r="19" spans="1:9" ht="13.15" x14ac:dyDescent="0.35">
      <c r="A19" s="21">
        <v>18</v>
      </c>
      <c r="B19" s="16">
        <f>'Data LLAMA'!B19</f>
        <v>5</v>
      </c>
      <c r="C19" s="22" t="str">
        <f>'Data LLAMA'!F19</f>
        <v>move_legality</v>
      </c>
      <c r="D19" s="16" t="str">
        <f>LOWER(TRIM('Data LLAMA'!H19))</f>
        <v>major</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8</v>
      </c>
      <c r="F19" s="23">
        <f>IF(D19="major",Parameters!$B$14,IF(D19="medium",Parameters!$B$15,Parameters!$B$16))</f>
        <v>3</v>
      </c>
      <c r="G19" s="16">
        <f t="shared" si="0"/>
        <v>2</v>
      </c>
      <c r="H19" s="24">
        <f>Parameters!$B$20^(G19-1)</f>
        <v>0.7</v>
      </c>
      <c r="I19" s="18">
        <f t="shared" si="1"/>
        <v>16.799999999999997</v>
      </c>
    </row>
    <row r="20" spans="1:9" ht="13.15" x14ac:dyDescent="0.35">
      <c r="A20" s="21">
        <v>19</v>
      </c>
      <c r="B20" s="16">
        <f>'Data LLAMA'!B20</f>
        <v>5</v>
      </c>
      <c r="C20" s="22" t="str">
        <f>'Data LLAMA'!F20</f>
        <v>reasoning</v>
      </c>
      <c r="D20" s="16" t="str">
        <f>LOWER(TRIM('Data LLAMA'!H20))</f>
        <v>major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2</v>
      </c>
      <c r="F20" s="23">
        <f>IF(D20="major",Parameters!$B$14,IF(D20="medium",Parameters!$B$15,Parameters!$B$16))</f>
        <v>3</v>
      </c>
      <c r="G20" s="16">
        <f t="shared" si="0"/>
        <v>5</v>
      </c>
      <c r="H20" s="24">
        <f>Parameters!$B$20^(G20-1)</f>
        <v>0.24009999999999992</v>
      </c>
      <c r="I20" s="18">
        <f t="shared" si="1"/>
        <v>1.4405999999999994</v>
      </c>
    </row>
    <row r="21" spans="1:9" ht="13.15" x14ac:dyDescent="0.35">
      <c r="A21" s="21">
        <v>20</v>
      </c>
      <c r="B21" s="16">
        <f>'Data LLAMA'!B21</f>
        <v>6</v>
      </c>
      <c r="C21" s="22" t="str">
        <f>'Data LLAMA'!F21</f>
        <v>reasoning</v>
      </c>
      <c r="D21" s="16" t="str">
        <f>LOWER(TRIM('Data LLAMA'!H21))</f>
        <v>major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2</v>
      </c>
      <c r="F21" s="23">
        <f>IF(D21="major",Parameters!$B$14,IF(D21="medium",Parameters!$B$15,Parameters!$B$16))</f>
        <v>3</v>
      </c>
      <c r="G21" s="16">
        <f t="shared" si="0"/>
        <v>1</v>
      </c>
      <c r="H21" s="24">
        <f>Parameters!$B$20^(G21-1)</f>
        <v>1</v>
      </c>
      <c r="I21" s="18">
        <f t="shared" si="1"/>
        <v>6</v>
      </c>
    </row>
    <row r="22" spans="1:9" ht="13.15" x14ac:dyDescent="0.35">
      <c r="A22" s="21">
        <v>21</v>
      </c>
      <c r="B22" s="16">
        <f>'Data LLAMA'!B22</f>
        <v>6</v>
      </c>
      <c r="C22" s="22" t="str">
        <f>'Data LLAMA'!F22</f>
        <v>move_legality</v>
      </c>
      <c r="D22" s="16" t="str">
        <f>LOWER(TRIM('Data LLAMA'!H22))</f>
        <v>medium</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8</v>
      </c>
      <c r="F22" s="23">
        <f>IF(D22="major",Parameters!$B$14,IF(D22="medium",Parameters!$B$15,Parameters!$B$16))</f>
        <v>2</v>
      </c>
      <c r="G22" s="16">
        <f t="shared" si="0"/>
        <v>1</v>
      </c>
      <c r="H22" s="24">
        <f>Parameters!$B$20^(G22-1)</f>
        <v>1</v>
      </c>
      <c r="I22" s="18">
        <f t="shared" si="1"/>
        <v>16</v>
      </c>
    </row>
    <row r="23" spans="1:9" ht="13.15" x14ac:dyDescent="0.35">
      <c r="A23" s="21">
        <v>22</v>
      </c>
      <c r="B23" s="16">
        <f>'Data LLAMA'!B23</f>
        <v>6</v>
      </c>
      <c r="C23" s="22" t="str">
        <f>'Data LLAMA'!F23</f>
        <v>reasoning</v>
      </c>
      <c r="D23" s="16" t="str">
        <f>LOWER(TRIM('Data LLAMA'!H23))</f>
        <v>major</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2</v>
      </c>
      <c r="F23" s="23">
        <f>IF(D23="major",Parameters!$B$14,IF(D23="medium",Parameters!$B$15,Parameters!$B$16))</f>
        <v>3</v>
      </c>
      <c r="G23" s="16">
        <f t="shared" si="0"/>
        <v>2</v>
      </c>
      <c r="H23" s="24">
        <f>Parameters!$B$20^(G23-1)</f>
        <v>0.7</v>
      </c>
      <c r="I23" s="18">
        <f t="shared" si="1"/>
        <v>4.1999999999999993</v>
      </c>
    </row>
    <row r="24" spans="1:9" ht="13.15" x14ac:dyDescent="0.35">
      <c r="A24" s="21">
        <v>23</v>
      </c>
      <c r="B24" s="16">
        <f>'Data LLAMA'!B24</f>
        <v>6</v>
      </c>
      <c r="C24" s="22" t="str">
        <f>'Data LLAMA'!F24</f>
        <v>reasoning</v>
      </c>
      <c r="D24" s="16" t="str">
        <f>LOWER(TRIM('Data LLAMA'!H24))</f>
        <v>major</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2</v>
      </c>
      <c r="F24" s="23">
        <f>IF(D24="major",Parameters!$B$14,IF(D24="medium",Parameters!$B$15,Parameters!$B$16))</f>
        <v>3</v>
      </c>
      <c r="G24" s="16">
        <f t="shared" si="0"/>
        <v>3</v>
      </c>
      <c r="H24" s="24">
        <f>Parameters!$B$20^(G24-1)</f>
        <v>0.48999999999999994</v>
      </c>
      <c r="I24" s="18">
        <f t="shared" si="1"/>
        <v>2.9399999999999995</v>
      </c>
    </row>
    <row r="25" spans="1:9" ht="13.15" x14ac:dyDescent="0.35">
      <c r="A25" s="21">
        <v>24</v>
      </c>
      <c r="B25" s="16">
        <f>'Data LLAMA'!B25</f>
        <v>6</v>
      </c>
      <c r="C25" s="22" t="str">
        <f>'Data LLAMA'!F25</f>
        <v>reasoning</v>
      </c>
      <c r="D25" s="16" t="str">
        <f>LOWER(TRIM('Data LLAMA'!H25))</f>
        <v>minor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2</v>
      </c>
      <c r="F25" s="23">
        <f>IF(D25="major",Parameters!$B$14,IF(D25="medium",Parameters!$B$15,Parameters!$B$16))</f>
        <v>1</v>
      </c>
      <c r="G25" s="16">
        <f t="shared" si="0"/>
        <v>6</v>
      </c>
      <c r="H25" s="24">
        <f>Parameters!$B$20^(G25-1)</f>
        <v>0.16806999999999994</v>
      </c>
      <c r="I25" s="18">
        <f t="shared" si="1"/>
        <v>0.33613999999999988</v>
      </c>
    </row>
    <row r="26" spans="1:9" ht="13.15" x14ac:dyDescent="0.35">
      <c r="A26" s="21">
        <v>25</v>
      </c>
      <c r="B26" s="16">
        <f>'Data LLAMA'!B26</f>
        <v>6</v>
      </c>
      <c r="C26" s="22" t="str">
        <f>'Data LLAMA'!F26</f>
        <v>reasoning</v>
      </c>
      <c r="D26" s="16" t="str">
        <f>LOWER(TRIM('Data LLAMA'!H26))</f>
        <v>major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2</v>
      </c>
      <c r="F26" s="23">
        <f>IF(D26="major",Parameters!$B$14,IF(D26="medium",Parameters!$B$15,Parameters!$B$16))</f>
        <v>3</v>
      </c>
      <c r="G26" s="16">
        <f t="shared" si="0"/>
        <v>4</v>
      </c>
      <c r="H26" s="24">
        <f>Parameters!$B$20^(G26-1)</f>
        <v>0.34299999999999992</v>
      </c>
      <c r="I26" s="18">
        <f t="shared" si="1"/>
        <v>2.0579999999999994</v>
      </c>
    </row>
    <row r="27" spans="1:9" ht="13.15" x14ac:dyDescent="0.35">
      <c r="A27" s="21">
        <v>26</v>
      </c>
      <c r="B27" s="16">
        <f>'Data LLAMA'!B27</f>
        <v>6</v>
      </c>
      <c r="C27" s="22" t="str">
        <f>'Data LLAMA'!F27</f>
        <v>reasoning</v>
      </c>
      <c r="D27" s="16" t="str">
        <f>LOWER(TRIM('Data LLAMA'!H27))</f>
        <v>major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2</v>
      </c>
      <c r="F27" s="23">
        <f>IF(D27="major",Parameters!$B$14,IF(D27="medium",Parameters!$B$15,Parameters!$B$16))</f>
        <v>3</v>
      </c>
      <c r="G27" s="16">
        <f t="shared" si="0"/>
        <v>5</v>
      </c>
      <c r="H27" s="24">
        <f>Parameters!$B$20^(G27-1)</f>
        <v>0.24009999999999992</v>
      </c>
      <c r="I27" s="18">
        <f t="shared" si="1"/>
        <v>1.4405999999999994</v>
      </c>
    </row>
    <row r="28" spans="1:9" ht="13.15" x14ac:dyDescent="0.35">
      <c r="A28" s="21">
        <v>27</v>
      </c>
      <c r="B28" s="16">
        <f>'Data LLAMA'!B28</f>
        <v>7</v>
      </c>
      <c r="C28" s="22" t="str">
        <f>'Data LLAMA'!F28</f>
        <v>reasoning</v>
      </c>
      <c r="D28" s="16" t="str">
        <f>LOWER(TRIM('Data LLAMA'!H28))</f>
        <v>major</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2</v>
      </c>
      <c r="F28" s="23">
        <f>IF(D28="major",Parameters!$B$14,IF(D28="medium",Parameters!$B$15,Parameters!$B$16))</f>
        <v>3</v>
      </c>
      <c r="G28" s="16">
        <f t="shared" si="0"/>
        <v>1</v>
      </c>
      <c r="H28" s="24">
        <f>Parameters!$B$20^(G28-1)</f>
        <v>1</v>
      </c>
      <c r="I28" s="18">
        <f t="shared" si="1"/>
        <v>6</v>
      </c>
    </row>
    <row r="29" spans="1:9" ht="13.15" x14ac:dyDescent="0.35">
      <c r="A29" s="21">
        <v>28</v>
      </c>
      <c r="B29" s="16">
        <f>'Data LLAMA'!B29</f>
        <v>7</v>
      </c>
      <c r="C29" s="22" t="str">
        <f>'Data LLAMA'!F29</f>
        <v>reasoning</v>
      </c>
      <c r="D29" s="16" t="str">
        <f>LOWER(TRIM('Data LLAMA'!H29))</f>
        <v>medium</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2</v>
      </c>
      <c r="G29" s="16">
        <f t="shared" si="0"/>
        <v>3</v>
      </c>
      <c r="H29" s="24">
        <f>Parameters!$B$20^(G29-1)</f>
        <v>0.48999999999999994</v>
      </c>
      <c r="I29" s="18">
        <f t="shared" si="1"/>
        <v>1.9599999999999997</v>
      </c>
    </row>
    <row r="30" spans="1:9" ht="13.15" x14ac:dyDescent="0.35">
      <c r="A30" s="21">
        <v>29</v>
      </c>
      <c r="B30" s="16">
        <f>'Data LLAMA'!B30</f>
        <v>7</v>
      </c>
      <c r="C30" s="22" t="str">
        <f>'Data LLAMA'!F30</f>
        <v>reasoning</v>
      </c>
      <c r="D30" s="16" t="str">
        <f>LOWER(TRIM('Data LLAMA'!H30))</f>
        <v>major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2</v>
      </c>
      <c r="F30" s="23">
        <f>IF(D30="major",Parameters!$B$14,IF(D30="medium",Parameters!$B$15,Parameters!$B$16))</f>
        <v>3</v>
      </c>
      <c r="G30" s="16">
        <f t="shared" si="0"/>
        <v>2</v>
      </c>
      <c r="H30" s="24">
        <f>Parameters!$B$20^(G30-1)</f>
        <v>0.7</v>
      </c>
      <c r="I30" s="18">
        <f t="shared" si="1"/>
        <v>4.1999999999999993</v>
      </c>
    </row>
    <row r="31" spans="1:9" ht="13.15" x14ac:dyDescent="0.35">
      <c r="A31" s="21">
        <v>30</v>
      </c>
      <c r="B31" s="16">
        <f>'Data LLAMA'!B31</f>
        <v>7</v>
      </c>
      <c r="C31" s="22" t="str">
        <f>'Data LLAMA'!F31</f>
        <v>reasoning</v>
      </c>
      <c r="D31" s="16" t="str">
        <f>LOWER(TRIM('Data LLAMA'!H31))</f>
        <v>medium</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2</v>
      </c>
      <c r="G31" s="16">
        <f t="shared" si="0"/>
        <v>4</v>
      </c>
      <c r="H31" s="24">
        <f>Parameters!$B$20^(G31-1)</f>
        <v>0.34299999999999992</v>
      </c>
      <c r="I31" s="18">
        <f t="shared" si="1"/>
        <v>1.3719999999999997</v>
      </c>
    </row>
    <row r="32" spans="1:9" ht="13.15" x14ac:dyDescent="0.35">
      <c r="A32" s="21">
        <v>31</v>
      </c>
      <c r="B32" s="16">
        <f>'Data LLAMA'!B32</f>
        <v>7</v>
      </c>
      <c r="C32" s="22" t="str">
        <f>'Data LLAMA'!F32</f>
        <v>reasoning</v>
      </c>
      <c r="D32" s="16" t="str">
        <f>LOWER(TRIM('Data LLAMA'!H32))</f>
        <v>minor</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1</v>
      </c>
      <c r="G32" s="16">
        <f t="shared" si="0"/>
        <v>6</v>
      </c>
      <c r="H32" s="24">
        <f>Parameters!$B$20^(G32-1)</f>
        <v>0.16806999999999994</v>
      </c>
      <c r="I32" s="18">
        <f t="shared" si="1"/>
        <v>0.33613999999999988</v>
      </c>
    </row>
    <row r="33" spans="1:9" ht="13.15" x14ac:dyDescent="0.35">
      <c r="A33" s="21">
        <v>32</v>
      </c>
      <c r="B33" s="16">
        <f>'Data LLAMA'!B33</f>
        <v>7</v>
      </c>
      <c r="C33" s="22" t="str">
        <f>'Data LLAMA'!F33</f>
        <v>reasoning</v>
      </c>
      <c r="D33" s="16" t="str">
        <f>LOWER(TRIM('Data LLAMA'!H33))</f>
        <v>minor</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2</v>
      </c>
      <c r="F33" s="23">
        <f>IF(D33="major",Parameters!$B$14,IF(D33="medium",Parameters!$B$15,Parameters!$B$16))</f>
        <v>1</v>
      </c>
      <c r="G33" s="16">
        <f t="shared" si="0"/>
        <v>7</v>
      </c>
      <c r="H33" s="24">
        <f>Parameters!$B$20^(G33-1)</f>
        <v>0.11764899999999995</v>
      </c>
      <c r="I33" s="18">
        <f t="shared" si="1"/>
        <v>0.2352979999999999</v>
      </c>
    </row>
    <row r="34" spans="1:9" ht="13.15" x14ac:dyDescent="0.35">
      <c r="A34" s="21">
        <v>33</v>
      </c>
      <c r="B34" s="16">
        <f>'Data LLAMA'!B34</f>
        <v>7</v>
      </c>
      <c r="C34" s="22" t="str">
        <f>'Data LLAMA'!F34</f>
        <v>piece_relations</v>
      </c>
      <c r="D34" s="16" t="str">
        <f>LOWER(TRIM('Data LLAMA'!H34))</f>
        <v>major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4</v>
      </c>
      <c r="F34" s="23">
        <f>IF(D34="major",Parameters!$B$14,IF(D34="medium",Parameters!$B$15,Parameters!$B$16))</f>
        <v>3</v>
      </c>
      <c r="G34" s="16">
        <f t="shared" ref="G34:G65" si="2">COUNTIFS($B$2:$B$132,B34,$C$2:$C$132,C34,$F$2:$F$132,"&gt;"&amp;F34)+COUNTIFS($B$2:$B$132,B34,$C$2:$C$132,C34,$F$2:$F$132,F34,$A$2:$A$132,"&lt;="&amp;A34)</f>
        <v>1</v>
      </c>
      <c r="H34" s="24">
        <f>Parameters!$B$20^(G34-1)</f>
        <v>1</v>
      </c>
      <c r="I34" s="18">
        <f t="shared" si="1"/>
        <v>12</v>
      </c>
    </row>
    <row r="35" spans="1:9" ht="13.15" x14ac:dyDescent="0.35">
      <c r="A35" s="21">
        <v>34</v>
      </c>
      <c r="B35" s="16">
        <f>'Data LLAMA'!B35</f>
        <v>7</v>
      </c>
      <c r="C35" s="22" t="str">
        <f>'Data LLAMA'!F35</f>
        <v>piece_relations</v>
      </c>
      <c r="D35" s="16" t="str">
        <f>LOWER(TRIM('Data LLAMA'!H35))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4</v>
      </c>
      <c r="F35" s="23">
        <f>IF(D35="major",Parameters!$B$14,IF(D35="medium",Parameters!$B$15,Parameters!$B$16))</f>
        <v>3</v>
      </c>
      <c r="G35" s="16">
        <f t="shared" si="2"/>
        <v>2</v>
      </c>
      <c r="H35" s="24">
        <f>Parameters!$B$20^(G35-1)</f>
        <v>0.7</v>
      </c>
      <c r="I35" s="18">
        <f t="shared" si="1"/>
        <v>8.3999999999999986</v>
      </c>
    </row>
    <row r="36" spans="1:9" ht="13.15" x14ac:dyDescent="0.35">
      <c r="A36" s="21">
        <v>35</v>
      </c>
      <c r="B36" s="16">
        <f>'Data LLAMA'!B36</f>
        <v>7</v>
      </c>
      <c r="C36" s="22" t="str">
        <f>'Data LLAMA'!F36</f>
        <v>reasoning</v>
      </c>
      <c r="D36" s="16" t="str">
        <f>LOWER(TRIM('Data LLAMA'!H36))</f>
        <v>medium</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2</v>
      </c>
      <c r="F36" s="23">
        <f>IF(D36="major",Parameters!$B$14,IF(D36="medium",Parameters!$B$15,Parameters!$B$16))</f>
        <v>2</v>
      </c>
      <c r="G36" s="16">
        <f t="shared" si="2"/>
        <v>5</v>
      </c>
      <c r="H36" s="24">
        <f>Parameters!$B$20^(G36-1)</f>
        <v>0.24009999999999992</v>
      </c>
      <c r="I36" s="18">
        <f t="shared" si="1"/>
        <v>0.9603999999999997</v>
      </c>
    </row>
    <row r="37" spans="1:9" ht="13.15" x14ac:dyDescent="0.35">
      <c r="A37" s="21">
        <v>36</v>
      </c>
      <c r="B37" s="16">
        <f>'Data LLAMA'!B37</f>
        <v>8</v>
      </c>
      <c r="C37" s="22" t="str">
        <f>'Data LLAMA'!F37</f>
        <v>geometry</v>
      </c>
      <c r="D37" s="16" t="str">
        <f>LOWER(TRIM('Data LLAMA'!H37))</f>
        <v>major</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3</v>
      </c>
      <c r="F37" s="23">
        <f>IF(D37="major",Parameters!$B$14,IF(D37="medium",Parameters!$B$15,Parameters!$B$16))</f>
        <v>3</v>
      </c>
      <c r="G37" s="16">
        <f t="shared" si="2"/>
        <v>1</v>
      </c>
      <c r="H37" s="24">
        <f>Parameters!$B$20^(G37-1)</f>
        <v>1</v>
      </c>
      <c r="I37" s="18">
        <f t="shared" si="1"/>
        <v>9</v>
      </c>
    </row>
    <row r="38" spans="1:9" ht="13.15" x14ac:dyDescent="0.35">
      <c r="A38" s="21">
        <v>37</v>
      </c>
      <c r="B38" s="16">
        <f>'Data LLAMA'!B38</f>
        <v>8</v>
      </c>
      <c r="C38" s="22" t="str">
        <f>'Data LLAMA'!F38</f>
        <v>piece_relations</v>
      </c>
      <c r="D38" s="16" t="str">
        <f>LOWER(TRIM('Data LLAMA'!H38))</f>
        <v>major</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4</v>
      </c>
      <c r="F38" s="23">
        <f>IF(D38="major",Parameters!$B$14,IF(D38="medium",Parameters!$B$15,Parameters!$B$16))</f>
        <v>3</v>
      </c>
      <c r="G38" s="16">
        <f t="shared" si="2"/>
        <v>1</v>
      </c>
      <c r="H38" s="24">
        <f>Parameters!$B$20^(G38-1)</f>
        <v>1</v>
      </c>
      <c r="I38" s="18">
        <f t="shared" si="1"/>
        <v>12</v>
      </c>
    </row>
    <row r="39" spans="1:9" ht="13.15" x14ac:dyDescent="0.35">
      <c r="A39" s="21">
        <v>38</v>
      </c>
      <c r="B39" s="16">
        <f>'Data LLAMA'!B39</f>
        <v>8</v>
      </c>
      <c r="C39" s="22" t="str">
        <f>'Data LLAMA'!F39</f>
        <v>reasoning</v>
      </c>
      <c r="D39" s="16" t="str">
        <f>LOWER(TRIM('Data LLAMA'!H39))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2</v>
      </c>
      <c r="F39" s="23">
        <f>IF(D39="major",Parameters!$B$14,IF(D39="medium",Parameters!$B$15,Parameters!$B$16))</f>
        <v>3</v>
      </c>
      <c r="G39" s="16">
        <f t="shared" si="2"/>
        <v>1</v>
      </c>
      <c r="H39" s="24">
        <f>Parameters!$B$20^(G39-1)</f>
        <v>1</v>
      </c>
      <c r="I39" s="18">
        <f t="shared" si="1"/>
        <v>6</v>
      </c>
    </row>
    <row r="40" spans="1:9" ht="13.15" x14ac:dyDescent="0.35">
      <c r="A40" s="21">
        <v>39</v>
      </c>
      <c r="B40" s="16">
        <f>'Data LLAMA'!B40</f>
        <v>8</v>
      </c>
      <c r="C40" s="22" t="str">
        <f>'Data LLAMA'!F40</f>
        <v>piece_placement</v>
      </c>
      <c r="D40" s="16" t="str">
        <f>LOWER(TRIM('Data LLAMA'!H40))</f>
        <v>major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6</v>
      </c>
      <c r="F40" s="23">
        <f>IF(D40="major",Parameters!$B$14,IF(D40="medium",Parameters!$B$15,Parameters!$B$16))</f>
        <v>3</v>
      </c>
      <c r="G40" s="16">
        <f t="shared" si="2"/>
        <v>1</v>
      </c>
      <c r="H40" s="24">
        <f>Parameters!$B$20^(G40-1)</f>
        <v>1</v>
      </c>
      <c r="I40" s="18">
        <f t="shared" si="1"/>
        <v>18</v>
      </c>
    </row>
    <row r="41" spans="1:9" ht="13.15" x14ac:dyDescent="0.35">
      <c r="A41" s="21">
        <v>40</v>
      </c>
      <c r="B41" s="16">
        <f>'Data LLAMA'!B41</f>
        <v>8</v>
      </c>
      <c r="C41" s="22" t="str">
        <f>'Data LLAMA'!F41</f>
        <v>piece_relations</v>
      </c>
      <c r="D41" s="16" t="str">
        <f>LOWER(TRIM('Data LLAMA'!H41))</f>
        <v>major</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4</v>
      </c>
      <c r="F41" s="23">
        <f>IF(D41="major",Parameters!$B$14,IF(D41="medium",Parameters!$B$15,Parameters!$B$16))</f>
        <v>3</v>
      </c>
      <c r="G41" s="16">
        <f t="shared" si="2"/>
        <v>2</v>
      </c>
      <c r="H41" s="24">
        <f>Parameters!$B$20^(G41-1)</f>
        <v>0.7</v>
      </c>
      <c r="I41" s="18">
        <f t="shared" si="1"/>
        <v>8.3999999999999986</v>
      </c>
    </row>
    <row r="42" spans="1:9" ht="13.15" x14ac:dyDescent="0.35">
      <c r="A42" s="21">
        <v>41</v>
      </c>
      <c r="B42" s="16">
        <f>'Data LLAMA'!B42</f>
        <v>8</v>
      </c>
      <c r="C42" s="22" t="str">
        <f>'Data LLAMA'!F42</f>
        <v>reasoning</v>
      </c>
      <c r="D42" s="16" t="str">
        <f>LOWER(TRIM('Data LLAMA'!H42))</f>
        <v>medium</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2</v>
      </c>
      <c r="F42" s="23">
        <f>IF(D42="major",Parameters!$B$14,IF(D42="medium",Parameters!$B$15,Parameters!$B$16))</f>
        <v>2</v>
      </c>
      <c r="G42" s="16">
        <f t="shared" si="2"/>
        <v>2</v>
      </c>
      <c r="H42" s="24">
        <f>Parameters!$B$20^(G42-1)</f>
        <v>0.7</v>
      </c>
      <c r="I42" s="18">
        <f t="shared" si="1"/>
        <v>2.8</v>
      </c>
    </row>
    <row r="43" spans="1:9" ht="13.15" x14ac:dyDescent="0.35">
      <c r="A43" s="21">
        <v>42</v>
      </c>
      <c r="B43" s="16">
        <f>'Data LLAMA'!B43</f>
        <v>9</v>
      </c>
      <c r="C43" s="22" t="str">
        <f>'Data LLAMA'!F43</f>
        <v>piece_placement</v>
      </c>
      <c r="D43" s="16" t="str">
        <f>LOWER(TRIM('Data LLAMA'!H43))</f>
        <v>major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6</v>
      </c>
      <c r="F43" s="23">
        <f>IF(D43="major",Parameters!$B$14,IF(D43="medium",Parameters!$B$15,Parameters!$B$16))</f>
        <v>3</v>
      </c>
      <c r="G43" s="16">
        <f t="shared" si="2"/>
        <v>1</v>
      </c>
      <c r="H43" s="24">
        <f>Parameters!$B$20^(G43-1)</f>
        <v>1</v>
      </c>
      <c r="I43" s="18">
        <f t="shared" si="1"/>
        <v>18</v>
      </c>
    </row>
    <row r="44" spans="1:9" ht="13.15" x14ac:dyDescent="0.35">
      <c r="A44" s="21">
        <v>43</v>
      </c>
      <c r="B44" s="16">
        <f>'Data LLAMA'!B44</f>
        <v>9</v>
      </c>
      <c r="C44" s="22" t="str">
        <f>'Data LLAMA'!F44</f>
        <v>reasoning</v>
      </c>
      <c r="D44" s="16" t="str">
        <f>LOWER(TRIM('Data LLAMA'!H44))</f>
        <v>medium</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2</v>
      </c>
      <c r="F44" s="23">
        <f>IF(D44="major",Parameters!$B$14,IF(D44="medium",Parameters!$B$15,Parameters!$B$16))</f>
        <v>2</v>
      </c>
      <c r="G44" s="16">
        <f t="shared" si="2"/>
        <v>2</v>
      </c>
      <c r="H44" s="24">
        <f>Parameters!$B$20^(G44-1)</f>
        <v>0.7</v>
      </c>
      <c r="I44" s="18">
        <f t="shared" si="1"/>
        <v>2.8</v>
      </c>
    </row>
    <row r="45" spans="1:9" ht="13.15" x14ac:dyDescent="0.35">
      <c r="A45" s="21">
        <v>44</v>
      </c>
      <c r="B45" s="16">
        <f>'Data LLAMA'!B45</f>
        <v>9</v>
      </c>
      <c r="C45" s="22" t="str">
        <f>'Data LLAMA'!F45</f>
        <v>reasoning</v>
      </c>
      <c r="D45" s="16" t="str">
        <f>LOWER(TRIM('Data LLAMA'!H45))</f>
        <v>minor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2</v>
      </c>
      <c r="F45" s="23">
        <f>IF(D45="major",Parameters!$B$14,IF(D45="medium",Parameters!$B$15,Parameters!$B$16))</f>
        <v>1</v>
      </c>
      <c r="G45" s="16">
        <f t="shared" si="2"/>
        <v>3</v>
      </c>
      <c r="H45" s="24">
        <f>Parameters!$B$20^(G45-1)</f>
        <v>0.48999999999999994</v>
      </c>
      <c r="I45" s="18">
        <f t="shared" si="1"/>
        <v>0.97999999999999987</v>
      </c>
    </row>
    <row r="46" spans="1:9" ht="13.15" x14ac:dyDescent="0.35">
      <c r="A46" s="21">
        <v>45</v>
      </c>
      <c r="B46" s="16">
        <f>'Data LLAMA'!B46</f>
        <v>9</v>
      </c>
      <c r="C46" s="22" t="str">
        <f>'Data LLAMA'!F46</f>
        <v>reasoning</v>
      </c>
      <c r="D46" s="16" t="str">
        <f>LOWER(TRIM('Data LLAMA'!H46))</f>
        <v>minor</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2</v>
      </c>
      <c r="F46" s="23">
        <f>IF(D46="major",Parameters!$B$14,IF(D46="medium",Parameters!$B$15,Parameters!$B$16))</f>
        <v>1</v>
      </c>
      <c r="G46" s="16">
        <f t="shared" si="2"/>
        <v>4</v>
      </c>
      <c r="H46" s="24">
        <f>Parameters!$B$20^(G46-1)</f>
        <v>0.34299999999999992</v>
      </c>
      <c r="I46" s="18">
        <f t="shared" si="1"/>
        <v>0.68599999999999983</v>
      </c>
    </row>
    <row r="47" spans="1:9" ht="13.15" x14ac:dyDescent="0.35">
      <c r="A47" s="21">
        <v>46</v>
      </c>
      <c r="B47" s="16">
        <f>'Data LLAMA'!B47</f>
        <v>9</v>
      </c>
      <c r="C47" s="22" t="str">
        <f>'Data LLAMA'!F47</f>
        <v>piece_placement</v>
      </c>
      <c r="D47" s="16" t="str">
        <f>LOWER(TRIM('Data LLAMA'!H47))</f>
        <v>major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6</v>
      </c>
      <c r="F47" s="23">
        <f>IF(D47="major",Parameters!$B$14,IF(D47="medium",Parameters!$B$15,Parameters!$B$16))</f>
        <v>3</v>
      </c>
      <c r="G47" s="16">
        <f t="shared" si="2"/>
        <v>2</v>
      </c>
      <c r="H47" s="24">
        <f>Parameters!$B$20^(G47-1)</f>
        <v>0.7</v>
      </c>
      <c r="I47" s="18">
        <f t="shared" si="1"/>
        <v>12.6</v>
      </c>
    </row>
    <row r="48" spans="1:9" ht="13.15" x14ac:dyDescent="0.35">
      <c r="A48" s="21">
        <v>47</v>
      </c>
      <c r="B48" s="16">
        <f>'Data LLAMA'!B48</f>
        <v>9</v>
      </c>
      <c r="C48" s="22" t="str">
        <f>'Data LLAMA'!F48</f>
        <v>reasoning</v>
      </c>
      <c r="D48" s="16" t="str">
        <f>LOWER(TRIM('Data LLAMA'!H48))</f>
        <v>major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3</v>
      </c>
      <c r="G48" s="16">
        <f t="shared" si="2"/>
        <v>1</v>
      </c>
      <c r="H48" s="24">
        <f>Parameters!$B$20^(G48-1)</f>
        <v>1</v>
      </c>
      <c r="I48" s="18">
        <f t="shared" si="1"/>
        <v>6</v>
      </c>
    </row>
    <row r="49" spans="1:9" ht="13.15" x14ac:dyDescent="0.35">
      <c r="A49" s="21">
        <v>48</v>
      </c>
      <c r="B49" s="16">
        <f>'Data LLAMA'!B49</f>
        <v>10</v>
      </c>
      <c r="C49" s="22" t="str">
        <f>'Data LLAMA'!F49</f>
        <v>reasoning</v>
      </c>
      <c r="D49" s="16" t="str">
        <f>LOWER(TRIM('Data LLAMA'!H49))</f>
        <v>major</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2</v>
      </c>
      <c r="F49" s="23">
        <f>IF(D49="major",Parameters!$B$14,IF(D49="medium",Parameters!$B$15,Parameters!$B$16))</f>
        <v>3</v>
      </c>
      <c r="G49" s="16">
        <f t="shared" si="2"/>
        <v>1</v>
      </c>
      <c r="H49" s="24">
        <f>Parameters!$B$20^(G49-1)</f>
        <v>1</v>
      </c>
      <c r="I49" s="18">
        <f t="shared" si="1"/>
        <v>6</v>
      </c>
    </row>
    <row r="50" spans="1:9" ht="13.15" x14ac:dyDescent="0.35">
      <c r="A50" s="21">
        <v>49</v>
      </c>
      <c r="B50" s="16">
        <f>'Data LLAMA'!B50</f>
        <v>10</v>
      </c>
      <c r="C50" s="22" t="str">
        <f>'Data LLAMA'!F50</f>
        <v>piece_relations</v>
      </c>
      <c r="D50" s="16" t="str">
        <f>LOWER(TRIM('Data LLAMA'!H50))</f>
        <v>major</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4</v>
      </c>
      <c r="F50" s="23">
        <f>IF(D50="major",Parameters!$B$14,IF(D50="medium",Parameters!$B$15,Parameters!$B$16))</f>
        <v>3</v>
      </c>
      <c r="G50" s="16">
        <f t="shared" si="2"/>
        <v>1</v>
      </c>
      <c r="H50" s="24">
        <f>Parameters!$B$20^(G50-1)</f>
        <v>1</v>
      </c>
      <c r="I50" s="18">
        <f t="shared" si="1"/>
        <v>12</v>
      </c>
    </row>
    <row r="51" spans="1:9" ht="13.15" x14ac:dyDescent="0.35">
      <c r="A51" s="21">
        <v>50</v>
      </c>
      <c r="B51" s="16">
        <f>'Data LLAMA'!B51</f>
        <v>10</v>
      </c>
      <c r="C51" s="22" t="str">
        <f>'Data LLAMA'!F51</f>
        <v>piece_relations</v>
      </c>
      <c r="D51" s="16" t="str">
        <f>LOWER(TRIM('Data LLAMA'!H51))</f>
        <v>major</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4</v>
      </c>
      <c r="F51" s="23">
        <f>IF(D51="major",Parameters!$B$14,IF(D51="medium",Parameters!$B$15,Parameters!$B$16))</f>
        <v>3</v>
      </c>
      <c r="G51" s="16">
        <f t="shared" si="2"/>
        <v>2</v>
      </c>
      <c r="H51" s="24">
        <f>Parameters!$B$20^(G51-1)</f>
        <v>0.7</v>
      </c>
      <c r="I51" s="18">
        <f t="shared" si="1"/>
        <v>8.3999999999999986</v>
      </c>
    </row>
    <row r="52" spans="1:9" ht="13.15" x14ac:dyDescent="0.35">
      <c r="A52" s="21">
        <v>51</v>
      </c>
      <c r="B52" s="16">
        <f>'Data LLAMA'!B52</f>
        <v>10</v>
      </c>
      <c r="C52" s="22" t="str">
        <f>'Data LLAMA'!F52</f>
        <v>piece_placement</v>
      </c>
      <c r="D52" s="16" t="str">
        <f>LOWER(TRIM('Data LLAMA'!H52))</f>
        <v>major</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6</v>
      </c>
      <c r="F52" s="23">
        <f>IF(D52="major",Parameters!$B$14,IF(D52="medium",Parameters!$B$15,Parameters!$B$16))</f>
        <v>3</v>
      </c>
      <c r="G52" s="16">
        <f t="shared" si="2"/>
        <v>1</v>
      </c>
      <c r="H52" s="24">
        <f>Parameters!$B$20^(G52-1)</f>
        <v>1</v>
      </c>
      <c r="I52" s="18">
        <f t="shared" si="1"/>
        <v>18</v>
      </c>
    </row>
    <row r="53" spans="1:9" ht="13.15" x14ac:dyDescent="0.35">
      <c r="A53" s="21">
        <v>52</v>
      </c>
      <c r="B53" s="16">
        <f>'Data LLAMA'!B53</f>
        <v>10</v>
      </c>
      <c r="C53" s="22" t="str">
        <f>'Data LLAMA'!F53</f>
        <v>piece_placement</v>
      </c>
      <c r="D53" s="16" t="str">
        <f>LOWER(TRIM('Data LLAMA'!H53))</f>
        <v>major</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6</v>
      </c>
      <c r="F53" s="23">
        <f>IF(D53="major",Parameters!$B$14,IF(D53="medium",Parameters!$B$15,Parameters!$B$16))</f>
        <v>3</v>
      </c>
      <c r="G53" s="16">
        <f t="shared" si="2"/>
        <v>2</v>
      </c>
      <c r="H53" s="24">
        <f>Parameters!$B$20^(G53-1)</f>
        <v>0.7</v>
      </c>
      <c r="I53" s="18">
        <f t="shared" si="1"/>
        <v>12.6</v>
      </c>
    </row>
    <row r="54" spans="1:9" ht="13.15" x14ac:dyDescent="0.35">
      <c r="A54" s="21">
        <v>53</v>
      </c>
      <c r="B54" s="16">
        <f>'Data LLAMA'!B54</f>
        <v>10</v>
      </c>
      <c r="C54" s="22" t="str">
        <f>'Data LLAMA'!F54</f>
        <v>reasoning</v>
      </c>
      <c r="D54" s="16" t="str">
        <f>LOWER(TRIM('Data LLAMA'!H54))</f>
        <v>minor</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2</v>
      </c>
      <c r="F54" s="23">
        <f>IF(D54="major",Parameters!$B$14,IF(D54="medium",Parameters!$B$15,Parameters!$B$16))</f>
        <v>1</v>
      </c>
      <c r="G54" s="16">
        <f t="shared" si="2"/>
        <v>2</v>
      </c>
      <c r="H54" s="24">
        <f>Parameters!$B$20^(G54-1)</f>
        <v>0.7</v>
      </c>
      <c r="I54" s="18">
        <f t="shared" si="1"/>
        <v>1.4</v>
      </c>
    </row>
    <row r="55" spans="1:9" ht="13.15" x14ac:dyDescent="0.35">
      <c r="A55" s="21">
        <v>54</v>
      </c>
      <c r="B55" s="16">
        <f>'Data LLAMA'!B55</f>
        <v>12</v>
      </c>
      <c r="C55" s="22" t="str">
        <f>'Data LLAMA'!F55</f>
        <v>reasoning</v>
      </c>
      <c r="D55" s="16" t="str">
        <f>LOWER(TRIM('Data LLAMA'!H55))</f>
        <v>medium</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2</v>
      </c>
      <c r="F55" s="23">
        <f>IF(D55="major",Parameters!$B$14,IF(D55="medium",Parameters!$B$15,Parameters!$B$16))</f>
        <v>2</v>
      </c>
      <c r="G55" s="16">
        <f t="shared" si="2"/>
        <v>6</v>
      </c>
      <c r="H55" s="24">
        <f>Parameters!$B$20^(G55-1)</f>
        <v>0.16806999999999994</v>
      </c>
      <c r="I55" s="18">
        <f t="shared" si="1"/>
        <v>0.67227999999999977</v>
      </c>
    </row>
    <row r="56" spans="1:9" ht="13.15" x14ac:dyDescent="0.35">
      <c r="A56" s="21">
        <v>55</v>
      </c>
      <c r="B56" s="16">
        <f>'Data LLAMA'!B56</f>
        <v>12</v>
      </c>
      <c r="C56" s="22" t="str">
        <f>'Data LLAMA'!F56</f>
        <v>reasoning</v>
      </c>
      <c r="D56" s="16" t="str">
        <f>LOWER(TRIM('Data LLAMA'!H56))</f>
        <v>medium</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2</v>
      </c>
      <c r="F56" s="23">
        <f>IF(D56="major",Parameters!$B$14,IF(D56="medium",Parameters!$B$15,Parameters!$B$16))</f>
        <v>2</v>
      </c>
      <c r="G56" s="16">
        <f t="shared" si="2"/>
        <v>7</v>
      </c>
      <c r="H56" s="24">
        <f>Parameters!$B$20^(G56-1)</f>
        <v>0.11764899999999995</v>
      </c>
      <c r="I56" s="18">
        <f t="shared" si="1"/>
        <v>0.47059599999999979</v>
      </c>
    </row>
    <row r="57" spans="1:9" ht="13.15" x14ac:dyDescent="0.35">
      <c r="A57" s="21">
        <v>56</v>
      </c>
      <c r="B57" s="16">
        <f>'Data LLAMA'!B57</f>
        <v>12</v>
      </c>
      <c r="C57" s="22" t="str">
        <f>'Data LLAMA'!F57</f>
        <v>piece_placement</v>
      </c>
      <c r="D57" s="16" t="str">
        <f>LOWER(TRIM('Data LLAMA'!H57))</f>
        <v>major</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6</v>
      </c>
      <c r="F57" s="23">
        <f>IF(D57="major",Parameters!$B$14,IF(D57="medium",Parameters!$B$15,Parameters!$B$16))</f>
        <v>3</v>
      </c>
      <c r="G57" s="16">
        <f t="shared" si="2"/>
        <v>1</v>
      </c>
      <c r="H57" s="24">
        <f>Parameters!$B$20^(G57-1)</f>
        <v>1</v>
      </c>
      <c r="I57" s="18">
        <f t="shared" si="1"/>
        <v>18</v>
      </c>
    </row>
    <row r="58" spans="1:9" ht="13.15" x14ac:dyDescent="0.35">
      <c r="A58" s="21">
        <v>57</v>
      </c>
      <c r="B58" s="16">
        <f>'Data LLAMA'!B58</f>
        <v>12</v>
      </c>
      <c r="C58" s="22" t="str">
        <f>'Data LLAMA'!F58</f>
        <v>reasoning</v>
      </c>
      <c r="D58" s="16" t="str">
        <f>LOWER(TRIM('Data LLAMA'!H58))</f>
        <v>major</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2</v>
      </c>
      <c r="F58" s="23">
        <f>IF(D58="major",Parameters!$B$14,IF(D58="medium",Parameters!$B$15,Parameters!$B$16))</f>
        <v>3</v>
      </c>
      <c r="G58" s="16">
        <f t="shared" si="2"/>
        <v>1</v>
      </c>
      <c r="H58" s="24">
        <f>Parameters!$B$20^(G58-1)</f>
        <v>1</v>
      </c>
      <c r="I58" s="18">
        <f t="shared" si="1"/>
        <v>6</v>
      </c>
    </row>
    <row r="59" spans="1:9" ht="13.15" x14ac:dyDescent="0.35">
      <c r="A59" s="21">
        <v>58</v>
      </c>
      <c r="B59" s="16">
        <f>'Data LLAMA'!B59</f>
        <v>12</v>
      </c>
      <c r="C59" s="22" t="str">
        <f>'Data LLAMA'!F59</f>
        <v>reasoning</v>
      </c>
      <c r="D59" s="16" t="str">
        <f>LOWER(TRIM('Data LLAMA'!H59))</f>
        <v>major</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2</v>
      </c>
      <c r="F59" s="23">
        <f>IF(D59="major",Parameters!$B$14,IF(D59="medium",Parameters!$B$15,Parameters!$B$16))</f>
        <v>3</v>
      </c>
      <c r="G59" s="16">
        <f t="shared" si="2"/>
        <v>2</v>
      </c>
      <c r="H59" s="24">
        <f>Parameters!$B$20^(G59-1)</f>
        <v>0.7</v>
      </c>
      <c r="I59" s="18">
        <f t="shared" si="1"/>
        <v>4.1999999999999993</v>
      </c>
    </row>
    <row r="60" spans="1:9" ht="13.15" x14ac:dyDescent="0.35">
      <c r="A60" s="21">
        <v>59</v>
      </c>
      <c r="B60" s="16">
        <f>'Data LLAMA'!B60</f>
        <v>12</v>
      </c>
      <c r="C60" s="22" t="str">
        <f>'Data LLAMA'!F60</f>
        <v>reasoning</v>
      </c>
      <c r="D60" s="16" t="str">
        <f>LOWER(TRIM('Data LLAMA'!H60))</f>
        <v>major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2</v>
      </c>
      <c r="F60" s="23">
        <f>IF(D60="major",Parameters!$B$14,IF(D60="medium",Parameters!$B$15,Parameters!$B$16))</f>
        <v>3</v>
      </c>
      <c r="G60" s="16">
        <f t="shared" si="2"/>
        <v>3</v>
      </c>
      <c r="H60" s="24">
        <f>Parameters!$B$20^(G60-1)</f>
        <v>0.48999999999999994</v>
      </c>
      <c r="I60" s="18">
        <f t="shared" si="1"/>
        <v>2.9399999999999995</v>
      </c>
    </row>
    <row r="61" spans="1:9" ht="13.15" x14ac:dyDescent="0.35">
      <c r="A61" s="21">
        <v>60</v>
      </c>
      <c r="B61" s="16">
        <f>'Data LLAMA'!B61</f>
        <v>12</v>
      </c>
      <c r="C61" s="22" t="str">
        <f>'Data LLAMA'!F61</f>
        <v>reasoning</v>
      </c>
      <c r="D61" s="16" t="str">
        <f>LOWER(TRIM('Data LLAMA'!H61))</f>
        <v>medium</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2</v>
      </c>
      <c r="F61" s="23">
        <f>IF(D61="major",Parameters!$B$14,IF(D61="medium",Parameters!$B$15,Parameters!$B$16))</f>
        <v>2</v>
      </c>
      <c r="G61" s="16">
        <f t="shared" si="2"/>
        <v>8</v>
      </c>
      <c r="H61" s="24">
        <f>Parameters!$B$20^(G61-1)</f>
        <v>8.235429999999995E-2</v>
      </c>
      <c r="I61" s="18">
        <f t="shared" si="1"/>
        <v>0.3294171999999998</v>
      </c>
    </row>
    <row r="62" spans="1:9" ht="13.15" x14ac:dyDescent="0.35">
      <c r="A62" s="21">
        <v>61</v>
      </c>
      <c r="B62" s="16">
        <f>'Data LLAMA'!B62</f>
        <v>12</v>
      </c>
      <c r="C62" s="22" t="str">
        <f>'Data LLAMA'!F62</f>
        <v>reasoning</v>
      </c>
      <c r="D62" s="16" t="str">
        <f>LOWER(TRIM('Data LLAMA'!H62))</f>
        <v>major</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2</v>
      </c>
      <c r="F62" s="23">
        <f>IF(D62="major",Parameters!$B$14,IF(D62="medium",Parameters!$B$15,Parameters!$B$16))</f>
        <v>3</v>
      </c>
      <c r="G62" s="16">
        <f t="shared" si="2"/>
        <v>4</v>
      </c>
      <c r="H62" s="24">
        <f>Parameters!$B$20^(G62-1)</f>
        <v>0.34299999999999992</v>
      </c>
      <c r="I62" s="18">
        <f t="shared" si="1"/>
        <v>2.0579999999999994</v>
      </c>
    </row>
    <row r="63" spans="1:9" ht="13.15" x14ac:dyDescent="0.35">
      <c r="A63" s="21">
        <v>62</v>
      </c>
      <c r="B63" s="16">
        <f>'Data LLAMA'!B63</f>
        <v>12</v>
      </c>
      <c r="C63" s="22" t="str">
        <f>'Data LLAMA'!F63</f>
        <v>reasoning</v>
      </c>
      <c r="D63" s="16" t="str">
        <f>LOWER(TRIM('Data LLAMA'!H63))</f>
        <v>major</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2</v>
      </c>
      <c r="F63" s="23">
        <f>IF(D63="major",Parameters!$B$14,IF(D63="medium",Parameters!$B$15,Parameters!$B$16))</f>
        <v>3</v>
      </c>
      <c r="G63" s="16">
        <f t="shared" si="2"/>
        <v>5</v>
      </c>
      <c r="H63" s="24">
        <f>Parameters!$B$20^(G63-1)</f>
        <v>0.24009999999999992</v>
      </c>
      <c r="I63" s="18">
        <f t="shared" si="1"/>
        <v>1.4405999999999994</v>
      </c>
    </row>
    <row r="64" spans="1:9" ht="13.15" x14ac:dyDescent="0.35">
      <c r="A64" s="21">
        <v>63</v>
      </c>
      <c r="B64" s="16">
        <f>'Data LLAMA'!B64</f>
        <v>12</v>
      </c>
      <c r="C64" s="22" t="str">
        <f>'Data LLAMA'!F64</f>
        <v>material</v>
      </c>
      <c r="D64" s="16" t="str">
        <f>LOWER(TRIM('Data LLAMA'!H64))</f>
        <v>minor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5</v>
      </c>
      <c r="F64" s="23">
        <f>IF(D64="major",Parameters!$B$14,IF(D64="medium",Parameters!$B$15,Parameters!$B$16))</f>
        <v>1</v>
      </c>
      <c r="G64" s="16">
        <f t="shared" si="2"/>
        <v>1</v>
      </c>
      <c r="H64" s="24">
        <f>Parameters!$B$20^(G64-1)</f>
        <v>1</v>
      </c>
      <c r="I64" s="18">
        <f t="shared" si="1"/>
        <v>5</v>
      </c>
    </row>
    <row r="65" spans="1:9" ht="13.15" x14ac:dyDescent="0.35">
      <c r="A65" s="21">
        <v>64</v>
      </c>
      <c r="B65" s="16">
        <f>'Data LLAMA'!B65</f>
        <v>13</v>
      </c>
      <c r="C65" s="22" t="str">
        <f>'Data LLAMA'!F65</f>
        <v>reasoning</v>
      </c>
      <c r="D65" s="16" t="str">
        <f>LOWER(TRIM('Data LLAMA'!H65))</f>
        <v>minor</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2</v>
      </c>
      <c r="F65" s="23">
        <f>IF(D65="major",Parameters!$B$14,IF(D65="medium",Parameters!$B$15,Parameters!$B$16))</f>
        <v>1</v>
      </c>
      <c r="G65" s="16">
        <f t="shared" si="2"/>
        <v>2</v>
      </c>
      <c r="H65" s="24">
        <f>Parameters!$B$20^(G65-1)</f>
        <v>0.7</v>
      </c>
      <c r="I65" s="18">
        <f t="shared" si="1"/>
        <v>1.4</v>
      </c>
    </row>
    <row r="66" spans="1:9" ht="13.15" x14ac:dyDescent="0.35">
      <c r="A66" s="21">
        <v>65</v>
      </c>
      <c r="B66" s="16">
        <f>'Data LLAMA'!B66</f>
        <v>13</v>
      </c>
      <c r="C66" s="22" t="str">
        <f>'Data LLAMA'!F66</f>
        <v>reasoning</v>
      </c>
      <c r="D66" s="16" t="str">
        <f>LOWER(TRIM('Data LLAMA'!H66))</f>
        <v>minor</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1</v>
      </c>
      <c r="G66" s="16">
        <f t="shared" ref="G66:G97" si="3">COUNTIFS($B$2:$B$132,B66,$C$2:$C$132,C66,$F$2:$F$132,"&gt;"&amp;F66)+COUNTIFS($B$2:$B$132,B66,$C$2:$C$132,C66,$F$2:$F$132,F66,$A$2:$A$132,"&lt;="&amp;A66)</f>
        <v>3</v>
      </c>
      <c r="H66" s="24">
        <f>Parameters!$B$20^(G66-1)</f>
        <v>0.48999999999999994</v>
      </c>
      <c r="I66" s="18">
        <f t="shared" si="1"/>
        <v>0.97999999999999987</v>
      </c>
    </row>
    <row r="67" spans="1:9" ht="13.15" x14ac:dyDescent="0.35">
      <c r="A67" s="21">
        <v>66</v>
      </c>
      <c r="B67" s="16">
        <f>'Data LLAMA'!B67</f>
        <v>13</v>
      </c>
      <c r="C67" s="22" t="str">
        <f>'Data LLAMA'!F67</f>
        <v>reasoning</v>
      </c>
      <c r="D67" s="16" t="str">
        <f>LOWER(TRIM('Data LLAMA'!H67))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2</v>
      </c>
      <c r="F67" s="23">
        <f>IF(D67="major",Parameters!$B$14,IF(D67="medium",Parameters!$B$15,Parameters!$B$16))</f>
        <v>3</v>
      </c>
      <c r="G67" s="16">
        <f t="shared" si="3"/>
        <v>1</v>
      </c>
      <c r="H67" s="24">
        <f>Parameters!$B$20^(G67-1)</f>
        <v>1</v>
      </c>
      <c r="I67" s="18">
        <f t="shared" ref="I67:I130" si="4">E67*F67*H67</f>
        <v>6</v>
      </c>
    </row>
    <row r="68" spans="1:9" ht="13.15" x14ac:dyDescent="0.35">
      <c r="A68" s="21">
        <v>67</v>
      </c>
      <c r="B68" s="16">
        <f>'Data LLAMA'!B68</f>
        <v>14</v>
      </c>
      <c r="C68" s="22" t="str">
        <f>'Data LLAMA'!F68</f>
        <v>reasoning</v>
      </c>
      <c r="D68" s="16" t="str">
        <f>LOWER(TRIM('Data LLAMA'!H68))</f>
        <v>minor</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2</v>
      </c>
      <c r="F68" s="23">
        <f>IF(D68="major",Parameters!$B$14,IF(D68="medium",Parameters!$B$15,Parameters!$B$16))</f>
        <v>1</v>
      </c>
      <c r="G68" s="16">
        <f t="shared" si="3"/>
        <v>2</v>
      </c>
      <c r="H68" s="24">
        <f>Parameters!$B$20^(G68-1)</f>
        <v>0.7</v>
      </c>
      <c r="I68" s="18">
        <f t="shared" si="4"/>
        <v>1.4</v>
      </c>
    </row>
    <row r="69" spans="1:9" ht="13.15" x14ac:dyDescent="0.35">
      <c r="A69" s="21">
        <v>68</v>
      </c>
      <c r="B69" s="16">
        <f>'Data LLAMA'!B69</f>
        <v>14</v>
      </c>
      <c r="C69" s="22" t="str">
        <f>'Data LLAMA'!F69</f>
        <v>reasoning</v>
      </c>
      <c r="D69" s="16" t="str">
        <f>LOWER(TRIM('Data LLAMA'!H69))</f>
        <v>major</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2</v>
      </c>
      <c r="F69" s="23">
        <f>IF(D69="major",Parameters!$B$14,IF(D69="medium",Parameters!$B$15,Parameters!$B$16))</f>
        <v>3</v>
      </c>
      <c r="G69" s="16">
        <f t="shared" si="3"/>
        <v>1</v>
      </c>
      <c r="H69" s="24">
        <f>Parameters!$B$20^(G69-1)</f>
        <v>1</v>
      </c>
      <c r="I69" s="18">
        <f t="shared" si="4"/>
        <v>6</v>
      </c>
    </row>
    <row r="70" spans="1:9" ht="13.15" x14ac:dyDescent="0.35">
      <c r="A70" s="21">
        <v>69</v>
      </c>
      <c r="B70" s="16">
        <f>'Data LLAMA'!B70</f>
        <v>16</v>
      </c>
      <c r="C70" s="22" t="str">
        <f>'Data LLAMA'!F70</f>
        <v>reasoning</v>
      </c>
      <c r="D70" s="16" t="str">
        <f>LOWER(TRIM('Data LLAMA'!H70))</f>
        <v>medium</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2</v>
      </c>
      <c r="F70" s="23">
        <f>IF(D70="major",Parameters!$B$14,IF(D70="medium",Parameters!$B$15,Parameters!$B$16))</f>
        <v>2</v>
      </c>
      <c r="G70" s="16">
        <f t="shared" si="3"/>
        <v>4</v>
      </c>
      <c r="H70" s="24">
        <f>Parameters!$B$20^(G70-1)</f>
        <v>0.34299999999999992</v>
      </c>
      <c r="I70" s="18">
        <f t="shared" si="4"/>
        <v>1.3719999999999997</v>
      </c>
    </row>
    <row r="71" spans="1:9" ht="13.15" x14ac:dyDescent="0.35">
      <c r="A71" s="21">
        <v>70</v>
      </c>
      <c r="B71" s="16">
        <f>'Data LLAMA'!B71</f>
        <v>16</v>
      </c>
      <c r="C71" s="22" t="str">
        <f>'Data LLAMA'!F71</f>
        <v>move_legality</v>
      </c>
      <c r="D71" s="16" t="str">
        <f>LOWER(TRIM('Data LLAMA'!H71))</f>
        <v>major</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8</v>
      </c>
      <c r="F71" s="23">
        <f>IF(D71="major",Parameters!$B$14,IF(D71="medium",Parameters!$B$15,Parameters!$B$16))</f>
        <v>3</v>
      </c>
      <c r="G71" s="16">
        <f t="shared" si="3"/>
        <v>1</v>
      </c>
      <c r="H71" s="24">
        <f>Parameters!$B$20^(G71-1)</f>
        <v>1</v>
      </c>
      <c r="I71" s="18">
        <f t="shared" si="4"/>
        <v>24</v>
      </c>
    </row>
    <row r="72" spans="1:9" ht="13.15" x14ac:dyDescent="0.35">
      <c r="A72" s="21">
        <v>71</v>
      </c>
      <c r="B72" s="16">
        <f>'Data LLAMA'!B72</f>
        <v>16</v>
      </c>
      <c r="C72" s="22" t="str">
        <f>'Data LLAMA'!F72</f>
        <v>reasoning</v>
      </c>
      <c r="D72" s="16" t="str">
        <f>LOWER(TRIM('Data LLAMA'!H72))</f>
        <v>medium</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2</v>
      </c>
      <c r="F72" s="23">
        <f>IF(D72="major",Parameters!$B$14,IF(D72="medium",Parameters!$B$15,Parameters!$B$16))</f>
        <v>2</v>
      </c>
      <c r="G72" s="16">
        <f t="shared" si="3"/>
        <v>5</v>
      </c>
      <c r="H72" s="24">
        <f>Parameters!$B$20^(G72-1)</f>
        <v>0.24009999999999992</v>
      </c>
      <c r="I72" s="18">
        <f t="shared" si="4"/>
        <v>0.9603999999999997</v>
      </c>
    </row>
    <row r="73" spans="1:9" ht="13.15" x14ac:dyDescent="0.35">
      <c r="A73" s="21">
        <v>72</v>
      </c>
      <c r="B73" s="16">
        <f>'Data LLAMA'!B73</f>
        <v>16</v>
      </c>
      <c r="C73" s="22" t="str">
        <f>'Data LLAMA'!F73</f>
        <v>piece_relations</v>
      </c>
      <c r="D73" s="16" t="str">
        <f>LOWER(TRIM('Data LLAMA'!H73))</f>
        <v>major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4</v>
      </c>
      <c r="F73" s="23">
        <f>IF(D73="major",Parameters!$B$14,IF(D73="medium",Parameters!$B$15,Parameters!$B$16))</f>
        <v>3</v>
      </c>
      <c r="G73" s="16">
        <f t="shared" si="3"/>
        <v>1</v>
      </c>
      <c r="H73" s="24">
        <f>Parameters!$B$20^(G73-1)</f>
        <v>1</v>
      </c>
      <c r="I73" s="18">
        <f t="shared" si="4"/>
        <v>12</v>
      </c>
    </row>
    <row r="74" spans="1:9" ht="13.15" x14ac:dyDescent="0.35">
      <c r="A74" s="21">
        <v>73</v>
      </c>
      <c r="B74" s="16">
        <f>'Data LLAMA'!B74</f>
        <v>16</v>
      </c>
      <c r="C74" s="22" t="str">
        <f>'Data LLAMA'!F74</f>
        <v>move_legality</v>
      </c>
      <c r="D74" s="16" t="str">
        <f>LOWER(TRIM('Data LLAMA'!H74))</f>
        <v>medium</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8</v>
      </c>
      <c r="F74" s="23">
        <f>IF(D74="major",Parameters!$B$14,IF(D74="medium",Parameters!$B$15,Parameters!$B$16))</f>
        <v>2</v>
      </c>
      <c r="G74" s="16">
        <f t="shared" si="3"/>
        <v>2</v>
      </c>
      <c r="H74" s="24">
        <f>Parameters!$B$20^(G74-1)</f>
        <v>0.7</v>
      </c>
      <c r="I74" s="18">
        <f t="shared" si="4"/>
        <v>11.2</v>
      </c>
    </row>
    <row r="75" spans="1:9" ht="13.15" x14ac:dyDescent="0.35">
      <c r="A75" s="21">
        <v>74</v>
      </c>
      <c r="B75" s="16">
        <f>'Data LLAMA'!B75</f>
        <v>16</v>
      </c>
      <c r="C75" s="22" t="str">
        <f>'Data LLAMA'!F75</f>
        <v>reasoning</v>
      </c>
      <c r="D75" s="16" t="str">
        <f>LOWER(TRIM('Data LLAMA'!H75))</f>
        <v>major</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2</v>
      </c>
      <c r="F75" s="23">
        <f>IF(D75="major",Parameters!$B$14,IF(D75="medium",Parameters!$B$15,Parameters!$B$16))</f>
        <v>3</v>
      </c>
      <c r="G75" s="16">
        <f t="shared" si="3"/>
        <v>1</v>
      </c>
      <c r="H75" s="24">
        <f>Parameters!$B$20^(G75-1)</f>
        <v>1</v>
      </c>
      <c r="I75" s="18">
        <f t="shared" si="4"/>
        <v>6</v>
      </c>
    </row>
    <row r="76" spans="1:9" ht="13.15" x14ac:dyDescent="0.35">
      <c r="A76" s="21">
        <v>75</v>
      </c>
      <c r="B76" s="16">
        <f>'Data LLAMA'!B76</f>
        <v>16</v>
      </c>
      <c r="C76" s="22" t="str">
        <f>'Data LLAMA'!F76</f>
        <v>piece_placement</v>
      </c>
      <c r="D76" s="16" t="str">
        <f>LOWER(TRIM('Data LLAMA'!H76))</f>
        <v>major</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6</v>
      </c>
      <c r="F76" s="23">
        <f>IF(D76="major",Parameters!$B$14,IF(D76="medium",Parameters!$B$15,Parameters!$B$16))</f>
        <v>3</v>
      </c>
      <c r="G76" s="16">
        <f t="shared" si="3"/>
        <v>1</v>
      </c>
      <c r="H76" s="24">
        <f>Parameters!$B$20^(G76-1)</f>
        <v>1</v>
      </c>
      <c r="I76" s="18">
        <f t="shared" si="4"/>
        <v>18</v>
      </c>
    </row>
    <row r="77" spans="1:9" ht="13.15" x14ac:dyDescent="0.35">
      <c r="A77" s="21">
        <v>76</v>
      </c>
      <c r="B77" s="16">
        <f>'Data LLAMA'!B77</f>
        <v>16</v>
      </c>
      <c r="C77" s="22" t="str">
        <f>'Data LLAMA'!F77</f>
        <v>reasoning</v>
      </c>
      <c r="D77" s="16" t="str">
        <f>LOWER(TRIM('Data LLAMA'!H77))</f>
        <v>major</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2</v>
      </c>
      <c r="F77" s="23">
        <f>IF(D77="major",Parameters!$B$14,IF(D77="medium",Parameters!$B$15,Parameters!$B$16))</f>
        <v>3</v>
      </c>
      <c r="G77" s="16">
        <f t="shared" si="3"/>
        <v>2</v>
      </c>
      <c r="H77" s="24">
        <f>Parameters!$B$20^(G77-1)</f>
        <v>0.7</v>
      </c>
      <c r="I77" s="18">
        <f t="shared" si="4"/>
        <v>4.1999999999999993</v>
      </c>
    </row>
    <row r="78" spans="1:9" ht="13.15" x14ac:dyDescent="0.35">
      <c r="A78" s="21">
        <v>77</v>
      </c>
      <c r="B78" s="16">
        <f>'Data LLAMA'!B78</f>
        <v>16</v>
      </c>
      <c r="C78" s="22" t="str">
        <f>'Data LLAMA'!F78</f>
        <v>reasoning</v>
      </c>
      <c r="D78" s="16" t="str">
        <f>LOWER(TRIM('Data LLAMA'!H78))</f>
        <v>major</v>
      </c>
      <c r="E78" s="23">
        <f>IF(ISNUMBER(SEARCH("move_legality",C78)),Parameters!$B$4,IF(ISNUMBER(SEARCH("piece_placement",C78)),Parameters!$B$5,IF(ISNUMBER(SEARCH("material",C78)),Parameters!$B$6,IF(ISNUMBER(SEARCH("piece_relations",C78)),Parameters!$B$7,IF(ISNUMBER(SEARCH("geometry",C78)),Parameters!$B$8,IF(ISNUMBER(SEARCH("reasoning",C78)),Parameters!$B$9,Parameters!$B$10))))))</f>
        <v>2</v>
      </c>
      <c r="F78" s="23">
        <f>IF(D78="major",Parameters!$B$14,IF(D78="medium",Parameters!$B$15,Parameters!$B$16))</f>
        <v>3</v>
      </c>
      <c r="G78" s="16">
        <f t="shared" si="3"/>
        <v>3</v>
      </c>
      <c r="H78" s="24">
        <f>Parameters!$B$20^(G78-1)</f>
        <v>0.48999999999999994</v>
      </c>
      <c r="I78" s="18">
        <f t="shared" si="4"/>
        <v>2.9399999999999995</v>
      </c>
    </row>
    <row r="79" spans="1:9" ht="13.15" x14ac:dyDescent="0.35">
      <c r="A79" s="21">
        <v>78</v>
      </c>
      <c r="B79" s="16">
        <f>'Data LLAMA'!B79</f>
        <v>17</v>
      </c>
      <c r="C79" s="22" t="str">
        <f>'Data LLAMA'!F79</f>
        <v>piece_relations</v>
      </c>
      <c r="D79" s="16" t="str">
        <f>LOWER(TRIM('Data LLAMA'!H79))</f>
        <v>major</v>
      </c>
      <c r="E79" s="23">
        <f>IF(ISNUMBER(SEARCH("move_legality",C79)),Parameters!$B$4,IF(ISNUMBER(SEARCH("piece_placement",C79)),Parameters!$B$5,IF(ISNUMBER(SEARCH("material",C79)),Parameters!$B$6,IF(ISNUMBER(SEARCH("piece_relations",C79)),Parameters!$B$7,IF(ISNUMBER(SEARCH("geometry",C79)),Parameters!$B$8,IF(ISNUMBER(SEARCH("reasoning",C79)),Parameters!$B$9,Parameters!$B$10))))))</f>
        <v>4</v>
      </c>
      <c r="F79" s="23">
        <f>IF(D79="major",Parameters!$B$14,IF(D79="medium",Parameters!$B$15,Parameters!$B$16))</f>
        <v>3</v>
      </c>
      <c r="G79" s="16">
        <f t="shared" si="3"/>
        <v>1</v>
      </c>
      <c r="H79" s="24">
        <f>Parameters!$B$20^(G79-1)</f>
        <v>1</v>
      </c>
      <c r="I79" s="18">
        <f t="shared" si="4"/>
        <v>12</v>
      </c>
    </row>
    <row r="80" spans="1:9" ht="13.15" x14ac:dyDescent="0.35">
      <c r="A80" s="21">
        <v>79</v>
      </c>
      <c r="B80" s="16">
        <f>'Data LLAMA'!B80</f>
        <v>17</v>
      </c>
      <c r="C80" s="22" t="str">
        <f>'Data LLAMA'!F80</f>
        <v>move_legality</v>
      </c>
      <c r="D80" s="16" t="str">
        <f>LOWER(TRIM('Data LLAMA'!H80))</f>
        <v>major</v>
      </c>
      <c r="E80" s="23">
        <f>IF(ISNUMBER(SEARCH("move_legality",C80)),Parameters!$B$4,IF(ISNUMBER(SEARCH("piece_placement",C80)),Parameters!$B$5,IF(ISNUMBER(SEARCH("material",C80)),Parameters!$B$6,IF(ISNUMBER(SEARCH("piece_relations",C80)),Parameters!$B$7,IF(ISNUMBER(SEARCH("geometry",C80)),Parameters!$B$8,IF(ISNUMBER(SEARCH("reasoning",C80)),Parameters!$B$9,Parameters!$B$10))))))</f>
        <v>8</v>
      </c>
      <c r="F80" s="23">
        <f>IF(D80="major",Parameters!$B$14,IF(D80="medium",Parameters!$B$15,Parameters!$B$16))</f>
        <v>3</v>
      </c>
      <c r="G80" s="16">
        <f t="shared" si="3"/>
        <v>1</v>
      </c>
      <c r="H80" s="24">
        <f>Parameters!$B$20^(G80-1)</f>
        <v>1</v>
      </c>
      <c r="I80" s="18">
        <f t="shared" si="4"/>
        <v>24</v>
      </c>
    </row>
    <row r="81" spans="1:9" ht="13.15" x14ac:dyDescent="0.35">
      <c r="A81" s="21">
        <v>80</v>
      </c>
      <c r="B81" s="16">
        <f>'Data LLAMA'!B81</f>
        <v>17</v>
      </c>
      <c r="C81" s="22" t="str">
        <f>'Data LLAMA'!F81</f>
        <v>reasoning</v>
      </c>
      <c r="D81" s="16" t="str">
        <f>LOWER(TRIM('Data LLAMA'!H81))</f>
        <v>minor</v>
      </c>
      <c r="E81" s="23">
        <f>IF(ISNUMBER(SEARCH("move_legality",C81)),Parameters!$B$4,IF(ISNUMBER(SEARCH("piece_placement",C81)),Parameters!$B$5,IF(ISNUMBER(SEARCH("material",C81)),Parameters!$B$6,IF(ISNUMBER(SEARCH("piece_relations",C81)),Parameters!$B$7,IF(ISNUMBER(SEARCH("geometry",C81)),Parameters!$B$8,IF(ISNUMBER(SEARCH("reasoning",C81)),Parameters!$B$9,Parameters!$B$10))))))</f>
        <v>2</v>
      </c>
      <c r="F81" s="23">
        <f>IF(D81="major",Parameters!$B$14,IF(D81="medium",Parameters!$B$15,Parameters!$B$16))</f>
        <v>1</v>
      </c>
      <c r="G81" s="16">
        <f t="shared" si="3"/>
        <v>2</v>
      </c>
      <c r="H81" s="24">
        <f>Parameters!$B$20^(G81-1)</f>
        <v>0.7</v>
      </c>
      <c r="I81" s="18">
        <f t="shared" si="4"/>
        <v>1.4</v>
      </c>
    </row>
    <row r="82" spans="1:9" ht="13.15" x14ac:dyDescent="0.35">
      <c r="A82" s="21">
        <v>81</v>
      </c>
      <c r="B82" s="16">
        <f>'Data LLAMA'!B82</f>
        <v>17</v>
      </c>
      <c r="C82" s="22" t="str">
        <f>'Data LLAMA'!F82</f>
        <v>move_legality</v>
      </c>
      <c r="D82" s="16" t="str">
        <f>LOWER(TRIM('Data LLAMA'!H82))</f>
        <v>major</v>
      </c>
      <c r="E82" s="23">
        <f>IF(ISNUMBER(SEARCH("move_legality",C82)),Parameters!$B$4,IF(ISNUMBER(SEARCH("piece_placement",C82)),Parameters!$B$5,IF(ISNUMBER(SEARCH("material",C82)),Parameters!$B$6,IF(ISNUMBER(SEARCH("piece_relations",C82)),Parameters!$B$7,IF(ISNUMBER(SEARCH("geometry",C82)),Parameters!$B$8,IF(ISNUMBER(SEARCH("reasoning",C82)),Parameters!$B$9,Parameters!$B$10))))))</f>
        <v>8</v>
      </c>
      <c r="F82" s="23">
        <f>IF(D82="major",Parameters!$B$14,IF(D82="medium",Parameters!$B$15,Parameters!$B$16))</f>
        <v>3</v>
      </c>
      <c r="G82" s="16">
        <f t="shared" si="3"/>
        <v>2</v>
      </c>
      <c r="H82" s="24">
        <f>Parameters!$B$20^(G82-1)</f>
        <v>0.7</v>
      </c>
      <c r="I82" s="18">
        <f t="shared" si="4"/>
        <v>16.799999999999997</v>
      </c>
    </row>
    <row r="83" spans="1:9" ht="13.15" x14ac:dyDescent="0.35">
      <c r="A83" s="21">
        <v>82</v>
      </c>
      <c r="B83" s="16">
        <f>'Data LLAMA'!B83</f>
        <v>17</v>
      </c>
      <c r="C83" s="22" t="str">
        <f>'Data LLAMA'!F83</f>
        <v>piece_relations</v>
      </c>
      <c r="D83" s="16" t="str">
        <f>LOWER(TRIM('Data LLAMA'!H83))</f>
        <v>major</v>
      </c>
      <c r="E83" s="23">
        <f>IF(ISNUMBER(SEARCH("move_legality",C83)),Parameters!$B$4,IF(ISNUMBER(SEARCH("piece_placement",C83)),Parameters!$B$5,IF(ISNUMBER(SEARCH("material",C83)),Parameters!$B$6,IF(ISNUMBER(SEARCH("piece_relations",C83)),Parameters!$B$7,IF(ISNUMBER(SEARCH("geometry",C83)),Parameters!$B$8,IF(ISNUMBER(SEARCH("reasoning",C83)),Parameters!$B$9,Parameters!$B$10))))))</f>
        <v>4</v>
      </c>
      <c r="F83" s="23">
        <f>IF(D83="major",Parameters!$B$14,IF(D83="medium",Parameters!$B$15,Parameters!$B$16))</f>
        <v>3</v>
      </c>
      <c r="G83" s="16">
        <f t="shared" si="3"/>
        <v>2</v>
      </c>
      <c r="H83" s="24">
        <f>Parameters!$B$20^(G83-1)</f>
        <v>0.7</v>
      </c>
      <c r="I83" s="18">
        <f t="shared" si="4"/>
        <v>8.3999999999999986</v>
      </c>
    </row>
    <row r="84" spans="1:9" ht="13.15" x14ac:dyDescent="0.35">
      <c r="A84" s="21">
        <v>83</v>
      </c>
      <c r="B84" s="16">
        <f>'Data LLAMA'!B84</f>
        <v>17</v>
      </c>
      <c r="C84" s="22" t="str">
        <f>'Data LLAMA'!F84</f>
        <v>geometry</v>
      </c>
      <c r="D84" s="16" t="str">
        <f>LOWER(TRIM('Data LLAMA'!H84))</f>
        <v>major</v>
      </c>
      <c r="E84" s="23">
        <f>IF(ISNUMBER(SEARCH("move_legality",C84)),Parameters!$B$4,IF(ISNUMBER(SEARCH("piece_placement",C84)),Parameters!$B$5,IF(ISNUMBER(SEARCH("material",C84)),Parameters!$B$6,IF(ISNUMBER(SEARCH("piece_relations",C84)),Parameters!$B$7,IF(ISNUMBER(SEARCH("geometry",C84)),Parameters!$B$8,IF(ISNUMBER(SEARCH("reasoning",C84)),Parameters!$B$9,Parameters!$B$10))))))</f>
        <v>3</v>
      </c>
      <c r="F84" s="23">
        <f>IF(D84="major",Parameters!$B$14,IF(D84="medium",Parameters!$B$15,Parameters!$B$16))</f>
        <v>3</v>
      </c>
      <c r="G84" s="16">
        <f t="shared" si="3"/>
        <v>1</v>
      </c>
      <c r="H84" s="24">
        <f>Parameters!$B$20^(G84-1)</f>
        <v>1</v>
      </c>
      <c r="I84" s="18">
        <f t="shared" si="4"/>
        <v>9</v>
      </c>
    </row>
    <row r="85" spans="1:9" ht="13.15" x14ac:dyDescent="0.35">
      <c r="A85" s="21">
        <v>84</v>
      </c>
      <c r="B85" s="16">
        <f>'Data LLAMA'!B85</f>
        <v>17</v>
      </c>
      <c r="C85" s="22" t="str">
        <f>'Data LLAMA'!F85</f>
        <v>geometry</v>
      </c>
      <c r="D85" s="16" t="str">
        <f>LOWER(TRIM('Data LLAMA'!H85))</f>
        <v>major</v>
      </c>
      <c r="E85" s="23">
        <f>IF(ISNUMBER(SEARCH("move_legality",C85)),Parameters!$B$4,IF(ISNUMBER(SEARCH("piece_placement",C85)),Parameters!$B$5,IF(ISNUMBER(SEARCH("material",C85)),Parameters!$B$6,IF(ISNUMBER(SEARCH("piece_relations",C85)),Parameters!$B$7,IF(ISNUMBER(SEARCH("geometry",C85)),Parameters!$B$8,IF(ISNUMBER(SEARCH("reasoning",C85)),Parameters!$B$9,Parameters!$B$10))))))</f>
        <v>3</v>
      </c>
      <c r="F85" s="23">
        <f>IF(D85="major",Parameters!$B$14,IF(D85="medium",Parameters!$B$15,Parameters!$B$16))</f>
        <v>3</v>
      </c>
      <c r="G85" s="16">
        <f t="shared" si="3"/>
        <v>2</v>
      </c>
      <c r="H85" s="24">
        <f>Parameters!$B$20^(G85-1)</f>
        <v>0.7</v>
      </c>
      <c r="I85" s="18">
        <f t="shared" si="4"/>
        <v>6.3</v>
      </c>
    </row>
    <row r="86" spans="1:9" ht="13.15" x14ac:dyDescent="0.35">
      <c r="A86" s="21">
        <v>85</v>
      </c>
      <c r="B86" s="16">
        <f>'Data LLAMA'!B86</f>
        <v>17</v>
      </c>
      <c r="C86" s="22" t="str">
        <f>'Data LLAMA'!F86</f>
        <v>reasoning</v>
      </c>
      <c r="D86" s="16" t="str">
        <f>LOWER(TRIM('Data LLAMA'!H86))</f>
        <v>major</v>
      </c>
      <c r="E86" s="23">
        <f>IF(ISNUMBER(SEARCH("move_legality",C86)),Parameters!$B$4,IF(ISNUMBER(SEARCH("piece_placement",C86)),Parameters!$B$5,IF(ISNUMBER(SEARCH("material",C86)),Parameters!$B$6,IF(ISNUMBER(SEARCH("piece_relations",C86)),Parameters!$B$7,IF(ISNUMBER(SEARCH("geometry",C86)),Parameters!$B$8,IF(ISNUMBER(SEARCH("reasoning",C86)),Parameters!$B$9,Parameters!$B$10))))))</f>
        <v>2</v>
      </c>
      <c r="F86" s="23">
        <f>IF(D86="major",Parameters!$B$14,IF(D86="medium",Parameters!$B$15,Parameters!$B$16))</f>
        <v>3</v>
      </c>
      <c r="G86" s="16">
        <f t="shared" si="3"/>
        <v>1</v>
      </c>
      <c r="H86" s="24">
        <f>Parameters!$B$20^(G86-1)</f>
        <v>1</v>
      </c>
      <c r="I86" s="18">
        <f t="shared" si="4"/>
        <v>6</v>
      </c>
    </row>
    <row r="87" spans="1:9" ht="13.15" x14ac:dyDescent="0.35">
      <c r="A87" s="21">
        <v>86</v>
      </c>
      <c r="B87" s="16">
        <f>'Data LLAMA'!B87</f>
        <v>18</v>
      </c>
      <c r="C87" s="22" t="str">
        <f>'Data LLAMA'!F87</f>
        <v>reasoning</v>
      </c>
      <c r="D87" s="16" t="str">
        <f>LOWER(TRIM('Data LLAMA'!H87))</f>
        <v>minor</v>
      </c>
      <c r="E87" s="23">
        <f>IF(ISNUMBER(SEARCH("move_legality",C87)),Parameters!$B$4,IF(ISNUMBER(SEARCH("piece_placement",C87)),Parameters!$B$5,IF(ISNUMBER(SEARCH("material",C87)),Parameters!$B$6,IF(ISNUMBER(SEARCH("piece_relations",C87)),Parameters!$B$7,IF(ISNUMBER(SEARCH("geometry",C87)),Parameters!$B$8,IF(ISNUMBER(SEARCH("reasoning",C87)),Parameters!$B$9,Parameters!$B$10))))))</f>
        <v>2</v>
      </c>
      <c r="F87" s="23">
        <f>IF(D87="major",Parameters!$B$14,IF(D87="medium",Parameters!$B$15,Parameters!$B$16))</f>
        <v>1</v>
      </c>
      <c r="G87" s="16">
        <f t="shared" si="3"/>
        <v>3</v>
      </c>
      <c r="H87" s="24">
        <f>Parameters!$B$20^(G87-1)</f>
        <v>0.48999999999999994</v>
      </c>
      <c r="I87" s="18">
        <f t="shared" si="4"/>
        <v>0.97999999999999987</v>
      </c>
    </row>
    <row r="88" spans="1:9" ht="13.15" x14ac:dyDescent="0.35">
      <c r="A88" s="21">
        <v>87</v>
      </c>
      <c r="B88" s="16">
        <f>'Data LLAMA'!B88</f>
        <v>18</v>
      </c>
      <c r="C88" s="22" t="str">
        <f>'Data LLAMA'!F88</f>
        <v>reasoning</v>
      </c>
      <c r="D88" s="16" t="str">
        <f>LOWER(TRIM('Data LLAMA'!H88))</f>
        <v>major</v>
      </c>
      <c r="E88" s="23">
        <f>IF(ISNUMBER(SEARCH("move_legality",C88)),Parameters!$B$4,IF(ISNUMBER(SEARCH("piece_placement",C88)),Parameters!$B$5,IF(ISNUMBER(SEARCH("material",C88)),Parameters!$B$6,IF(ISNUMBER(SEARCH("piece_relations",C88)),Parameters!$B$7,IF(ISNUMBER(SEARCH("geometry",C88)),Parameters!$B$8,IF(ISNUMBER(SEARCH("reasoning",C88)),Parameters!$B$9,Parameters!$B$10))))))</f>
        <v>2</v>
      </c>
      <c r="F88" s="23">
        <f>IF(D88="major",Parameters!$B$14,IF(D88="medium",Parameters!$B$15,Parameters!$B$16))</f>
        <v>3</v>
      </c>
      <c r="G88" s="16">
        <f t="shared" si="3"/>
        <v>1</v>
      </c>
      <c r="H88" s="24">
        <f>Parameters!$B$20^(G88-1)</f>
        <v>1</v>
      </c>
      <c r="I88" s="18">
        <f t="shared" si="4"/>
        <v>6</v>
      </c>
    </row>
    <row r="89" spans="1:9" ht="13.15" x14ac:dyDescent="0.35">
      <c r="A89" s="21">
        <v>88</v>
      </c>
      <c r="B89" s="16">
        <f>'Data LLAMA'!B89</f>
        <v>18</v>
      </c>
      <c r="C89" s="22" t="str">
        <f>'Data LLAMA'!F89</f>
        <v>move_legality</v>
      </c>
      <c r="D89" s="16" t="str">
        <f>LOWER(TRIM('Data LLAMA'!H89))</f>
        <v>major</v>
      </c>
      <c r="E89" s="23">
        <f>IF(ISNUMBER(SEARCH("move_legality",C89)),Parameters!$B$4,IF(ISNUMBER(SEARCH("piece_placement",C89)),Parameters!$B$5,IF(ISNUMBER(SEARCH("material",C89)),Parameters!$B$6,IF(ISNUMBER(SEARCH("piece_relations",C89)),Parameters!$B$7,IF(ISNUMBER(SEARCH("geometry",C89)),Parameters!$B$8,IF(ISNUMBER(SEARCH("reasoning",C89)),Parameters!$B$9,Parameters!$B$10))))))</f>
        <v>8</v>
      </c>
      <c r="F89" s="23">
        <f>IF(D89="major",Parameters!$B$14,IF(D89="medium",Parameters!$B$15,Parameters!$B$16))</f>
        <v>3</v>
      </c>
      <c r="G89" s="16">
        <f t="shared" si="3"/>
        <v>1</v>
      </c>
      <c r="H89" s="24">
        <f>Parameters!$B$20^(G89-1)</f>
        <v>1</v>
      </c>
      <c r="I89" s="18">
        <f t="shared" si="4"/>
        <v>24</v>
      </c>
    </row>
    <row r="90" spans="1:9" ht="13.15" x14ac:dyDescent="0.35">
      <c r="A90" s="21">
        <v>89</v>
      </c>
      <c r="B90" s="16">
        <f>'Data LLAMA'!B90</f>
        <v>18</v>
      </c>
      <c r="C90" s="22" t="str">
        <f>'Data LLAMA'!F90</f>
        <v>reasoning</v>
      </c>
      <c r="D90" s="16" t="str">
        <f>LOWER(TRIM('Data LLAMA'!H90))</f>
        <v>major</v>
      </c>
      <c r="E90" s="23">
        <f>IF(ISNUMBER(SEARCH("move_legality",C90)),Parameters!$B$4,IF(ISNUMBER(SEARCH("piece_placement",C90)),Parameters!$B$5,IF(ISNUMBER(SEARCH("material",C90)),Parameters!$B$6,IF(ISNUMBER(SEARCH("piece_relations",C90)),Parameters!$B$7,IF(ISNUMBER(SEARCH("geometry",C90)),Parameters!$B$8,IF(ISNUMBER(SEARCH("reasoning",C90)),Parameters!$B$9,Parameters!$B$10))))))</f>
        <v>2</v>
      </c>
      <c r="F90" s="23">
        <f>IF(D90="major",Parameters!$B$14,IF(D90="medium",Parameters!$B$15,Parameters!$B$16))</f>
        <v>3</v>
      </c>
      <c r="G90" s="16">
        <f t="shared" si="3"/>
        <v>2</v>
      </c>
      <c r="H90" s="24">
        <f>Parameters!$B$20^(G90-1)</f>
        <v>0.7</v>
      </c>
      <c r="I90" s="18">
        <f t="shared" si="4"/>
        <v>4.1999999999999993</v>
      </c>
    </row>
    <row r="91" spans="1:9" ht="13.15" x14ac:dyDescent="0.35">
      <c r="A91" s="21">
        <v>90</v>
      </c>
      <c r="B91" s="16">
        <f>'Data LLAMA'!B91</f>
        <v>2</v>
      </c>
      <c r="C91" s="22" t="str">
        <f>'Data LLAMA'!F91</f>
        <v>reasoning</v>
      </c>
      <c r="D91" s="16" t="str">
        <f>LOWER(TRIM('Data LLAMA'!H91))</f>
        <v>medium</v>
      </c>
      <c r="E91" s="23">
        <f>IF(ISNUMBER(SEARCH("move_legality",C91)),Parameters!$B$4,IF(ISNUMBER(SEARCH("piece_placement",C91)),Parameters!$B$5,IF(ISNUMBER(SEARCH("material",C91)),Parameters!$B$6,IF(ISNUMBER(SEARCH("piece_relations",C91)),Parameters!$B$7,IF(ISNUMBER(SEARCH("geometry",C91)),Parameters!$B$8,IF(ISNUMBER(SEARCH("reasoning",C91)),Parameters!$B$9,Parameters!$B$10))))))</f>
        <v>2</v>
      </c>
      <c r="F91" s="23">
        <f>IF(D91="major",Parameters!$B$14,IF(D91="medium",Parameters!$B$15,Parameters!$B$16))</f>
        <v>2</v>
      </c>
      <c r="G91" s="16">
        <f t="shared" si="3"/>
        <v>2</v>
      </c>
      <c r="H91" s="24">
        <f>Parameters!$B$20^(G91-1)</f>
        <v>0.7</v>
      </c>
      <c r="I91" s="18">
        <f t="shared" si="4"/>
        <v>2.8</v>
      </c>
    </row>
    <row r="92" spans="1:9" ht="13.15" x14ac:dyDescent="0.35">
      <c r="A92" s="21">
        <v>91</v>
      </c>
      <c r="B92" s="16">
        <f>'Data LLAMA'!B92</f>
        <v>2</v>
      </c>
      <c r="C92" s="22" t="str">
        <f>'Data LLAMA'!F92</f>
        <v>geometry</v>
      </c>
      <c r="D92" s="16" t="str">
        <f>LOWER(TRIM('Data LLAMA'!H92))</f>
        <v>major</v>
      </c>
      <c r="E92" s="23">
        <f>IF(ISNUMBER(SEARCH("move_legality",C92)),Parameters!$B$4,IF(ISNUMBER(SEARCH("piece_placement",C92)),Parameters!$B$5,IF(ISNUMBER(SEARCH("material",C92)),Parameters!$B$6,IF(ISNUMBER(SEARCH("piece_relations",C92)),Parameters!$B$7,IF(ISNUMBER(SEARCH("geometry",C92)),Parameters!$B$8,IF(ISNUMBER(SEARCH("reasoning",C92)),Parameters!$B$9,Parameters!$B$10))))))</f>
        <v>3</v>
      </c>
      <c r="F92" s="23">
        <f>IF(D92="major",Parameters!$B$14,IF(D92="medium",Parameters!$B$15,Parameters!$B$16))</f>
        <v>3</v>
      </c>
      <c r="G92" s="16">
        <f t="shared" si="3"/>
        <v>1</v>
      </c>
      <c r="H92" s="24">
        <f>Parameters!$B$20^(G92-1)</f>
        <v>1</v>
      </c>
      <c r="I92" s="18">
        <f t="shared" si="4"/>
        <v>9</v>
      </c>
    </row>
    <row r="93" spans="1:9" ht="13.15" x14ac:dyDescent="0.35">
      <c r="A93" s="21">
        <v>92</v>
      </c>
      <c r="B93" s="16">
        <f>'Data LLAMA'!B93</f>
        <v>2</v>
      </c>
      <c r="C93" s="22" t="str">
        <f>'Data LLAMA'!F93</f>
        <v>piece_placement</v>
      </c>
      <c r="D93" s="16" t="str">
        <f>LOWER(TRIM('Data LLAMA'!H93))</f>
        <v>major</v>
      </c>
      <c r="E93" s="23">
        <f>IF(ISNUMBER(SEARCH("move_legality",C93)),Parameters!$B$4,IF(ISNUMBER(SEARCH("piece_placement",C93)),Parameters!$B$5,IF(ISNUMBER(SEARCH("material",C93)),Parameters!$B$6,IF(ISNUMBER(SEARCH("piece_relations",C93)),Parameters!$B$7,IF(ISNUMBER(SEARCH("geometry",C93)),Parameters!$B$8,IF(ISNUMBER(SEARCH("reasoning",C93)),Parameters!$B$9,Parameters!$B$10))))))</f>
        <v>6</v>
      </c>
      <c r="F93" s="23">
        <f>IF(D93="major",Parameters!$B$14,IF(D93="medium",Parameters!$B$15,Parameters!$B$16))</f>
        <v>3</v>
      </c>
      <c r="G93" s="16">
        <f t="shared" si="3"/>
        <v>1</v>
      </c>
      <c r="H93" s="24">
        <f>Parameters!$B$20^(G93-1)</f>
        <v>1</v>
      </c>
      <c r="I93" s="18">
        <f t="shared" si="4"/>
        <v>18</v>
      </c>
    </row>
    <row r="94" spans="1:9" ht="13.15" x14ac:dyDescent="0.35">
      <c r="A94" s="21">
        <v>93</v>
      </c>
      <c r="B94" s="16">
        <f>'Data LLAMA'!B94</f>
        <v>2</v>
      </c>
      <c r="C94" s="22" t="str">
        <f>'Data LLAMA'!F94</f>
        <v>reasoning</v>
      </c>
      <c r="D94" s="16" t="str">
        <f>LOWER(TRIM('Data LLAMA'!H94))</f>
        <v>major</v>
      </c>
      <c r="E94" s="23">
        <f>IF(ISNUMBER(SEARCH("move_legality",C94)),Parameters!$B$4,IF(ISNUMBER(SEARCH("piece_placement",C94)),Parameters!$B$5,IF(ISNUMBER(SEARCH("material",C94)),Parameters!$B$6,IF(ISNUMBER(SEARCH("piece_relations",C94)),Parameters!$B$7,IF(ISNUMBER(SEARCH("geometry",C94)),Parameters!$B$8,IF(ISNUMBER(SEARCH("reasoning",C94)),Parameters!$B$9,Parameters!$B$10))))))</f>
        <v>2</v>
      </c>
      <c r="F94" s="23">
        <f>IF(D94="major",Parameters!$B$14,IF(D94="medium",Parameters!$B$15,Parameters!$B$16))</f>
        <v>3</v>
      </c>
      <c r="G94" s="16">
        <f t="shared" si="3"/>
        <v>1</v>
      </c>
      <c r="H94" s="24">
        <f>Parameters!$B$20^(G94-1)</f>
        <v>1</v>
      </c>
      <c r="I94" s="18">
        <f t="shared" si="4"/>
        <v>6</v>
      </c>
    </row>
    <row r="95" spans="1:9" ht="13.15" x14ac:dyDescent="0.35">
      <c r="A95" s="21">
        <v>94</v>
      </c>
      <c r="B95" s="16">
        <f>'Data LLAMA'!B95</f>
        <v>2</v>
      </c>
      <c r="C95" s="22" t="str">
        <f>'Data LLAMA'!F95</f>
        <v>move_legality</v>
      </c>
      <c r="D95" s="16" t="str">
        <f>LOWER(TRIM('Data LLAMA'!H95))</f>
        <v>medium</v>
      </c>
      <c r="E95" s="23">
        <f>IF(ISNUMBER(SEARCH("move_legality",C95)),Parameters!$B$4,IF(ISNUMBER(SEARCH("piece_placement",C95)),Parameters!$B$5,IF(ISNUMBER(SEARCH("material",C95)),Parameters!$B$6,IF(ISNUMBER(SEARCH("piece_relations",C95)),Parameters!$B$7,IF(ISNUMBER(SEARCH("geometry",C95)),Parameters!$B$8,IF(ISNUMBER(SEARCH("reasoning",C95)),Parameters!$B$9,Parameters!$B$10))))))</f>
        <v>8</v>
      </c>
      <c r="F95" s="23">
        <f>IF(D95="major",Parameters!$B$14,IF(D95="medium",Parameters!$B$15,Parameters!$B$16))</f>
        <v>2</v>
      </c>
      <c r="G95" s="16">
        <f t="shared" si="3"/>
        <v>1</v>
      </c>
      <c r="H95" s="24">
        <f>Parameters!$B$20^(G95-1)</f>
        <v>1</v>
      </c>
      <c r="I95" s="18">
        <f t="shared" si="4"/>
        <v>16</v>
      </c>
    </row>
    <row r="96" spans="1:9" ht="13.15" x14ac:dyDescent="0.35">
      <c r="A96" s="21">
        <v>95</v>
      </c>
      <c r="B96" s="16">
        <f>'Data LLAMA'!B96</f>
        <v>3</v>
      </c>
      <c r="C96" s="22" t="str">
        <f>'Data LLAMA'!F96</f>
        <v>reasoning</v>
      </c>
      <c r="D96" s="16" t="str">
        <f>LOWER(TRIM('Data LLAMA'!H96))</f>
        <v>medium</v>
      </c>
      <c r="E96" s="23">
        <f>IF(ISNUMBER(SEARCH("move_legality",C96)),Parameters!$B$4,IF(ISNUMBER(SEARCH("piece_placement",C96)),Parameters!$B$5,IF(ISNUMBER(SEARCH("material",C96)),Parameters!$B$6,IF(ISNUMBER(SEARCH("piece_relations",C96)),Parameters!$B$7,IF(ISNUMBER(SEARCH("geometry",C96)),Parameters!$B$8,IF(ISNUMBER(SEARCH("reasoning",C96)),Parameters!$B$9,Parameters!$B$10))))))</f>
        <v>2</v>
      </c>
      <c r="F96" s="23">
        <f>IF(D96="major",Parameters!$B$14,IF(D96="medium",Parameters!$B$15,Parameters!$B$16))</f>
        <v>2</v>
      </c>
      <c r="G96" s="16">
        <f t="shared" si="3"/>
        <v>4</v>
      </c>
      <c r="H96" s="24">
        <f>Parameters!$B$20^(G96-1)</f>
        <v>0.34299999999999992</v>
      </c>
      <c r="I96" s="18">
        <f t="shared" si="4"/>
        <v>1.3719999999999997</v>
      </c>
    </row>
    <row r="97" spans="1:9" ht="13.15" x14ac:dyDescent="0.35">
      <c r="A97" s="21">
        <v>96</v>
      </c>
      <c r="B97" s="16">
        <f>'Data LLAMA'!B97</f>
        <v>3</v>
      </c>
      <c r="C97" s="22" t="str">
        <f>'Data LLAMA'!F97</f>
        <v>reasoning</v>
      </c>
      <c r="D97" s="16" t="str">
        <f>LOWER(TRIM('Data LLAMA'!H97))</f>
        <v>major</v>
      </c>
      <c r="E97" s="23">
        <f>IF(ISNUMBER(SEARCH("move_legality",C97)),Parameters!$B$4,IF(ISNUMBER(SEARCH("piece_placement",C97)),Parameters!$B$5,IF(ISNUMBER(SEARCH("material",C97)),Parameters!$B$6,IF(ISNUMBER(SEARCH("piece_relations",C97)),Parameters!$B$7,IF(ISNUMBER(SEARCH("geometry",C97)),Parameters!$B$8,IF(ISNUMBER(SEARCH("reasoning",C97)),Parameters!$B$9,Parameters!$B$10))))))</f>
        <v>2</v>
      </c>
      <c r="F97" s="23">
        <f>IF(D97="major",Parameters!$B$14,IF(D97="medium",Parameters!$B$15,Parameters!$B$16))</f>
        <v>3</v>
      </c>
      <c r="G97" s="16">
        <f t="shared" si="3"/>
        <v>1</v>
      </c>
      <c r="H97" s="24">
        <f>Parameters!$B$20^(G97-1)</f>
        <v>1</v>
      </c>
      <c r="I97" s="18">
        <f t="shared" si="4"/>
        <v>6</v>
      </c>
    </row>
    <row r="98" spans="1:9" ht="13.15" x14ac:dyDescent="0.35">
      <c r="A98" s="21">
        <v>97</v>
      </c>
      <c r="B98" s="16">
        <f>'Data LLAMA'!B98</f>
        <v>3</v>
      </c>
      <c r="C98" s="22" t="str">
        <f>'Data LLAMA'!F98</f>
        <v>reasoning</v>
      </c>
      <c r="D98" s="16" t="str">
        <f>LOWER(TRIM('Data LLAMA'!H98))</f>
        <v>major</v>
      </c>
      <c r="E98" s="23">
        <f>IF(ISNUMBER(SEARCH("move_legality",C98)),Parameters!$B$4,IF(ISNUMBER(SEARCH("piece_placement",C98)),Parameters!$B$5,IF(ISNUMBER(SEARCH("material",C98)),Parameters!$B$6,IF(ISNUMBER(SEARCH("piece_relations",C98)),Parameters!$B$7,IF(ISNUMBER(SEARCH("geometry",C98)),Parameters!$B$8,IF(ISNUMBER(SEARCH("reasoning",C98)),Parameters!$B$9,Parameters!$B$10))))))</f>
        <v>2</v>
      </c>
      <c r="F98" s="23">
        <f>IF(D98="major",Parameters!$B$14,IF(D98="medium",Parameters!$B$15,Parameters!$B$16))</f>
        <v>3</v>
      </c>
      <c r="G98" s="16">
        <f t="shared" ref="G98:G129" si="5">COUNTIFS($B$2:$B$132,B98,$C$2:$C$132,C98,$F$2:$F$132,"&gt;"&amp;F98)+COUNTIFS($B$2:$B$132,B98,$C$2:$C$132,C98,$F$2:$F$132,F98,$A$2:$A$132,"&lt;="&amp;A98)</f>
        <v>2</v>
      </c>
      <c r="H98" s="24">
        <f>Parameters!$B$20^(G98-1)</f>
        <v>0.7</v>
      </c>
      <c r="I98" s="18">
        <f t="shared" si="4"/>
        <v>4.1999999999999993</v>
      </c>
    </row>
    <row r="99" spans="1:9" ht="13.15" x14ac:dyDescent="0.35">
      <c r="A99" s="21">
        <v>98</v>
      </c>
      <c r="B99" s="16">
        <f>'Data LLAMA'!B99</f>
        <v>3</v>
      </c>
      <c r="C99" s="22" t="str">
        <f>'Data LLAMA'!F99</f>
        <v>reasoning</v>
      </c>
      <c r="D99" s="16" t="str">
        <f>LOWER(TRIM('Data LLAMA'!H99))</f>
        <v>medium</v>
      </c>
      <c r="E99" s="23">
        <f>IF(ISNUMBER(SEARCH("move_legality",C99)),Parameters!$B$4,IF(ISNUMBER(SEARCH("piece_placement",C99)),Parameters!$B$5,IF(ISNUMBER(SEARCH("material",C99)),Parameters!$B$6,IF(ISNUMBER(SEARCH("piece_relations",C99)),Parameters!$B$7,IF(ISNUMBER(SEARCH("geometry",C99)),Parameters!$B$8,IF(ISNUMBER(SEARCH("reasoning",C99)),Parameters!$B$9,Parameters!$B$10))))))</f>
        <v>2</v>
      </c>
      <c r="F99" s="23">
        <f>IF(D99="major",Parameters!$B$14,IF(D99="medium",Parameters!$B$15,Parameters!$B$16))</f>
        <v>2</v>
      </c>
      <c r="G99" s="16">
        <f t="shared" si="5"/>
        <v>5</v>
      </c>
      <c r="H99" s="24">
        <f>Parameters!$B$20^(G99-1)</f>
        <v>0.24009999999999992</v>
      </c>
      <c r="I99" s="18">
        <f t="shared" si="4"/>
        <v>0.9603999999999997</v>
      </c>
    </row>
    <row r="100" spans="1:9" ht="13.15" x14ac:dyDescent="0.35">
      <c r="A100" s="21">
        <v>99</v>
      </c>
      <c r="B100" s="16">
        <f>'Data LLAMA'!B100</f>
        <v>3</v>
      </c>
      <c r="C100" s="22" t="str">
        <f>'Data LLAMA'!F100</f>
        <v>reasoning</v>
      </c>
      <c r="D100" s="16" t="str">
        <f>LOWER(TRIM('Data LLAMA'!H100))</f>
        <v>major</v>
      </c>
      <c r="E100" s="23">
        <f>IF(ISNUMBER(SEARCH("move_legality",C100)),Parameters!$B$4,IF(ISNUMBER(SEARCH("piece_placement",C100)),Parameters!$B$5,IF(ISNUMBER(SEARCH("material",C100)),Parameters!$B$6,IF(ISNUMBER(SEARCH("piece_relations",C100)),Parameters!$B$7,IF(ISNUMBER(SEARCH("geometry",C100)),Parameters!$B$8,IF(ISNUMBER(SEARCH("reasoning",C100)),Parameters!$B$9,Parameters!$B$10))))))</f>
        <v>2</v>
      </c>
      <c r="F100" s="23">
        <f>IF(D100="major",Parameters!$B$14,IF(D100="medium",Parameters!$B$15,Parameters!$B$16))</f>
        <v>3</v>
      </c>
      <c r="G100" s="16">
        <f t="shared" si="5"/>
        <v>3</v>
      </c>
      <c r="H100" s="24">
        <f>Parameters!$B$20^(G100-1)</f>
        <v>0.48999999999999994</v>
      </c>
      <c r="I100" s="18">
        <f t="shared" si="4"/>
        <v>2.9399999999999995</v>
      </c>
    </row>
    <row r="101" spans="1:9" ht="13.15" x14ac:dyDescent="0.35">
      <c r="A101" s="21">
        <v>100</v>
      </c>
      <c r="B101" s="16">
        <f>'Data LLAMA'!B101</f>
        <v>3</v>
      </c>
      <c r="C101" s="22" t="str">
        <f>'Data LLAMA'!F101</f>
        <v>piece_relations</v>
      </c>
      <c r="D101" s="16" t="str">
        <f>LOWER(TRIM('Data LLAMA'!H101))</f>
        <v>major</v>
      </c>
      <c r="E101" s="23">
        <f>IF(ISNUMBER(SEARCH("move_legality",C101)),Parameters!$B$4,IF(ISNUMBER(SEARCH("piece_placement",C101)),Parameters!$B$5,IF(ISNUMBER(SEARCH("material",C101)),Parameters!$B$6,IF(ISNUMBER(SEARCH("piece_relations",C101)),Parameters!$B$7,IF(ISNUMBER(SEARCH("geometry",C101)),Parameters!$B$8,IF(ISNUMBER(SEARCH("reasoning",C101)),Parameters!$B$9,Parameters!$B$10))))))</f>
        <v>4</v>
      </c>
      <c r="F101" s="23">
        <f>IF(D101="major",Parameters!$B$14,IF(D101="medium",Parameters!$B$15,Parameters!$B$16))</f>
        <v>3</v>
      </c>
      <c r="G101" s="16">
        <f t="shared" si="5"/>
        <v>1</v>
      </c>
      <c r="H101" s="24">
        <f>Parameters!$B$20^(G101-1)</f>
        <v>1</v>
      </c>
      <c r="I101" s="18">
        <f t="shared" si="4"/>
        <v>12</v>
      </c>
    </row>
    <row r="102" spans="1:9" ht="13.15" x14ac:dyDescent="0.35">
      <c r="A102" s="21">
        <v>101</v>
      </c>
      <c r="B102" s="16">
        <f>'Data LLAMA'!B102</f>
        <v>11</v>
      </c>
      <c r="C102" s="22" t="str">
        <f>'Data LLAMA'!F102</f>
        <v>piece_relations</v>
      </c>
      <c r="D102" s="16" t="str">
        <f>LOWER(TRIM('Data LLAMA'!H102))</f>
        <v>major</v>
      </c>
      <c r="E102" s="23">
        <f>IF(ISNUMBER(SEARCH("move_legality",C102)),Parameters!$B$4,IF(ISNUMBER(SEARCH("piece_placement",C102)),Parameters!$B$5,IF(ISNUMBER(SEARCH("material",C102)),Parameters!$B$6,IF(ISNUMBER(SEARCH("piece_relations",C102)),Parameters!$B$7,IF(ISNUMBER(SEARCH("geometry",C102)),Parameters!$B$8,IF(ISNUMBER(SEARCH("reasoning",C102)),Parameters!$B$9,Parameters!$B$10))))))</f>
        <v>4</v>
      </c>
      <c r="F102" s="23">
        <f>IF(D102="major",Parameters!$B$14,IF(D102="medium",Parameters!$B$15,Parameters!$B$16))</f>
        <v>3</v>
      </c>
      <c r="G102" s="16">
        <f t="shared" si="5"/>
        <v>1</v>
      </c>
      <c r="H102" s="24">
        <f>Parameters!$B$20^(G102-1)</f>
        <v>1</v>
      </c>
      <c r="I102" s="18">
        <f t="shared" si="4"/>
        <v>12</v>
      </c>
    </row>
    <row r="103" spans="1:9" ht="13.15" x14ac:dyDescent="0.35">
      <c r="A103" s="21">
        <v>102</v>
      </c>
      <c r="B103" s="16">
        <f>'Data LLAMA'!B103</f>
        <v>11</v>
      </c>
      <c r="C103" s="22" t="str">
        <f>'Data LLAMA'!F103</f>
        <v>material</v>
      </c>
      <c r="D103" s="16" t="str">
        <f>LOWER(TRIM('Data LLAMA'!H103))</f>
        <v>medium</v>
      </c>
      <c r="E103" s="23">
        <f>IF(ISNUMBER(SEARCH("move_legality",C103)),Parameters!$B$4,IF(ISNUMBER(SEARCH("piece_placement",C103)),Parameters!$B$5,IF(ISNUMBER(SEARCH("material",C103)),Parameters!$B$6,IF(ISNUMBER(SEARCH("piece_relations",C103)),Parameters!$B$7,IF(ISNUMBER(SEARCH("geometry",C103)),Parameters!$B$8,IF(ISNUMBER(SEARCH("reasoning",C103)),Parameters!$B$9,Parameters!$B$10))))))</f>
        <v>5</v>
      </c>
      <c r="F103" s="23">
        <f>IF(D103="major",Parameters!$B$14,IF(D103="medium",Parameters!$B$15,Parameters!$B$16))</f>
        <v>2</v>
      </c>
      <c r="G103" s="16">
        <f t="shared" si="5"/>
        <v>1</v>
      </c>
      <c r="H103" s="24">
        <f>Parameters!$B$20^(G103-1)</f>
        <v>1</v>
      </c>
      <c r="I103" s="18">
        <f t="shared" si="4"/>
        <v>10</v>
      </c>
    </row>
    <row r="104" spans="1:9" ht="13.15" x14ac:dyDescent="0.35">
      <c r="A104" s="21">
        <v>103</v>
      </c>
      <c r="B104" s="16">
        <f>'Data LLAMA'!B104</f>
        <v>15</v>
      </c>
      <c r="C104" s="22" t="str">
        <f>'Data LLAMA'!F104</f>
        <v>piece_placement</v>
      </c>
      <c r="D104" s="16" t="str">
        <f>LOWER(TRIM('Data LLAMA'!H104))</f>
        <v>major</v>
      </c>
      <c r="E104" s="23">
        <f>IF(ISNUMBER(SEARCH("move_legality",C104)),Parameters!$B$4,IF(ISNUMBER(SEARCH("piece_placement",C104)),Parameters!$B$5,IF(ISNUMBER(SEARCH("material",C104)),Parameters!$B$6,IF(ISNUMBER(SEARCH("piece_relations",C104)),Parameters!$B$7,IF(ISNUMBER(SEARCH("geometry",C104)),Parameters!$B$8,IF(ISNUMBER(SEARCH("reasoning",C104)),Parameters!$B$9,Parameters!$B$10))))))</f>
        <v>6</v>
      </c>
      <c r="F104" s="23">
        <f>IF(D104="major",Parameters!$B$14,IF(D104="medium",Parameters!$B$15,Parameters!$B$16))</f>
        <v>3</v>
      </c>
      <c r="G104" s="16">
        <f t="shared" si="5"/>
        <v>1</v>
      </c>
      <c r="H104" s="24">
        <f>Parameters!$B$20^(G104-1)</f>
        <v>1</v>
      </c>
      <c r="I104" s="18">
        <f t="shared" si="4"/>
        <v>18</v>
      </c>
    </row>
    <row r="105" spans="1:9" ht="13.15" x14ac:dyDescent="0.35">
      <c r="A105" s="21">
        <v>104</v>
      </c>
      <c r="B105" s="16">
        <f>'Data LLAMA'!B105</f>
        <v>15</v>
      </c>
      <c r="C105" s="22" t="str">
        <f>'Data LLAMA'!F105</f>
        <v>reasoning</v>
      </c>
      <c r="D105" s="16" t="str">
        <f>LOWER(TRIM('Data LLAMA'!H105))</f>
        <v>minor</v>
      </c>
      <c r="E105" s="23">
        <f>IF(ISNUMBER(SEARCH("move_legality",C105)),Parameters!$B$4,IF(ISNUMBER(SEARCH("piece_placement",C105)),Parameters!$B$5,IF(ISNUMBER(SEARCH("material",C105)),Parameters!$B$6,IF(ISNUMBER(SEARCH("piece_relations",C105)),Parameters!$B$7,IF(ISNUMBER(SEARCH("geometry",C105)),Parameters!$B$8,IF(ISNUMBER(SEARCH("reasoning",C105)),Parameters!$B$9,Parameters!$B$10))))))</f>
        <v>2</v>
      </c>
      <c r="F105" s="23">
        <f>IF(D105="major",Parameters!$B$14,IF(D105="medium",Parameters!$B$15,Parameters!$B$16))</f>
        <v>1</v>
      </c>
      <c r="G105" s="16">
        <f t="shared" si="5"/>
        <v>2</v>
      </c>
      <c r="H105" s="24">
        <f>Parameters!$B$20^(G105-1)</f>
        <v>0.7</v>
      </c>
      <c r="I105" s="18">
        <f t="shared" si="4"/>
        <v>1.4</v>
      </c>
    </row>
    <row r="106" spans="1:9" ht="13.15" x14ac:dyDescent="0.35">
      <c r="A106" s="21">
        <v>105</v>
      </c>
      <c r="B106" s="16">
        <f>'Data LLAMA'!B106</f>
        <v>15</v>
      </c>
      <c r="C106" s="22" t="str">
        <f>'Data LLAMA'!F106</f>
        <v>reasoning</v>
      </c>
      <c r="D106" s="16" t="str">
        <f>LOWER(TRIM('Data LLAMA'!H106))</f>
        <v>medium</v>
      </c>
      <c r="E106" s="23">
        <f>IF(ISNUMBER(SEARCH("move_legality",C106)),Parameters!$B$4,IF(ISNUMBER(SEARCH("piece_placement",C106)),Parameters!$B$5,IF(ISNUMBER(SEARCH("material",C106)),Parameters!$B$6,IF(ISNUMBER(SEARCH("piece_relations",C106)),Parameters!$B$7,IF(ISNUMBER(SEARCH("geometry",C106)),Parameters!$B$8,IF(ISNUMBER(SEARCH("reasoning",C106)),Parameters!$B$9,Parameters!$B$10))))))</f>
        <v>2</v>
      </c>
      <c r="F106" s="23">
        <f>IF(D106="major",Parameters!$B$14,IF(D106="medium",Parameters!$B$15,Parameters!$B$16))</f>
        <v>2</v>
      </c>
      <c r="G106" s="16">
        <f t="shared" si="5"/>
        <v>1</v>
      </c>
      <c r="H106" s="24">
        <f>Parameters!$B$20^(G106-1)</f>
        <v>1</v>
      </c>
      <c r="I106" s="18">
        <f t="shared" si="4"/>
        <v>4</v>
      </c>
    </row>
    <row r="107" spans="1:9" ht="13.15" x14ac:dyDescent="0.35">
      <c r="A107" s="21">
        <v>106</v>
      </c>
      <c r="B107" s="16">
        <f>'Data LLAMA'!B107</f>
        <v>19</v>
      </c>
      <c r="C107" s="22" t="str">
        <f>'Data LLAMA'!F107</f>
        <v>reasoning</v>
      </c>
      <c r="D107" s="16" t="str">
        <f>LOWER(TRIM('Data LLAMA'!H107))</f>
        <v>minor</v>
      </c>
      <c r="E107" s="23">
        <f>IF(ISNUMBER(SEARCH("move_legality",C107)),Parameters!$B$4,IF(ISNUMBER(SEARCH("piece_placement",C107)),Parameters!$B$5,IF(ISNUMBER(SEARCH("material",C107)),Parameters!$B$6,IF(ISNUMBER(SEARCH("piece_relations",C107)),Parameters!$B$7,IF(ISNUMBER(SEARCH("geometry",C107)),Parameters!$B$8,IF(ISNUMBER(SEARCH("reasoning",C107)),Parameters!$B$9,Parameters!$B$10))))))</f>
        <v>2</v>
      </c>
      <c r="F107" s="23">
        <f>IF(D107="major",Parameters!$B$14,IF(D107="medium",Parameters!$B$15,Parameters!$B$16))</f>
        <v>1</v>
      </c>
      <c r="G107" s="16">
        <f t="shared" si="5"/>
        <v>6</v>
      </c>
      <c r="H107" s="24">
        <f>Parameters!$B$20^(G107-1)</f>
        <v>0.16806999999999994</v>
      </c>
      <c r="I107" s="18">
        <f t="shared" si="4"/>
        <v>0.33613999999999988</v>
      </c>
    </row>
    <row r="108" spans="1:9" ht="13.15" x14ac:dyDescent="0.35">
      <c r="A108" s="21">
        <v>107</v>
      </c>
      <c r="B108" s="16">
        <f>'Data LLAMA'!B108</f>
        <v>19</v>
      </c>
      <c r="C108" s="22" t="str">
        <f>'Data LLAMA'!F108</f>
        <v>piece_relations</v>
      </c>
      <c r="D108" s="16" t="str">
        <f>LOWER(TRIM('Data LLAMA'!H108))</f>
        <v>major</v>
      </c>
      <c r="E108" s="23">
        <f>IF(ISNUMBER(SEARCH("move_legality",C108)),Parameters!$B$4,IF(ISNUMBER(SEARCH("piece_placement",C108)),Parameters!$B$5,IF(ISNUMBER(SEARCH("material",C108)),Parameters!$B$6,IF(ISNUMBER(SEARCH("piece_relations",C108)),Parameters!$B$7,IF(ISNUMBER(SEARCH("geometry",C108)),Parameters!$B$8,IF(ISNUMBER(SEARCH("reasoning",C108)),Parameters!$B$9,Parameters!$B$10))))))</f>
        <v>4</v>
      </c>
      <c r="F108" s="23">
        <f>IF(D108="major",Parameters!$B$14,IF(D108="medium",Parameters!$B$15,Parameters!$B$16))</f>
        <v>3</v>
      </c>
      <c r="G108" s="16">
        <f t="shared" si="5"/>
        <v>1</v>
      </c>
      <c r="H108" s="24">
        <f>Parameters!$B$20^(G108-1)</f>
        <v>1</v>
      </c>
      <c r="I108" s="18">
        <f t="shared" si="4"/>
        <v>12</v>
      </c>
    </row>
    <row r="109" spans="1:9" ht="13.15" x14ac:dyDescent="0.35">
      <c r="A109" s="21">
        <v>108</v>
      </c>
      <c r="B109" s="16">
        <f>'Data LLAMA'!B109</f>
        <v>19</v>
      </c>
      <c r="C109" s="22" t="str">
        <f>'Data LLAMA'!F109</f>
        <v>piece_placement</v>
      </c>
      <c r="D109" s="16" t="str">
        <f>LOWER(TRIM('Data LLAMA'!H109))</f>
        <v>major</v>
      </c>
      <c r="E109" s="23">
        <f>IF(ISNUMBER(SEARCH("move_legality",C109)),Parameters!$B$4,IF(ISNUMBER(SEARCH("piece_placement",C109)),Parameters!$B$5,IF(ISNUMBER(SEARCH("material",C109)),Parameters!$B$6,IF(ISNUMBER(SEARCH("piece_relations",C109)),Parameters!$B$7,IF(ISNUMBER(SEARCH("geometry",C109)),Parameters!$B$8,IF(ISNUMBER(SEARCH("reasoning",C109)),Parameters!$B$9,Parameters!$B$10))))))</f>
        <v>6</v>
      </c>
      <c r="F109" s="23">
        <f>IF(D109="major",Parameters!$B$14,IF(D109="medium",Parameters!$B$15,Parameters!$B$16))</f>
        <v>3</v>
      </c>
      <c r="G109" s="16">
        <f t="shared" si="5"/>
        <v>1</v>
      </c>
      <c r="H109" s="24">
        <f>Parameters!$B$20^(G109-1)</f>
        <v>1</v>
      </c>
      <c r="I109" s="18">
        <f t="shared" si="4"/>
        <v>18</v>
      </c>
    </row>
    <row r="110" spans="1:9" ht="13.15" x14ac:dyDescent="0.35">
      <c r="A110" s="21">
        <v>109</v>
      </c>
      <c r="B110" s="16">
        <f>'Data LLAMA'!B110</f>
        <v>19</v>
      </c>
      <c r="C110" s="22" t="str">
        <f>'Data LLAMA'!F110</f>
        <v>reasoning</v>
      </c>
      <c r="D110" s="16" t="str">
        <f>LOWER(TRIM('Data LLAMA'!H110))</f>
        <v>major</v>
      </c>
      <c r="E110" s="23">
        <f>IF(ISNUMBER(SEARCH("move_legality",C110)),Parameters!$B$4,IF(ISNUMBER(SEARCH("piece_placement",C110)),Parameters!$B$5,IF(ISNUMBER(SEARCH("material",C110)),Parameters!$B$6,IF(ISNUMBER(SEARCH("piece_relations",C110)),Parameters!$B$7,IF(ISNUMBER(SEARCH("geometry",C110)),Parameters!$B$8,IF(ISNUMBER(SEARCH("reasoning",C110)),Parameters!$B$9,Parameters!$B$10))))))</f>
        <v>2</v>
      </c>
      <c r="F110" s="23">
        <f>IF(D110="major",Parameters!$B$14,IF(D110="medium",Parameters!$B$15,Parameters!$B$16))</f>
        <v>3</v>
      </c>
      <c r="G110" s="16">
        <f t="shared" si="5"/>
        <v>1</v>
      </c>
      <c r="H110" s="24">
        <f>Parameters!$B$20^(G110-1)</f>
        <v>1</v>
      </c>
      <c r="I110" s="18">
        <f t="shared" si="4"/>
        <v>6</v>
      </c>
    </row>
    <row r="111" spans="1:9" ht="13.15" x14ac:dyDescent="0.35">
      <c r="A111" s="21">
        <v>110</v>
      </c>
      <c r="B111" s="16">
        <f>'Data LLAMA'!B111</f>
        <v>19</v>
      </c>
      <c r="C111" s="22" t="str">
        <f>'Data LLAMA'!F111</f>
        <v>reasoning</v>
      </c>
      <c r="D111" s="16" t="str">
        <f>LOWER(TRIM('Data LLAMA'!H111))</f>
        <v>minor</v>
      </c>
      <c r="E111" s="23">
        <f>IF(ISNUMBER(SEARCH("move_legality",C111)),Parameters!$B$4,IF(ISNUMBER(SEARCH("piece_placement",C111)),Parameters!$B$5,IF(ISNUMBER(SEARCH("material",C111)),Parameters!$B$6,IF(ISNUMBER(SEARCH("piece_relations",C111)),Parameters!$B$7,IF(ISNUMBER(SEARCH("geometry",C111)),Parameters!$B$8,IF(ISNUMBER(SEARCH("reasoning",C111)),Parameters!$B$9,Parameters!$B$10))))))</f>
        <v>2</v>
      </c>
      <c r="F111" s="23">
        <f>IF(D111="major",Parameters!$B$14,IF(D111="medium",Parameters!$B$15,Parameters!$B$16))</f>
        <v>1</v>
      </c>
      <c r="G111" s="16">
        <f t="shared" si="5"/>
        <v>7</v>
      </c>
      <c r="H111" s="24">
        <f>Parameters!$B$20^(G111-1)</f>
        <v>0.11764899999999995</v>
      </c>
      <c r="I111" s="18">
        <f t="shared" si="4"/>
        <v>0.2352979999999999</v>
      </c>
    </row>
    <row r="112" spans="1:9" ht="13.15" x14ac:dyDescent="0.35">
      <c r="A112" s="21">
        <v>111</v>
      </c>
      <c r="B112" s="16">
        <f>'Data LLAMA'!B112</f>
        <v>19</v>
      </c>
      <c r="C112" s="22" t="str">
        <f>'Data LLAMA'!F112</f>
        <v>piece_relations</v>
      </c>
      <c r="D112" s="16" t="str">
        <f>LOWER(TRIM('Data LLAMA'!H112))</f>
        <v>major</v>
      </c>
      <c r="E112" s="23">
        <f>IF(ISNUMBER(SEARCH("move_legality",C112)),Parameters!$B$4,IF(ISNUMBER(SEARCH("piece_placement",C112)),Parameters!$B$5,IF(ISNUMBER(SEARCH("material",C112)),Parameters!$B$6,IF(ISNUMBER(SEARCH("piece_relations",C112)),Parameters!$B$7,IF(ISNUMBER(SEARCH("geometry",C112)),Parameters!$B$8,IF(ISNUMBER(SEARCH("reasoning",C112)),Parameters!$B$9,Parameters!$B$10))))))</f>
        <v>4</v>
      </c>
      <c r="F112" s="23">
        <f>IF(D112="major",Parameters!$B$14,IF(D112="medium",Parameters!$B$15,Parameters!$B$16))</f>
        <v>3</v>
      </c>
      <c r="G112" s="16">
        <f t="shared" si="5"/>
        <v>2</v>
      </c>
      <c r="H112" s="24">
        <f>Parameters!$B$20^(G112-1)</f>
        <v>0.7</v>
      </c>
      <c r="I112" s="18">
        <f t="shared" si="4"/>
        <v>8.3999999999999986</v>
      </c>
    </row>
    <row r="113" spans="1:9" ht="13.15" x14ac:dyDescent="0.35">
      <c r="A113" s="21">
        <v>112</v>
      </c>
      <c r="B113" s="16">
        <f>'Data LLAMA'!B113</f>
        <v>19</v>
      </c>
      <c r="C113" s="22" t="str">
        <f>'Data LLAMA'!F113</f>
        <v>reasoning</v>
      </c>
      <c r="D113" s="16" t="str">
        <f>LOWER(TRIM('Data LLAMA'!H113))</f>
        <v>major</v>
      </c>
      <c r="E113" s="23">
        <f>IF(ISNUMBER(SEARCH("move_legality",C113)),Parameters!$B$4,IF(ISNUMBER(SEARCH("piece_placement",C113)),Parameters!$B$5,IF(ISNUMBER(SEARCH("material",C113)),Parameters!$B$6,IF(ISNUMBER(SEARCH("piece_relations",C113)),Parameters!$B$7,IF(ISNUMBER(SEARCH("geometry",C113)),Parameters!$B$8,IF(ISNUMBER(SEARCH("reasoning",C113)),Parameters!$B$9,Parameters!$B$10))))))</f>
        <v>2</v>
      </c>
      <c r="F113" s="23">
        <f>IF(D113="major",Parameters!$B$14,IF(D113="medium",Parameters!$B$15,Parameters!$B$16))</f>
        <v>3</v>
      </c>
      <c r="G113" s="16">
        <f t="shared" si="5"/>
        <v>2</v>
      </c>
      <c r="H113" s="24">
        <f>Parameters!$B$20^(G113-1)</f>
        <v>0.7</v>
      </c>
      <c r="I113" s="18">
        <f t="shared" si="4"/>
        <v>4.1999999999999993</v>
      </c>
    </row>
    <row r="114" spans="1:9" ht="13.15" x14ac:dyDescent="0.35">
      <c r="A114" s="21">
        <v>113</v>
      </c>
      <c r="B114" s="16">
        <f>'Data LLAMA'!B114</f>
        <v>19</v>
      </c>
      <c r="C114" s="22" t="str">
        <f>'Data LLAMA'!F114</f>
        <v>reasoning</v>
      </c>
      <c r="D114" s="16" t="str">
        <f>LOWER(TRIM('Data LLAMA'!H114))</f>
        <v>major</v>
      </c>
      <c r="E114" s="23">
        <f>IF(ISNUMBER(SEARCH("move_legality",C114)),Parameters!$B$4,IF(ISNUMBER(SEARCH("piece_placement",C114)),Parameters!$B$5,IF(ISNUMBER(SEARCH("material",C114)),Parameters!$B$6,IF(ISNUMBER(SEARCH("piece_relations",C114)),Parameters!$B$7,IF(ISNUMBER(SEARCH("geometry",C114)),Parameters!$B$8,IF(ISNUMBER(SEARCH("reasoning",C114)),Parameters!$B$9,Parameters!$B$10))))))</f>
        <v>2</v>
      </c>
      <c r="F114" s="23">
        <f>IF(D114="major",Parameters!$B$14,IF(D114="medium",Parameters!$B$15,Parameters!$B$16))</f>
        <v>3</v>
      </c>
      <c r="G114" s="16">
        <f t="shared" si="5"/>
        <v>3</v>
      </c>
      <c r="H114" s="24">
        <f>Parameters!$B$20^(G114-1)</f>
        <v>0.48999999999999994</v>
      </c>
      <c r="I114" s="18">
        <f t="shared" si="4"/>
        <v>2.9399999999999995</v>
      </c>
    </row>
    <row r="115" spans="1:9" ht="13.15" x14ac:dyDescent="0.35">
      <c r="A115" s="21">
        <v>114</v>
      </c>
      <c r="B115" s="16">
        <f>'Data LLAMA'!B115</f>
        <v>19</v>
      </c>
      <c r="C115" s="22" t="str">
        <f>'Data LLAMA'!F115</f>
        <v>geometry</v>
      </c>
      <c r="D115" s="16" t="str">
        <f>LOWER(TRIM('Data LLAMA'!H115))</f>
        <v>major</v>
      </c>
      <c r="E115" s="23">
        <f>IF(ISNUMBER(SEARCH("move_legality",C115)),Parameters!$B$4,IF(ISNUMBER(SEARCH("piece_placement",C115)),Parameters!$B$5,IF(ISNUMBER(SEARCH("material",C115)),Parameters!$B$6,IF(ISNUMBER(SEARCH("piece_relations",C115)),Parameters!$B$7,IF(ISNUMBER(SEARCH("geometry",C115)),Parameters!$B$8,IF(ISNUMBER(SEARCH("reasoning",C115)),Parameters!$B$9,Parameters!$B$10))))))</f>
        <v>3</v>
      </c>
      <c r="F115" s="23">
        <f>IF(D115="major",Parameters!$B$14,IF(D115="medium",Parameters!$B$15,Parameters!$B$16))</f>
        <v>3</v>
      </c>
      <c r="G115" s="16">
        <f t="shared" si="5"/>
        <v>1</v>
      </c>
      <c r="H115" s="24">
        <f>Parameters!$B$20^(G115-1)</f>
        <v>1</v>
      </c>
      <c r="I115" s="18">
        <f t="shared" si="4"/>
        <v>9</v>
      </c>
    </row>
    <row r="116" spans="1:9" ht="13.15" x14ac:dyDescent="0.35">
      <c r="A116" s="21">
        <v>115</v>
      </c>
      <c r="B116" s="16">
        <f>'Data LLAMA'!B116</f>
        <v>19</v>
      </c>
      <c r="C116" s="22" t="str">
        <f>'Data LLAMA'!F116</f>
        <v>piece_placement</v>
      </c>
      <c r="D116" s="16" t="str">
        <f>LOWER(TRIM('Data LLAMA'!H116))</f>
        <v>major</v>
      </c>
      <c r="E116" s="23">
        <f>IF(ISNUMBER(SEARCH("move_legality",C116)),Parameters!$B$4,IF(ISNUMBER(SEARCH("piece_placement",C116)),Parameters!$B$5,IF(ISNUMBER(SEARCH("material",C116)),Parameters!$B$6,IF(ISNUMBER(SEARCH("piece_relations",C116)),Parameters!$B$7,IF(ISNUMBER(SEARCH("geometry",C116)),Parameters!$B$8,IF(ISNUMBER(SEARCH("reasoning",C116)),Parameters!$B$9,Parameters!$B$10))))))</f>
        <v>6</v>
      </c>
      <c r="F116" s="23">
        <f>IF(D116="major",Parameters!$B$14,IF(D116="medium",Parameters!$B$15,Parameters!$B$16))</f>
        <v>3</v>
      </c>
      <c r="G116" s="16">
        <f t="shared" si="5"/>
        <v>2</v>
      </c>
      <c r="H116" s="24">
        <f>Parameters!$B$20^(G116-1)</f>
        <v>0.7</v>
      </c>
      <c r="I116" s="18">
        <f t="shared" si="4"/>
        <v>12.6</v>
      </c>
    </row>
    <row r="117" spans="1:9" ht="13.15" x14ac:dyDescent="0.35">
      <c r="A117" s="21">
        <v>116</v>
      </c>
      <c r="B117" s="16">
        <f>'Data LLAMA'!B117</f>
        <v>19</v>
      </c>
      <c r="C117" s="22" t="str">
        <f>'Data LLAMA'!F117</f>
        <v>reasoning</v>
      </c>
      <c r="D117" s="16" t="str">
        <f>LOWER(TRIM('Data LLAMA'!H117))</f>
        <v>major</v>
      </c>
      <c r="E117" s="23">
        <f>IF(ISNUMBER(SEARCH("move_legality",C117)),Parameters!$B$4,IF(ISNUMBER(SEARCH("piece_placement",C117)),Parameters!$B$5,IF(ISNUMBER(SEARCH("material",C117)),Parameters!$B$6,IF(ISNUMBER(SEARCH("piece_relations",C117)),Parameters!$B$7,IF(ISNUMBER(SEARCH("geometry",C117)),Parameters!$B$8,IF(ISNUMBER(SEARCH("reasoning",C117)),Parameters!$B$9,Parameters!$B$10))))))</f>
        <v>2</v>
      </c>
      <c r="F117" s="23">
        <f>IF(D117="major",Parameters!$B$14,IF(D117="medium",Parameters!$B$15,Parameters!$B$16))</f>
        <v>3</v>
      </c>
      <c r="G117" s="16">
        <f t="shared" si="5"/>
        <v>4</v>
      </c>
      <c r="H117" s="24">
        <f>Parameters!$B$20^(G117-1)</f>
        <v>0.34299999999999992</v>
      </c>
      <c r="I117" s="18">
        <f t="shared" si="4"/>
        <v>2.0579999999999994</v>
      </c>
    </row>
    <row r="118" spans="1:9" ht="13.15" x14ac:dyDescent="0.35">
      <c r="A118" s="21">
        <v>117</v>
      </c>
      <c r="B118" s="16">
        <f>'Data LLAMA'!B118</f>
        <v>19</v>
      </c>
      <c r="C118" s="22" t="str">
        <f>'Data LLAMA'!F118</f>
        <v>reasoning</v>
      </c>
      <c r="D118" s="16" t="str">
        <f>LOWER(TRIM('Data LLAMA'!H118))</f>
        <v>major</v>
      </c>
      <c r="E118" s="23">
        <f>IF(ISNUMBER(SEARCH("move_legality",C118)),Parameters!$B$4,IF(ISNUMBER(SEARCH("piece_placement",C118)),Parameters!$B$5,IF(ISNUMBER(SEARCH("material",C118)),Parameters!$B$6,IF(ISNUMBER(SEARCH("piece_relations",C118)),Parameters!$B$7,IF(ISNUMBER(SEARCH("geometry",C118)),Parameters!$B$8,IF(ISNUMBER(SEARCH("reasoning",C118)),Parameters!$B$9,Parameters!$B$10))))))</f>
        <v>2</v>
      </c>
      <c r="F118" s="23">
        <f>IF(D118="major",Parameters!$B$14,IF(D118="medium",Parameters!$B$15,Parameters!$B$16))</f>
        <v>3</v>
      </c>
      <c r="G118" s="16">
        <f t="shared" si="5"/>
        <v>5</v>
      </c>
      <c r="H118" s="24">
        <f>Parameters!$B$20^(G118-1)</f>
        <v>0.24009999999999992</v>
      </c>
      <c r="I118" s="18">
        <f t="shared" si="4"/>
        <v>1.4405999999999994</v>
      </c>
    </row>
    <row r="119" spans="1:9" ht="13.15" x14ac:dyDescent="0.35">
      <c r="A119" s="21">
        <v>118</v>
      </c>
      <c r="B119" s="16">
        <f>'Data LLAMA'!B119</f>
        <v>20</v>
      </c>
      <c r="C119" s="22" t="str">
        <f>'Data LLAMA'!F119</f>
        <v>reasoning</v>
      </c>
      <c r="D119" s="16" t="str">
        <f>LOWER(TRIM('Data LLAMA'!H119))</f>
        <v>major</v>
      </c>
      <c r="E119" s="23">
        <f>IF(ISNUMBER(SEARCH("move_legality",C119)),Parameters!$B$4,IF(ISNUMBER(SEARCH("piece_placement",C119)),Parameters!$B$5,IF(ISNUMBER(SEARCH("material",C119)),Parameters!$B$6,IF(ISNUMBER(SEARCH("piece_relations",C119)),Parameters!$B$7,IF(ISNUMBER(SEARCH("geometry",C119)),Parameters!$B$8,IF(ISNUMBER(SEARCH("reasoning",C119)),Parameters!$B$9,Parameters!$B$10))))))</f>
        <v>2</v>
      </c>
      <c r="F119" s="23">
        <f>IF(D119="major",Parameters!$B$14,IF(D119="medium",Parameters!$B$15,Parameters!$B$16))</f>
        <v>3</v>
      </c>
      <c r="G119" s="16">
        <f t="shared" si="5"/>
        <v>1</v>
      </c>
      <c r="H119" s="24">
        <f>Parameters!$B$20^(G119-1)</f>
        <v>1</v>
      </c>
      <c r="I119" s="18">
        <f t="shared" si="4"/>
        <v>6</v>
      </c>
    </row>
    <row r="120" spans="1:9" ht="13.15" x14ac:dyDescent="0.35">
      <c r="A120" s="21">
        <v>119</v>
      </c>
      <c r="B120" s="16">
        <f>'Data LLAMA'!B120</f>
        <v>20</v>
      </c>
      <c r="C120" s="22" t="str">
        <f>'Data LLAMA'!F120</f>
        <v>piece_relations</v>
      </c>
      <c r="D120" s="16" t="str">
        <f>LOWER(TRIM('Data LLAMA'!H120))</f>
        <v>major</v>
      </c>
      <c r="E120" s="23">
        <f>IF(ISNUMBER(SEARCH("move_legality",C120)),Parameters!$B$4,IF(ISNUMBER(SEARCH("piece_placement",C120)),Parameters!$B$5,IF(ISNUMBER(SEARCH("material",C120)),Parameters!$B$6,IF(ISNUMBER(SEARCH("piece_relations",C120)),Parameters!$B$7,IF(ISNUMBER(SEARCH("geometry",C120)),Parameters!$B$8,IF(ISNUMBER(SEARCH("reasoning",C120)),Parameters!$B$9,Parameters!$B$10))))))</f>
        <v>4</v>
      </c>
      <c r="F120" s="23">
        <f>IF(D120="major",Parameters!$B$14,IF(D120="medium",Parameters!$B$15,Parameters!$B$16))</f>
        <v>3</v>
      </c>
      <c r="G120" s="16">
        <f t="shared" si="5"/>
        <v>1</v>
      </c>
      <c r="H120" s="24">
        <f>Parameters!$B$20^(G120-1)</f>
        <v>1</v>
      </c>
      <c r="I120" s="18">
        <f t="shared" si="4"/>
        <v>12</v>
      </c>
    </row>
    <row r="121" spans="1:9" ht="13.15" x14ac:dyDescent="0.35">
      <c r="A121" s="21">
        <v>120</v>
      </c>
      <c r="B121" s="16">
        <f>'Data LLAMA'!B121</f>
        <v>20</v>
      </c>
      <c r="C121" s="22" t="str">
        <f>'Data LLAMA'!F121</f>
        <v>geometry</v>
      </c>
      <c r="D121" s="16" t="str">
        <f>LOWER(TRIM('Data LLAMA'!H121))</f>
        <v>major</v>
      </c>
      <c r="E121" s="23">
        <f>IF(ISNUMBER(SEARCH("move_legality",C121)),Parameters!$B$4,IF(ISNUMBER(SEARCH("piece_placement",C121)),Parameters!$B$5,IF(ISNUMBER(SEARCH("material",C121)),Parameters!$B$6,IF(ISNUMBER(SEARCH("piece_relations",C121)),Parameters!$B$7,IF(ISNUMBER(SEARCH("geometry",C121)),Parameters!$B$8,IF(ISNUMBER(SEARCH("reasoning",C121)),Parameters!$B$9,Parameters!$B$10))))))</f>
        <v>3</v>
      </c>
      <c r="F121" s="23">
        <f>IF(D121="major",Parameters!$B$14,IF(D121="medium",Parameters!$B$15,Parameters!$B$16))</f>
        <v>3</v>
      </c>
      <c r="G121" s="16">
        <f t="shared" si="5"/>
        <v>1</v>
      </c>
      <c r="H121" s="24">
        <f>Parameters!$B$20^(G121-1)</f>
        <v>1</v>
      </c>
      <c r="I121" s="18">
        <f t="shared" si="4"/>
        <v>9</v>
      </c>
    </row>
    <row r="122" spans="1:9" ht="13.15" x14ac:dyDescent="0.35">
      <c r="A122" s="21">
        <v>121</v>
      </c>
      <c r="B122" s="16">
        <f>'Data LLAMA'!B122</f>
        <v>20</v>
      </c>
      <c r="C122" s="22" t="str">
        <f>'Data LLAMA'!F122</f>
        <v>reasoning</v>
      </c>
      <c r="D122" s="16" t="str">
        <f>LOWER(TRIM('Data LLAMA'!H122))</f>
        <v>major</v>
      </c>
      <c r="E122" s="23">
        <f>IF(ISNUMBER(SEARCH("move_legality",C122)),Parameters!$B$4,IF(ISNUMBER(SEARCH("piece_placement",C122)),Parameters!$B$5,IF(ISNUMBER(SEARCH("material",C122)),Parameters!$B$6,IF(ISNUMBER(SEARCH("piece_relations",C122)),Parameters!$B$7,IF(ISNUMBER(SEARCH("geometry",C122)),Parameters!$B$8,IF(ISNUMBER(SEARCH("reasoning",C122)),Parameters!$B$9,Parameters!$B$10))))))</f>
        <v>2</v>
      </c>
      <c r="F122" s="23">
        <f>IF(D122="major",Parameters!$B$14,IF(D122="medium",Parameters!$B$15,Parameters!$B$16))</f>
        <v>3</v>
      </c>
      <c r="G122" s="16">
        <f t="shared" si="5"/>
        <v>2</v>
      </c>
      <c r="H122" s="24">
        <f>Parameters!$B$20^(G122-1)</f>
        <v>0.7</v>
      </c>
      <c r="I122" s="18">
        <f t="shared" si="4"/>
        <v>4.1999999999999993</v>
      </c>
    </row>
    <row r="123" spans="1:9" ht="13.15" x14ac:dyDescent="0.35">
      <c r="A123" s="21">
        <v>122</v>
      </c>
      <c r="B123" s="16">
        <f>'Data LLAMA'!B123</f>
        <v>20</v>
      </c>
      <c r="C123" s="22" t="str">
        <f>'Data LLAMA'!F123</f>
        <v>reasoning</v>
      </c>
      <c r="D123" s="16" t="str">
        <f>LOWER(TRIM('Data LLAMA'!H123))</f>
        <v>medium</v>
      </c>
      <c r="E123" s="23">
        <f>IF(ISNUMBER(SEARCH("move_legality",C123)),Parameters!$B$4,IF(ISNUMBER(SEARCH("piece_placement",C123)),Parameters!$B$5,IF(ISNUMBER(SEARCH("material",C123)),Parameters!$B$6,IF(ISNUMBER(SEARCH("piece_relations",C123)),Parameters!$B$7,IF(ISNUMBER(SEARCH("geometry",C123)),Parameters!$B$8,IF(ISNUMBER(SEARCH("reasoning",C123)),Parameters!$B$9,Parameters!$B$10))))))</f>
        <v>2</v>
      </c>
      <c r="F123" s="23">
        <f>IF(D123="major",Parameters!$B$14,IF(D123="medium",Parameters!$B$15,Parameters!$B$16))</f>
        <v>2</v>
      </c>
      <c r="G123" s="16">
        <f t="shared" si="5"/>
        <v>5</v>
      </c>
      <c r="H123" s="24">
        <f>Parameters!$B$20^(G123-1)</f>
        <v>0.24009999999999992</v>
      </c>
      <c r="I123" s="18">
        <f t="shared" si="4"/>
        <v>0.9603999999999997</v>
      </c>
    </row>
    <row r="124" spans="1:9" ht="13.15" x14ac:dyDescent="0.35">
      <c r="A124" s="21">
        <v>123</v>
      </c>
      <c r="B124" s="16">
        <f>'Data LLAMA'!B124</f>
        <v>20</v>
      </c>
      <c r="C124" s="22" t="str">
        <f>'Data LLAMA'!F124</f>
        <v>reasoning</v>
      </c>
      <c r="D124" s="16" t="str">
        <f>LOWER(TRIM('Data LLAMA'!H124))</f>
        <v>medium</v>
      </c>
      <c r="E124" s="23">
        <f>IF(ISNUMBER(SEARCH("move_legality",C124)),Parameters!$B$4,IF(ISNUMBER(SEARCH("piece_placement",C124)),Parameters!$B$5,IF(ISNUMBER(SEARCH("material",C124)),Parameters!$B$6,IF(ISNUMBER(SEARCH("piece_relations",C124)),Parameters!$B$7,IF(ISNUMBER(SEARCH("geometry",C124)),Parameters!$B$8,IF(ISNUMBER(SEARCH("reasoning",C124)),Parameters!$B$9,Parameters!$B$10))))))</f>
        <v>2</v>
      </c>
      <c r="F124" s="23">
        <f>IF(D124="major",Parameters!$B$14,IF(D124="medium",Parameters!$B$15,Parameters!$B$16))</f>
        <v>2</v>
      </c>
      <c r="G124" s="16">
        <f t="shared" si="5"/>
        <v>6</v>
      </c>
      <c r="H124" s="24">
        <f>Parameters!$B$20^(G124-1)</f>
        <v>0.16806999999999994</v>
      </c>
      <c r="I124" s="18">
        <f t="shared" si="4"/>
        <v>0.67227999999999977</v>
      </c>
    </row>
    <row r="125" spans="1:9" ht="13.15" x14ac:dyDescent="0.35">
      <c r="A125" s="21">
        <v>124</v>
      </c>
      <c r="B125" s="16">
        <f>'Data LLAMA'!B125</f>
        <v>20</v>
      </c>
      <c r="C125" s="22" t="str">
        <f>'Data LLAMA'!F125</f>
        <v>piece_relations</v>
      </c>
      <c r="D125" s="16" t="str">
        <f>LOWER(TRIM('Data LLAMA'!H125))</f>
        <v>major</v>
      </c>
      <c r="E125" s="23">
        <f>IF(ISNUMBER(SEARCH("move_legality",C125)),Parameters!$B$4,IF(ISNUMBER(SEARCH("piece_placement",C125)),Parameters!$B$5,IF(ISNUMBER(SEARCH("material",C125)),Parameters!$B$6,IF(ISNUMBER(SEARCH("piece_relations",C125)),Parameters!$B$7,IF(ISNUMBER(SEARCH("geometry",C125)),Parameters!$B$8,IF(ISNUMBER(SEARCH("reasoning",C125)),Parameters!$B$9,Parameters!$B$10))))))</f>
        <v>4</v>
      </c>
      <c r="F125" s="23">
        <f>IF(D125="major",Parameters!$B$14,IF(D125="medium",Parameters!$B$15,Parameters!$B$16))</f>
        <v>3</v>
      </c>
      <c r="G125" s="16">
        <f t="shared" si="5"/>
        <v>2</v>
      </c>
      <c r="H125" s="24">
        <f>Parameters!$B$20^(G125-1)</f>
        <v>0.7</v>
      </c>
      <c r="I125" s="18">
        <f t="shared" si="4"/>
        <v>8.3999999999999986</v>
      </c>
    </row>
    <row r="126" spans="1:9" ht="13.15" x14ac:dyDescent="0.35">
      <c r="A126" s="21">
        <v>125</v>
      </c>
      <c r="B126" s="16">
        <f>'Data LLAMA'!B126</f>
        <v>20</v>
      </c>
      <c r="C126" s="22" t="str">
        <f>'Data LLAMA'!F126</f>
        <v>material</v>
      </c>
      <c r="D126" s="16" t="str">
        <f>LOWER(TRIM('Data LLAMA'!H126))</f>
        <v>major</v>
      </c>
      <c r="E126" s="23">
        <f>IF(ISNUMBER(SEARCH("move_legality",C126)),Parameters!$B$4,IF(ISNUMBER(SEARCH("piece_placement",C126)),Parameters!$B$5,IF(ISNUMBER(SEARCH("material",C126)),Parameters!$B$6,IF(ISNUMBER(SEARCH("piece_relations",C126)),Parameters!$B$7,IF(ISNUMBER(SEARCH("geometry",C126)),Parameters!$B$8,IF(ISNUMBER(SEARCH("reasoning",C126)),Parameters!$B$9,Parameters!$B$10))))))</f>
        <v>5</v>
      </c>
      <c r="F126" s="23">
        <f>IF(D126="major",Parameters!$B$14,IF(D126="medium",Parameters!$B$15,Parameters!$B$16))</f>
        <v>3</v>
      </c>
      <c r="G126" s="16">
        <f t="shared" si="5"/>
        <v>1</v>
      </c>
      <c r="H126" s="24">
        <f>Parameters!$B$20^(G126-1)</f>
        <v>1</v>
      </c>
      <c r="I126" s="18">
        <f t="shared" si="4"/>
        <v>15</v>
      </c>
    </row>
    <row r="127" spans="1:9" ht="13.15" x14ac:dyDescent="0.35">
      <c r="A127" s="21">
        <v>126</v>
      </c>
      <c r="B127" s="16">
        <f>'Data LLAMA'!B127</f>
        <v>20</v>
      </c>
      <c r="C127" s="22" t="str">
        <f>'Data LLAMA'!F127</f>
        <v>material</v>
      </c>
      <c r="D127" s="16" t="str">
        <f>LOWER(TRIM('Data LLAMA'!H127))</f>
        <v>major</v>
      </c>
      <c r="E127" s="23">
        <f>IF(ISNUMBER(SEARCH("move_legality",C127)),Parameters!$B$4,IF(ISNUMBER(SEARCH("piece_placement",C127)),Parameters!$B$5,IF(ISNUMBER(SEARCH("material",C127)),Parameters!$B$6,IF(ISNUMBER(SEARCH("piece_relations",C127)),Parameters!$B$7,IF(ISNUMBER(SEARCH("geometry",C127)),Parameters!$B$8,IF(ISNUMBER(SEARCH("reasoning",C127)),Parameters!$B$9,Parameters!$B$10))))))</f>
        <v>5</v>
      </c>
      <c r="F127" s="23">
        <f>IF(D127="major",Parameters!$B$14,IF(D127="medium",Parameters!$B$15,Parameters!$B$16))</f>
        <v>3</v>
      </c>
      <c r="G127" s="16">
        <f t="shared" si="5"/>
        <v>2</v>
      </c>
      <c r="H127" s="24">
        <f>Parameters!$B$20^(G127-1)</f>
        <v>0.7</v>
      </c>
      <c r="I127" s="18">
        <f t="shared" si="4"/>
        <v>10.5</v>
      </c>
    </row>
    <row r="128" spans="1:9" ht="13.15" x14ac:dyDescent="0.35">
      <c r="A128" s="21">
        <v>127</v>
      </c>
      <c r="B128" s="16">
        <f>'Data LLAMA'!B128</f>
        <v>20</v>
      </c>
      <c r="C128" s="22" t="str">
        <f>'Data LLAMA'!F128</f>
        <v>piece_relations</v>
      </c>
      <c r="D128" s="16" t="str">
        <f>LOWER(TRIM('Data LLAMA'!H128))</f>
        <v>major</v>
      </c>
      <c r="E128" s="23">
        <f>IF(ISNUMBER(SEARCH("move_legality",C128)),Parameters!$B$4,IF(ISNUMBER(SEARCH("piece_placement",C128)),Parameters!$B$5,IF(ISNUMBER(SEARCH("material",C128)),Parameters!$B$6,IF(ISNUMBER(SEARCH("piece_relations",C128)),Parameters!$B$7,IF(ISNUMBER(SEARCH("geometry",C128)),Parameters!$B$8,IF(ISNUMBER(SEARCH("reasoning",C128)),Parameters!$B$9,Parameters!$B$10))))))</f>
        <v>4</v>
      </c>
      <c r="F128" s="23">
        <f>IF(D128="major",Parameters!$B$14,IF(D128="medium",Parameters!$B$15,Parameters!$B$16))</f>
        <v>3</v>
      </c>
      <c r="G128" s="16">
        <f t="shared" si="5"/>
        <v>3</v>
      </c>
      <c r="H128" s="24">
        <f>Parameters!$B$20^(G128-1)</f>
        <v>0.48999999999999994</v>
      </c>
      <c r="I128" s="18">
        <f t="shared" si="4"/>
        <v>5.879999999999999</v>
      </c>
    </row>
    <row r="129" spans="1:9" ht="13.15" x14ac:dyDescent="0.35">
      <c r="A129" s="21">
        <v>128</v>
      </c>
      <c r="B129" s="16">
        <f>'Data LLAMA'!B129</f>
        <v>20</v>
      </c>
      <c r="C129" s="22" t="str">
        <f>'Data LLAMA'!F129</f>
        <v>reasoning</v>
      </c>
      <c r="D129" s="16" t="str">
        <f>LOWER(TRIM('Data LLAMA'!H129))</f>
        <v>major</v>
      </c>
      <c r="E129" s="23">
        <f>IF(ISNUMBER(SEARCH("move_legality",C129)),Parameters!$B$4,IF(ISNUMBER(SEARCH("piece_placement",C129)),Parameters!$B$5,IF(ISNUMBER(SEARCH("material",C129)),Parameters!$B$6,IF(ISNUMBER(SEARCH("piece_relations",C129)),Parameters!$B$7,IF(ISNUMBER(SEARCH("geometry",C129)),Parameters!$B$8,IF(ISNUMBER(SEARCH("reasoning",C129)),Parameters!$B$9,Parameters!$B$10))))))</f>
        <v>2</v>
      </c>
      <c r="F129" s="23">
        <f>IF(D129="major",Parameters!$B$14,IF(D129="medium",Parameters!$B$15,Parameters!$B$16))</f>
        <v>3</v>
      </c>
      <c r="G129" s="16">
        <f t="shared" si="5"/>
        <v>3</v>
      </c>
      <c r="H129" s="24">
        <f>Parameters!$B$20^(G129-1)</f>
        <v>0.48999999999999994</v>
      </c>
      <c r="I129" s="18">
        <f t="shared" si="4"/>
        <v>2.9399999999999995</v>
      </c>
    </row>
    <row r="130" spans="1:9" ht="13.15" x14ac:dyDescent="0.35">
      <c r="A130" s="21">
        <v>129</v>
      </c>
      <c r="B130" s="16">
        <f>'Data LLAMA'!B130</f>
        <v>20</v>
      </c>
      <c r="C130" s="22" t="str">
        <f>'Data LLAMA'!F130</f>
        <v>piece_relations</v>
      </c>
      <c r="D130" s="16" t="str">
        <f>LOWER(TRIM('Data LLAMA'!H130))</f>
        <v>major</v>
      </c>
      <c r="E130" s="23">
        <f>IF(ISNUMBER(SEARCH("move_legality",C130)),Parameters!$B$4,IF(ISNUMBER(SEARCH("piece_placement",C130)),Parameters!$B$5,IF(ISNUMBER(SEARCH("material",C130)),Parameters!$B$6,IF(ISNUMBER(SEARCH("piece_relations",C130)),Parameters!$B$7,IF(ISNUMBER(SEARCH("geometry",C130)),Parameters!$B$8,IF(ISNUMBER(SEARCH("reasoning",C130)),Parameters!$B$9,Parameters!$B$10))))))</f>
        <v>4</v>
      </c>
      <c r="F130" s="23">
        <f>IF(D130="major",Parameters!$B$14,IF(D130="medium",Parameters!$B$15,Parameters!$B$16))</f>
        <v>3</v>
      </c>
      <c r="G130" s="16">
        <f t="shared" ref="G130:G132" si="6">COUNTIFS($B$2:$B$132,B130,$C$2:$C$132,C130,$F$2:$F$132,"&gt;"&amp;F130)+COUNTIFS($B$2:$B$132,B130,$C$2:$C$132,C130,$F$2:$F$132,F130,$A$2:$A$132,"&lt;="&amp;A130)</f>
        <v>4</v>
      </c>
      <c r="H130" s="24">
        <f>Parameters!$B$20^(G130-1)</f>
        <v>0.34299999999999992</v>
      </c>
      <c r="I130" s="18">
        <f t="shared" si="4"/>
        <v>4.1159999999999988</v>
      </c>
    </row>
    <row r="131" spans="1:9" ht="13.15" x14ac:dyDescent="0.35">
      <c r="A131" s="21">
        <v>130</v>
      </c>
      <c r="B131" s="16">
        <f>'Data LLAMA'!B131</f>
        <v>20</v>
      </c>
      <c r="C131" s="22" t="str">
        <f>'Data LLAMA'!F131</f>
        <v>reasoning</v>
      </c>
      <c r="D131" s="16" t="str">
        <f>LOWER(TRIM('Data LLAMA'!H131))</f>
        <v>major</v>
      </c>
      <c r="E131" s="23">
        <f>IF(ISNUMBER(SEARCH("move_legality",C131)),Parameters!$B$4,IF(ISNUMBER(SEARCH("piece_placement",C131)),Parameters!$B$5,IF(ISNUMBER(SEARCH("material",C131)),Parameters!$B$6,IF(ISNUMBER(SEARCH("piece_relations",C131)),Parameters!$B$7,IF(ISNUMBER(SEARCH("geometry",C131)),Parameters!$B$8,IF(ISNUMBER(SEARCH("reasoning",C131)),Parameters!$B$9,Parameters!$B$10))))))</f>
        <v>2</v>
      </c>
      <c r="F131" s="23">
        <f>IF(D131="major",Parameters!$B$14,IF(D131="medium",Parameters!$B$15,Parameters!$B$16))</f>
        <v>3</v>
      </c>
      <c r="G131" s="16">
        <f t="shared" si="6"/>
        <v>4</v>
      </c>
      <c r="H131" s="24">
        <f>Parameters!$B$20^(G131-1)</f>
        <v>0.34299999999999992</v>
      </c>
      <c r="I131" s="18">
        <f t="shared" ref="I131:I132" si="7">E131*F131*H131</f>
        <v>2.0579999999999994</v>
      </c>
    </row>
    <row r="132" spans="1:9" ht="13.15" x14ac:dyDescent="0.35">
      <c r="A132" s="21">
        <v>131</v>
      </c>
      <c r="B132" s="16">
        <f>'Data LLAMA'!B132</f>
        <v>20</v>
      </c>
      <c r="C132" s="22" t="str">
        <f>'Data LLAMA'!F132</f>
        <v>move_legality</v>
      </c>
      <c r="D132" s="16" t="str">
        <f>LOWER(TRIM('Data LLAMA'!H132))</f>
        <v>major</v>
      </c>
      <c r="E132" s="23">
        <f>IF(ISNUMBER(SEARCH("move_legality",C132)),Parameters!$B$4,IF(ISNUMBER(SEARCH("piece_placement",C132)),Parameters!$B$5,IF(ISNUMBER(SEARCH("material",C132)),Parameters!$B$6,IF(ISNUMBER(SEARCH("piece_relations",C132)),Parameters!$B$7,IF(ISNUMBER(SEARCH("geometry",C132)),Parameters!$B$8,IF(ISNUMBER(SEARCH("reasoning",C132)),Parameters!$B$9,Parameters!$B$10))))))</f>
        <v>8</v>
      </c>
      <c r="F132" s="23">
        <f>IF(D132="major",Parameters!$B$14,IF(D132="medium",Parameters!$B$15,Parameters!$B$16))</f>
        <v>3</v>
      </c>
      <c r="G132" s="16">
        <f t="shared" si="6"/>
        <v>1</v>
      </c>
      <c r="H132" s="24">
        <f>Parameters!$B$20^(G132-1)</f>
        <v>1</v>
      </c>
      <c r="I132" s="18">
        <f t="shared" si="7"/>
        <v>24</v>
      </c>
    </row>
  </sheetData>
  <autoFilter ref="A1:I224" xr:uid="{00000000-0009-0000-0000-000002000000}">
    <sortState xmlns:xlrd2="http://schemas.microsoft.com/office/spreadsheetml/2017/richdata2" ref="A2:I224">
      <sortCondition ref="A1:A224"/>
    </sortState>
  </autoFilter>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7DAE-8995-4845-9418-6E04F59ACF9C}">
  <sheetPr>
    <tabColor theme="6"/>
  </sheetPr>
  <dimension ref="A1:E22"/>
  <sheetViews>
    <sheetView zoomScaleNormal="100" workbookViewId="0">
      <pane ySplit="1" topLeftCell="A2" activePane="bottomLeft" state="frozen"/>
      <selection pane="bottomLeft" activeCell="B2" sqref="B2:E21"/>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LLAMA'!$B:$B, A2)</f>
        <v>3</v>
      </c>
      <c r="C2" s="13">
        <f>SUMIF('Calculations LLAMA'!$B:$B, A2, 'Calculations LLAMA'!$I:$I)</f>
        <v>23.4</v>
      </c>
      <c r="D2" s="14">
        <f t="shared" ref="D2" si="0">MAX(0,100-C2)</f>
        <v>76.599999999999994</v>
      </c>
      <c r="E2" s="12" t="str">
        <f>IF(D2&gt;=90,"Excellent",IF(D2&gt;=75,"Good",IF(D2&gt;=55,"Acceptable",IF(D2&gt;=35,"Weak","Critic"))))</f>
        <v>Good</v>
      </c>
    </row>
    <row r="3" spans="1:5" ht="13.15" x14ac:dyDescent="0.35">
      <c r="A3" s="15">
        <v>2</v>
      </c>
      <c r="B3" s="16">
        <f>COUNTIF('Calculations LLAMA'!$B:$B, A3)</f>
        <v>5</v>
      </c>
      <c r="C3" s="17">
        <f>SUMIF('Calculations LLAMA'!$B:$B, A3, 'Calculations LLAMA'!$I:$I)</f>
        <v>51.8</v>
      </c>
      <c r="D3" s="18">
        <f t="shared" ref="D3:D21" si="1">MAX(0,100-C3)</f>
        <v>48.2</v>
      </c>
      <c r="E3" s="16" t="str">
        <f t="shared" ref="E3:E21" si="2">IF(D3&gt;=90,"Excellent",IF(D3&gt;=75,"Good",IF(D3&gt;=55,"Acceptable",IF(D3&gt;=35,"Weak","Critic"))))</f>
        <v>Weak</v>
      </c>
    </row>
    <row r="4" spans="1:5" ht="13.15" x14ac:dyDescent="0.35">
      <c r="A4" s="11">
        <v>3</v>
      </c>
      <c r="B4" s="12">
        <f>COUNTIF('Calculations LLAMA'!$B:$B, A4)</f>
        <v>6</v>
      </c>
      <c r="C4" s="13">
        <f>SUMIF('Calculations LLAMA'!$B:$B, A4, 'Calculations LLAMA'!$I:$I)</f>
        <v>27.4724</v>
      </c>
      <c r="D4" s="14">
        <f t="shared" si="1"/>
        <v>72.527600000000007</v>
      </c>
      <c r="E4" s="12" t="str">
        <f t="shared" si="2"/>
        <v>Acceptable</v>
      </c>
    </row>
    <row r="5" spans="1:5" ht="13.15" x14ac:dyDescent="0.35">
      <c r="A5" s="15">
        <v>4</v>
      </c>
      <c r="B5" s="16">
        <f>COUNTIF('Calculations LLAMA'!$B:$B, A5)</f>
        <v>7</v>
      </c>
      <c r="C5" s="17">
        <f>SUMIF('Calculations LLAMA'!$B:$B, A5, 'Calculations LLAMA'!$I:$I)</f>
        <v>30.948340000000002</v>
      </c>
      <c r="D5" s="18">
        <f t="shared" si="1"/>
        <v>69.051659999999998</v>
      </c>
      <c r="E5" s="16" t="str">
        <f t="shared" si="2"/>
        <v>Acceptable</v>
      </c>
    </row>
    <row r="6" spans="1:5" ht="13.15" x14ac:dyDescent="0.35">
      <c r="A6" s="11">
        <v>5</v>
      </c>
      <c r="B6" s="12">
        <f>COUNTIF('Calculations LLAMA'!$B:$B, A6)</f>
        <v>9</v>
      </c>
      <c r="C6" s="13">
        <f>SUMIF('Calculations LLAMA'!$B:$B, A6, 'Calculations LLAMA'!$I:$I)</f>
        <v>65.950879999999998</v>
      </c>
      <c r="D6" s="14">
        <f t="shared" si="1"/>
        <v>34.049120000000002</v>
      </c>
      <c r="E6" s="12" t="str">
        <f t="shared" si="2"/>
        <v>Critic</v>
      </c>
    </row>
    <row r="7" spans="1:5" ht="13.15" x14ac:dyDescent="0.35">
      <c r="A7" s="15">
        <v>6</v>
      </c>
      <c r="B7" s="16">
        <f>COUNTIF('Calculations LLAMA'!$B:$B, A7)</f>
        <v>7</v>
      </c>
      <c r="C7" s="17">
        <f>SUMIF('Calculations LLAMA'!$B:$B, A7, 'Calculations LLAMA'!$I:$I)</f>
        <v>32.974739999999997</v>
      </c>
      <c r="D7" s="18">
        <f t="shared" si="1"/>
        <v>67.025260000000003</v>
      </c>
      <c r="E7" s="16" t="str">
        <f t="shared" si="2"/>
        <v>Acceptable</v>
      </c>
    </row>
    <row r="8" spans="1:5" ht="13.15" x14ac:dyDescent="0.35">
      <c r="A8" s="11">
        <v>7</v>
      </c>
      <c r="B8" s="12">
        <f>COUNTIF('Calculations LLAMA'!$B:$B, A8)</f>
        <v>9</v>
      </c>
      <c r="C8" s="13">
        <f>SUMIF('Calculations LLAMA'!$B:$B, A8, 'Calculations LLAMA'!$I:$I)</f>
        <v>35.463838000000003</v>
      </c>
      <c r="D8" s="14">
        <f t="shared" si="1"/>
        <v>64.53616199999999</v>
      </c>
      <c r="E8" s="12" t="str">
        <f t="shared" si="2"/>
        <v>Acceptable</v>
      </c>
    </row>
    <row r="9" spans="1:5" ht="13.15" x14ac:dyDescent="0.35">
      <c r="A9" s="15">
        <v>8</v>
      </c>
      <c r="B9" s="16">
        <f>COUNTIF('Calculations LLAMA'!$B:$B, A9)</f>
        <v>6</v>
      </c>
      <c r="C9" s="17">
        <f>SUMIF('Calculations LLAMA'!$B:$B, A9, 'Calculations LLAMA'!$I:$I)</f>
        <v>56.199999999999996</v>
      </c>
      <c r="D9" s="18">
        <f t="shared" si="1"/>
        <v>43.800000000000004</v>
      </c>
      <c r="E9" s="16" t="str">
        <f t="shared" si="2"/>
        <v>Weak</v>
      </c>
    </row>
    <row r="10" spans="1:5" ht="13.15" x14ac:dyDescent="0.35">
      <c r="A10" s="11">
        <v>9</v>
      </c>
      <c r="B10" s="12">
        <f>COUNTIF('Calculations LLAMA'!$B:$B, A10)</f>
        <v>6</v>
      </c>
      <c r="C10" s="13">
        <f>SUMIF('Calculations LLAMA'!$B:$B, A10, 'Calculations LLAMA'!$I:$I)</f>
        <v>41.066000000000003</v>
      </c>
      <c r="D10" s="14">
        <f t="shared" si="1"/>
        <v>58.933999999999997</v>
      </c>
      <c r="E10" s="12" t="str">
        <f t="shared" si="2"/>
        <v>Acceptable</v>
      </c>
    </row>
    <row r="11" spans="1:5" ht="13.15" x14ac:dyDescent="0.35">
      <c r="A11" s="15">
        <v>10</v>
      </c>
      <c r="B11" s="16">
        <f>COUNTIF('Calculations LLAMA'!$B:$B, A11)</f>
        <v>6</v>
      </c>
      <c r="C11" s="17">
        <f>SUMIF('Calculations LLAMA'!$B:$B, A11, 'Calculations LLAMA'!$I:$I)</f>
        <v>58.4</v>
      </c>
      <c r="D11" s="18">
        <f t="shared" si="1"/>
        <v>41.6</v>
      </c>
      <c r="E11" s="16" t="str">
        <f t="shared" si="2"/>
        <v>Weak</v>
      </c>
    </row>
    <row r="12" spans="1:5" ht="13.15" x14ac:dyDescent="0.35">
      <c r="A12" s="11">
        <v>11</v>
      </c>
      <c r="B12" s="12">
        <f>COUNTIF('Calculations LLAMA'!$B:$B, A12)</f>
        <v>2</v>
      </c>
      <c r="C12" s="13">
        <f>SUMIF('Calculations LLAMA'!$B:$B, A12, 'Calculations LLAMA'!$I:$I)</f>
        <v>22</v>
      </c>
      <c r="D12" s="14">
        <f t="shared" si="1"/>
        <v>78</v>
      </c>
      <c r="E12" s="12" t="str">
        <f t="shared" si="2"/>
        <v>Good</v>
      </c>
    </row>
    <row r="13" spans="1:5" ht="13.15" x14ac:dyDescent="0.35">
      <c r="A13" s="15">
        <v>12</v>
      </c>
      <c r="B13" s="16">
        <f>COUNTIF('Calculations LLAMA'!$B:$B, A13)</f>
        <v>10</v>
      </c>
      <c r="C13" s="17">
        <f>SUMIF('Calculations LLAMA'!$B:$B, A13, 'Calculations LLAMA'!$I:$I)</f>
        <v>41.1108932</v>
      </c>
      <c r="D13" s="18">
        <f t="shared" si="1"/>
        <v>58.8891068</v>
      </c>
      <c r="E13" s="16" t="str">
        <f t="shared" si="2"/>
        <v>Acceptable</v>
      </c>
    </row>
    <row r="14" spans="1:5" ht="13.15" x14ac:dyDescent="0.35">
      <c r="A14" s="11">
        <v>13</v>
      </c>
      <c r="B14" s="12">
        <f>COUNTIF('Calculations LLAMA'!$B:$B, A14)</f>
        <v>3</v>
      </c>
      <c r="C14" s="13">
        <f>SUMIF('Calculations LLAMA'!$B:$B, A14, 'Calculations LLAMA'!$I:$I)</f>
        <v>8.379999999999999</v>
      </c>
      <c r="D14" s="14">
        <f t="shared" si="1"/>
        <v>91.62</v>
      </c>
      <c r="E14" s="12" t="str">
        <f t="shared" si="2"/>
        <v>Excellent</v>
      </c>
    </row>
    <row r="15" spans="1:5" ht="13.15" x14ac:dyDescent="0.35">
      <c r="A15" s="15">
        <v>14</v>
      </c>
      <c r="B15" s="16">
        <f>COUNTIF('Calculations LLAMA'!$B:$B, A15)</f>
        <v>2</v>
      </c>
      <c r="C15" s="17">
        <f>SUMIF('Calculations LLAMA'!$B:$B, A15, 'Calculations LLAMA'!$I:$I)</f>
        <v>7.4</v>
      </c>
      <c r="D15" s="18">
        <f t="shared" si="1"/>
        <v>92.6</v>
      </c>
      <c r="E15" s="16" t="str">
        <f t="shared" si="2"/>
        <v>Excellent</v>
      </c>
    </row>
    <row r="16" spans="1:5" ht="13.15" x14ac:dyDescent="0.35">
      <c r="A16" s="11">
        <v>15</v>
      </c>
      <c r="B16" s="12">
        <f>COUNTIF('Calculations LLAMA'!$B:$B, A16)</f>
        <v>3</v>
      </c>
      <c r="C16" s="13">
        <f>SUMIF('Calculations LLAMA'!$B:$B, A16, 'Calculations LLAMA'!$I:$I)</f>
        <v>23.4</v>
      </c>
      <c r="D16" s="14">
        <f t="shared" si="1"/>
        <v>76.599999999999994</v>
      </c>
      <c r="E16" s="12" t="str">
        <f t="shared" si="2"/>
        <v>Good</v>
      </c>
    </row>
    <row r="17" spans="1:5" ht="13.15" x14ac:dyDescent="0.35">
      <c r="A17" s="15">
        <v>16</v>
      </c>
      <c r="B17" s="16">
        <f>COUNTIF('Calculations LLAMA'!$B:$B, A17)</f>
        <v>9</v>
      </c>
      <c r="C17" s="17">
        <f>SUMIF('Calculations LLAMA'!$B:$B, A17, 'Calculations LLAMA'!$I:$I)</f>
        <v>80.672399999999996</v>
      </c>
      <c r="D17" s="18">
        <f t="shared" si="1"/>
        <v>19.327600000000004</v>
      </c>
      <c r="E17" s="16" t="str">
        <f t="shared" si="2"/>
        <v>Critic</v>
      </c>
    </row>
    <row r="18" spans="1:5" ht="13.15" x14ac:dyDescent="0.35">
      <c r="A18" s="11">
        <v>17</v>
      </c>
      <c r="B18" s="12">
        <f>COUNTIF('Calculations LLAMA'!$B:$B, A18)</f>
        <v>8</v>
      </c>
      <c r="C18" s="13">
        <f>SUMIF('Calculations LLAMA'!$B:$B, A18, 'Calculations LLAMA'!$I:$I)</f>
        <v>83.899999999999991</v>
      </c>
      <c r="D18" s="14">
        <f t="shared" si="1"/>
        <v>16.100000000000009</v>
      </c>
      <c r="E18" s="12" t="str">
        <f t="shared" si="2"/>
        <v>Critic</v>
      </c>
    </row>
    <row r="19" spans="1:5" ht="13.15" x14ac:dyDescent="0.35">
      <c r="A19" s="15">
        <v>18</v>
      </c>
      <c r="B19" s="16">
        <f>COUNTIF('Calculations LLAMA'!$B:$B, A19)</f>
        <v>4</v>
      </c>
      <c r="C19" s="17">
        <f>SUMIF('Calculations LLAMA'!$B:$B, A19, 'Calculations LLAMA'!$I:$I)</f>
        <v>35.18</v>
      </c>
      <c r="D19" s="18">
        <f t="shared" si="1"/>
        <v>64.819999999999993</v>
      </c>
      <c r="E19" s="16" t="str">
        <f t="shared" si="2"/>
        <v>Acceptable</v>
      </c>
    </row>
    <row r="20" spans="1:5" ht="13.15" x14ac:dyDescent="0.35">
      <c r="A20" s="11">
        <v>19</v>
      </c>
      <c r="B20" s="12">
        <f>COUNTIF('Calculations LLAMA'!$B:$B, A20)</f>
        <v>12</v>
      </c>
      <c r="C20" s="13">
        <f>SUMIF('Calculations LLAMA'!$B:$B, A20, 'Calculations LLAMA'!$I:$I)</f>
        <v>77.210037999999983</v>
      </c>
      <c r="D20" s="14">
        <f t="shared" si="1"/>
        <v>22.789962000000017</v>
      </c>
      <c r="E20" s="12" t="str">
        <f t="shared" si="2"/>
        <v>Critic</v>
      </c>
    </row>
    <row r="21" spans="1:5" ht="13.15" x14ac:dyDescent="0.35">
      <c r="A21" s="15">
        <v>20</v>
      </c>
      <c r="B21" s="16">
        <f>COUNTIF('Calculations LLAMA'!$B:$B, A21)</f>
        <v>14</v>
      </c>
      <c r="C21" s="17">
        <f>SUMIF('Calculations LLAMA'!$B:$B, A21, 'Calculations LLAMA'!$I:$I)</f>
        <v>105.72667999999997</v>
      </c>
      <c r="D21" s="18">
        <f t="shared" si="1"/>
        <v>0</v>
      </c>
      <c r="E21" s="16" t="str">
        <f t="shared" si="2"/>
        <v>Critic</v>
      </c>
    </row>
    <row r="22" spans="1:5" ht="15" x14ac:dyDescent="0.35">
      <c r="A22" s="56" t="s">
        <v>577</v>
      </c>
      <c r="B22" s="56"/>
      <c r="C22" s="19">
        <f>ROUND(AVERAGE(C2:C21),2)</f>
        <v>45.43</v>
      </c>
      <c r="D22" s="19">
        <f>ROUND(AVERAGE(D2:D21),2)</f>
        <v>54.85</v>
      </c>
      <c r="E22" s="20" t="str">
        <f t="shared" ref="E22" si="3">IF(D22&gt;=90,"Excellent",IF(D22&gt;=75,"Good",IF(D22&gt;=55,"Acceptable",IF(D22&gt;=35,"Weak","Critic"))))</f>
        <v>Weak</v>
      </c>
    </row>
  </sheetData>
  <mergeCells count="1">
    <mergeCell ref="A22:B22"/>
  </mergeCells>
  <conditionalFormatting sqref="C2:C21">
    <cfRule type="cellIs" dxfId="5" priority="1" operator="greaterThan">
      <formula>99</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847B-1F21-4CC6-A2C0-E0370E637557}">
  <sheetPr>
    <tabColor theme="7"/>
  </sheetPr>
  <dimension ref="A1:H115"/>
  <sheetViews>
    <sheetView topLeftCell="F1" zoomScaleNormal="100" workbookViewId="0">
      <pane ySplit="1" topLeftCell="A2" activePane="bottomLeft" state="frozen"/>
      <selection pane="bottomLeft" activeCell="H2" sqref="H2"/>
    </sheetView>
  </sheetViews>
  <sheetFormatPr defaultColWidth="12.59765625" defaultRowHeight="12.75" x14ac:dyDescent="0.35"/>
  <cols>
    <col min="1" max="1" width="10.6640625" bestFit="1" customWidth="1"/>
    <col min="2" max="2" width="13.46484375" bestFit="1" customWidth="1"/>
    <col min="3" max="3" width="50" customWidth="1"/>
    <col min="4" max="4" width="10" bestFit="1" customWidth="1"/>
    <col min="5" max="5" width="114.73046875" bestFit="1" customWidth="1"/>
    <col min="6" max="6" width="21.3984375" bestFit="1" customWidth="1"/>
    <col min="7" max="7" width="68.19921875"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852</v>
      </c>
      <c r="B2" s="31">
        <v>1</v>
      </c>
      <c r="C2" s="31" t="s">
        <v>52</v>
      </c>
      <c r="D2" s="31" t="s">
        <v>55</v>
      </c>
      <c r="E2" s="31" t="s">
        <v>853</v>
      </c>
      <c r="F2" s="31" t="s">
        <v>21</v>
      </c>
      <c r="G2" s="31" t="s">
        <v>854</v>
      </c>
      <c r="H2" s="35" t="s">
        <v>33</v>
      </c>
    </row>
    <row r="3" spans="1:8" ht="23.25" x14ac:dyDescent="0.35">
      <c r="A3" s="32" t="s">
        <v>852</v>
      </c>
      <c r="B3" s="32">
        <v>1</v>
      </c>
      <c r="C3" s="32"/>
      <c r="D3" s="32" t="s">
        <v>55</v>
      </c>
      <c r="E3" s="32" t="s">
        <v>855</v>
      </c>
      <c r="F3" s="32" t="s">
        <v>20</v>
      </c>
      <c r="G3" s="32" t="s">
        <v>856</v>
      </c>
      <c r="H3" s="32" t="s">
        <v>34</v>
      </c>
    </row>
    <row r="4" spans="1:8" ht="23.25" x14ac:dyDescent="0.35">
      <c r="A4" s="31" t="s">
        <v>852</v>
      </c>
      <c r="B4" s="31">
        <v>1</v>
      </c>
      <c r="C4" s="31"/>
      <c r="D4" s="31"/>
      <c r="E4" s="31" t="s">
        <v>857</v>
      </c>
      <c r="F4" s="31" t="s">
        <v>25</v>
      </c>
      <c r="G4" s="31" t="s">
        <v>858</v>
      </c>
      <c r="H4" s="35" t="s">
        <v>60</v>
      </c>
    </row>
    <row r="5" spans="1:8" ht="23.25" x14ac:dyDescent="0.35">
      <c r="A5" s="32" t="s">
        <v>852</v>
      </c>
      <c r="B5" s="32">
        <v>1</v>
      </c>
      <c r="C5" s="32"/>
      <c r="D5" s="32" t="s">
        <v>582</v>
      </c>
      <c r="E5" s="32" t="s">
        <v>859</v>
      </c>
      <c r="F5" s="32" t="s">
        <v>25</v>
      </c>
      <c r="G5" s="32" t="s">
        <v>860</v>
      </c>
      <c r="H5" s="32" t="s">
        <v>33</v>
      </c>
    </row>
    <row r="6" spans="1:8" ht="23.25" x14ac:dyDescent="0.35">
      <c r="A6" s="31" t="s">
        <v>852</v>
      </c>
      <c r="B6" s="31">
        <v>1</v>
      </c>
      <c r="C6" s="31"/>
      <c r="D6" s="31"/>
      <c r="E6" s="31" t="s">
        <v>861</v>
      </c>
      <c r="F6" s="31" t="s">
        <v>25</v>
      </c>
      <c r="G6" s="31" t="s">
        <v>862</v>
      </c>
      <c r="H6" s="31" t="s">
        <v>34</v>
      </c>
    </row>
    <row r="7" spans="1:8" ht="23.25" x14ac:dyDescent="0.35">
      <c r="A7" s="32" t="s">
        <v>852</v>
      </c>
      <c r="B7" s="32">
        <v>1</v>
      </c>
      <c r="C7" s="32"/>
      <c r="D7" s="32" t="s">
        <v>863</v>
      </c>
      <c r="E7" s="32" t="s">
        <v>864</v>
      </c>
      <c r="F7" s="32" t="s">
        <v>25</v>
      </c>
      <c r="G7" s="32" t="s">
        <v>865</v>
      </c>
      <c r="H7" s="32" t="s">
        <v>34</v>
      </c>
    </row>
    <row r="8" spans="1:8" ht="23.25" x14ac:dyDescent="0.35">
      <c r="A8" s="31" t="s">
        <v>852</v>
      </c>
      <c r="B8" s="31">
        <v>1</v>
      </c>
      <c r="C8" s="31"/>
      <c r="D8" s="31" t="s">
        <v>866</v>
      </c>
      <c r="E8" s="31" t="s">
        <v>867</v>
      </c>
      <c r="F8" s="31" t="s">
        <v>25</v>
      </c>
      <c r="G8" s="31" t="s">
        <v>868</v>
      </c>
      <c r="H8" s="31" t="s">
        <v>33</v>
      </c>
    </row>
    <row r="9" spans="1:8" ht="23.25" x14ac:dyDescent="0.35">
      <c r="A9" s="32" t="s">
        <v>852</v>
      </c>
      <c r="B9" s="32">
        <v>1</v>
      </c>
      <c r="C9" s="32"/>
      <c r="D9" s="32" t="s">
        <v>582</v>
      </c>
      <c r="E9" s="32" t="s">
        <v>869</v>
      </c>
      <c r="F9" s="32" t="s">
        <v>18</v>
      </c>
      <c r="G9" s="32" t="s">
        <v>870</v>
      </c>
      <c r="H9" s="32" t="s">
        <v>34</v>
      </c>
    </row>
    <row r="10" spans="1:8" ht="23.25" x14ac:dyDescent="0.35">
      <c r="A10" s="31" t="s">
        <v>852</v>
      </c>
      <c r="B10" s="31">
        <v>1</v>
      </c>
      <c r="C10" s="31"/>
      <c r="D10" s="31" t="s">
        <v>585</v>
      </c>
      <c r="E10" s="31" t="s">
        <v>871</v>
      </c>
      <c r="F10" s="31" t="s">
        <v>25</v>
      </c>
      <c r="G10" s="31" t="s">
        <v>872</v>
      </c>
      <c r="H10" s="31" t="s">
        <v>33</v>
      </c>
    </row>
    <row r="11" spans="1:8" ht="23.25" x14ac:dyDescent="0.35">
      <c r="A11" s="32" t="s">
        <v>852</v>
      </c>
      <c r="B11" s="32">
        <v>2</v>
      </c>
      <c r="C11" s="32" t="s">
        <v>61</v>
      </c>
      <c r="D11" s="32" t="s">
        <v>760</v>
      </c>
      <c r="E11" s="32" t="s">
        <v>873</v>
      </c>
      <c r="F11" s="32" t="s">
        <v>18</v>
      </c>
      <c r="G11" s="32" t="s">
        <v>874</v>
      </c>
      <c r="H11" s="32" t="s">
        <v>34</v>
      </c>
    </row>
    <row r="12" spans="1:8" ht="23.25" x14ac:dyDescent="0.35">
      <c r="A12" s="31" t="s">
        <v>852</v>
      </c>
      <c r="B12" s="31">
        <v>2</v>
      </c>
      <c r="C12" s="31"/>
      <c r="D12" s="31" t="s">
        <v>71</v>
      </c>
      <c r="E12" s="31" t="s">
        <v>875</v>
      </c>
      <c r="F12" s="31" t="s">
        <v>25</v>
      </c>
      <c r="G12" s="31" t="s">
        <v>876</v>
      </c>
      <c r="H12" s="31" t="s">
        <v>33</v>
      </c>
    </row>
    <row r="13" spans="1:8" ht="23.25" x14ac:dyDescent="0.35">
      <c r="A13" s="32" t="s">
        <v>852</v>
      </c>
      <c r="B13" s="32">
        <v>2</v>
      </c>
      <c r="C13" s="32"/>
      <c r="D13" s="32" t="s">
        <v>78</v>
      </c>
      <c r="E13" s="32" t="s">
        <v>877</v>
      </c>
      <c r="F13" s="32" t="s">
        <v>25</v>
      </c>
      <c r="G13" s="32" t="s">
        <v>878</v>
      </c>
      <c r="H13" s="32" t="s">
        <v>33</v>
      </c>
    </row>
    <row r="14" spans="1:8" ht="23.25" x14ac:dyDescent="0.35">
      <c r="A14" s="31" t="s">
        <v>852</v>
      </c>
      <c r="B14" s="31">
        <v>2</v>
      </c>
      <c r="C14" s="31"/>
      <c r="D14" s="31" t="s">
        <v>86</v>
      </c>
      <c r="E14" s="31" t="s">
        <v>879</v>
      </c>
      <c r="F14" s="31" t="s">
        <v>20</v>
      </c>
      <c r="G14" s="31" t="s">
        <v>880</v>
      </c>
      <c r="H14" s="31" t="s">
        <v>33</v>
      </c>
    </row>
    <row r="15" spans="1:8" ht="23.25" x14ac:dyDescent="0.35">
      <c r="A15" s="32" t="s">
        <v>852</v>
      </c>
      <c r="B15" s="32">
        <v>3</v>
      </c>
      <c r="C15" s="32" t="s">
        <v>92</v>
      </c>
      <c r="D15" s="32" t="s">
        <v>110</v>
      </c>
      <c r="E15" s="32" t="s">
        <v>881</v>
      </c>
      <c r="F15" s="32" t="s">
        <v>20</v>
      </c>
      <c r="G15" s="32" t="s">
        <v>882</v>
      </c>
      <c r="H15" s="32" t="s">
        <v>33</v>
      </c>
    </row>
    <row r="16" spans="1:8" ht="23.25" x14ac:dyDescent="0.35">
      <c r="A16" s="31" t="s">
        <v>852</v>
      </c>
      <c r="B16" s="31">
        <v>3</v>
      </c>
      <c r="C16" s="31"/>
      <c r="D16" s="31" t="s">
        <v>124</v>
      </c>
      <c r="E16" s="31" t="s">
        <v>883</v>
      </c>
      <c r="F16" s="31" t="s">
        <v>18</v>
      </c>
      <c r="G16" s="31" t="s">
        <v>884</v>
      </c>
      <c r="H16" s="31" t="s">
        <v>34</v>
      </c>
    </row>
    <row r="17" spans="1:8" ht="23.25" x14ac:dyDescent="0.35">
      <c r="A17" s="32" t="s">
        <v>852</v>
      </c>
      <c r="B17" s="32">
        <v>4</v>
      </c>
      <c r="C17" s="32" t="s">
        <v>535</v>
      </c>
      <c r="D17" s="32" t="s">
        <v>316</v>
      </c>
      <c r="E17" s="32" t="s">
        <v>885</v>
      </c>
      <c r="F17" s="32" t="s">
        <v>21</v>
      </c>
      <c r="G17" s="32" t="s">
        <v>886</v>
      </c>
      <c r="H17" s="32" t="s">
        <v>33</v>
      </c>
    </row>
    <row r="18" spans="1:8" ht="23.25" x14ac:dyDescent="0.35">
      <c r="A18" s="31" t="s">
        <v>852</v>
      </c>
      <c r="B18" s="31">
        <v>4</v>
      </c>
      <c r="C18" s="31"/>
      <c r="D18" s="31" t="s">
        <v>887</v>
      </c>
      <c r="E18" s="31" t="s">
        <v>888</v>
      </c>
      <c r="F18" s="31" t="s">
        <v>20</v>
      </c>
      <c r="G18" s="31" t="s">
        <v>889</v>
      </c>
      <c r="H18" s="31" t="s">
        <v>33</v>
      </c>
    </row>
    <row r="19" spans="1:8" ht="23.25" x14ac:dyDescent="0.35">
      <c r="A19" s="32" t="s">
        <v>852</v>
      </c>
      <c r="B19" s="32">
        <v>4</v>
      </c>
      <c r="C19" s="32"/>
      <c r="D19" s="32" t="s">
        <v>887</v>
      </c>
      <c r="E19" s="32" t="s">
        <v>890</v>
      </c>
      <c r="F19" s="32" t="s">
        <v>23</v>
      </c>
      <c r="G19" s="32" t="s">
        <v>891</v>
      </c>
      <c r="H19" s="32" t="s">
        <v>34</v>
      </c>
    </row>
    <row r="20" spans="1:8" ht="23.25" x14ac:dyDescent="0.35">
      <c r="A20" s="31" t="s">
        <v>852</v>
      </c>
      <c r="B20" s="31">
        <v>4</v>
      </c>
      <c r="C20" s="31"/>
      <c r="D20" s="31" t="s">
        <v>458</v>
      </c>
      <c r="E20" s="31" t="s">
        <v>892</v>
      </c>
      <c r="F20" s="31" t="s">
        <v>25</v>
      </c>
      <c r="G20" s="31" t="s">
        <v>893</v>
      </c>
      <c r="H20" s="31" t="s">
        <v>33</v>
      </c>
    </row>
    <row r="21" spans="1:8" ht="23.25" x14ac:dyDescent="0.35">
      <c r="A21" s="32" t="s">
        <v>852</v>
      </c>
      <c r="B21" s="32">
        <v>4</v>
      </c>
      <c r="C21" s="32"/>
      <c r="D21" s="32"/>
      <c r="E21" s="32" t="s">
        <v>894</v>
      </c>
      <c r="F21" s="32" t="s">
        <v>25</v>
      </c>
      <c r="G21" s="32" t="s">
        <v>895</v>
      </c>
      <c r="H21" s="32" t="s">
        <v>33</v>
      </c>
    </row>
    <row r="22" spans="1:8" ht="23.25" x14ac:dyDescent="0.35">
      <c r="A22" s="31" t="s">
        <v>852</v>
      </c>
      <c r="B22" s="31">
        <v>4</v>
      </c>
      <c r="C22" s="31"/>
      <c r="D22" s="31" t="s">
        <v>550</v>
      </c>
      <c r="E22" s="31" t="s">
        <v>896</v>
      </c>
      <c r="F22" s="31" t="s">
        <v>25</v>
      </c>
      <c r="G22" s="31" t="s">
        <v>897</v>
      </c>
      <c r="H22" s="31" t="s">
        <v>60</v>
      </c>
    </row>
    <row r="23" spans="1:8" ht="23.25" x14ac:dyDescent="0.35">
      <c r="A23" s="32" t="s">
        <v>852</v>
      </c>
      <c r="B23" s="32">
        <v>4</v>
      </c>
      <c r="C23" s="32"/>
      <c r="D23" s="32" t="s">
        <v>258</v>
      </c>
      <c r="E23" s="32" t="s">
        <v>898</v>
      </c>
      <c r="F23" s="32" t="s">
        <v>20</v>
      </c>
      <c r="G23" s="32" t="s">
        <v>899</v>
      </c>
      <c r="H23" s="32" t="s">
        <v>33</v>
      </c>
    </row>
    <row r="24" spans="1:8" ht="23.25" x14ac:dyDescent="0.35">
      <c r="A24" s="31" t="s">
        <v>852</v>
      </c>
      <c r="B24" s="31">
        <v>5</v>
      </c>
      <c r="C24" s="31" t="s">
        <v>139</v>
      </c>
      <c r="D24" s="31" t="s">
        <v>140</v>
      </c>
      <c r="E24" s="31" t="s">
        <v>900</v>
      </c>
      <c r="F24" s="31" t="s">
        <v>18</v>
      </c>
      <c r="G24" s="31" t="s">
        <v>901</v>
      </c>
      <c r="H24" s="31" t="s">
        <v>34</v>
      </c>
    </row>
    <row r="25" spans="1:8" ht="23.25" x14ac:dyDescent="0.35">
      <c r="A25" s="32" t="s">
        <v>852</v>
      </c>
      <c r="B25" s="32">
        <v>5</v>
      </c>
      <c r="C25" s="32"/>
      <c r="D25" s="32" t="s">
        <v>140</v>
      </c>
      <c r="E25" s="32" t="s">
        <v>902</v>
      </c>
      <c r="F25" s="32" t="s">
        <v>18</v>
      </c>
      <c r="G25" s="32" t="s">
        <v>903</v>
      </c>
      <c r="H25" s="32" t="s">
        <v>33</v>
      </c>
    </row>
    <row r="26" spans="1:8" ht="23.25" x14ac:dyDescent="0.35">
      <c r="A26" s="31" t="s">
        <v>852</v>
      </c>
      <c r="B26" s="31">
        <v>5</v>
      </c>
      <c r="C26" s="31"/>
      <c r="D26" s="31" t="s">
        <v>904</v>
      </c>
      <c r="E26" s="31" t="s">
        <v>905</v>
      </c>
      <c r="F26" s="31" t="s">
        <v>20</v>
      </c>
      <c r="G26" s="31" t="s">
        <v>906</v>
      </c>
      <c r="H26" s="31" t="s">
        <v>33</v>
      </c>
    </row>
    <row r="27" spans="1:8" ht="23.25" x14ac:dyDescent="0.35">
      <c r="A27" s="32" t="s">
        <v>852</v>
      </c>
      <c r="B27" s="32">
        <v>6</v>
      </c>
      <c r="C27" s="32" t="s">
        <v>161</v>
      </c>
      <c r="D27" s="32" t="s">
        <v>168</v>
      </c>
      <c r="E27" s="32" t="s">
        <v>907</v>
      </c>
      <c r="F27" s="32" t="s">
        <v>25</v>
      </c>
      <c r="G27" s="32" t="s">
        <v>908</v>
      </c>
      <c r="H27" s="32" t="s">
        <v>33</v>
      </c>
    </row>
    <row r="28" spans="1:8" ht="23.25" x14ac:dyDescent="0.35">
      <c r="A28" s="31" t="s">
        <v>852</v>
      </c>
      <c r="B28" s="31">
        <v>6</v>
      </c>
      <c r="C28" s="31"/>
      <c r="D28" s="31" t="s">
        <v>168</v>
      </c>
      <c r="E28" s="31" t="s">
        <v>909</v>
      </c>
      <c r="F28" s="31" t="s">
        <v>25</v>
      </c>
      <c r="G28" s="31" t="s">
        <v>910</v>
      </c>
      <c r="H28" s="31" t="s">
        <v>33</v>
      </c>
    </row>
    <row r="29" spans="1:8" ht="23.25" x14ac:dyDescent="0.35">
      <c r="A29" s="32" t="s">
        <v>852</v>
      </c>
      <c r="B29" s="32">
        <v>6</v>
      </c>
      <c r="C29" s="32"/>
      <c r="D29" s="32" t="s">
        <v>182</v>
      </c>
      <c r="E29" s="32" t="s">
        <v>911</v>
      </c>
      <c r="F29" s="32" t="s">
        <v>25</v>
      </c>
      <c r="G29" s="32" t="s">
        <v>912</v>
      </c>
      <c r="H29" s="32" t="s">
        <v>34</v>
      </c>
    </row>
    <row r="30" spans="1:8" ht="23.25" x14ac:dyDescent="0.35">
      <c r="A30" s="31" t="s">
        <v>852</v>
      </c>
      <c r="B30" s="31">
        <v>6</v>
      </c>
      <c r="C30" s="31"/>
      <c r="D30" s="31" t="s">
        <v>182</v>
      </c>
      <c r="E30" s="31" t="s">
        <v>913</v>
      </c>
      <c r="F30" s="31" t="s">
        <v>25</v>
      </c>
      <c r="G30" s="31" t="s">
        <v>914</v>
      </c>
      <c r="H30" s="31" t="s">
        <v>33</v>
      </c>
    </row>
    <row r="31" spans="1:8" ht="23.25" x14ac:dyDescent="0.35">
      <c r="A31" s="32" t="s">
        <v>852</v>
      </c>
      <c r="B31" s="32">
        <v>6</v>
      </c>
      <c r="C31" s="32"/>
      <c r="D31" s="32" t="s">
        <v>185</v>
      </c>
      <c r="E31" s="32" t="s">
        <v>915</v>
      </c>
      <c r="F31" s="32" t="s">
        <v>25</v>
      </c>
      <c r="G31" s="32" t="s">
        <v>916</v>
      </c>
      <c r="H31" s="32" t="s">
        <v>33</v>
      </c>
    </row>
    <row r="32" spans="1:8" ht="23.25" x14ac:dyDescent="0.35">
      <c r="A32" s="31" t="s">
        <v>852</v>
      </c>
      <c r="B32" s="31">
        <v>7</v>
      </c>
      <c r="C32" s="31" t="s">
        <v>198</v>
      </c>
      <c r="D32" s="31" t="s">
        <v>510</v>
      </c>
      <c r="E32" s="31" t="s">
        <v>917</v>
      </c>
      <c r="F32" s="31" t="s">
        <v>25</v>
      </c>
      <c r="G32" s="31" t="s">
        <v>918</v>
      </c>
      <c r="H32" s="31" t="s">
        <v>34</v>
      </c>
    </row>
    <row r="33" spans="1:8" ht="23.25" x14ac:dyDescent="0.35">
      <c r="A33" s="32" t="s">
        <v>852</v>
      </c>
      <c r="B33" s="32">
        <v>7</v>
      </c>
      <c r="C33" s="32"/>
      <c r="D33" s="32" t="s">
        <v>207</v>
      </c>
      <c r="E33" s="32" t="s">
        <v>919</v>
      </c>
      <c r="F33" s="32" t="s">
        <v>25</v>
      </c>
      <c r="G33" s="32" t="s">
        <v>920</v>
      </c>
      <c r="H33" s="32" t="s">
        <v>60</v>
      </c>
    </row>
    <row r="34" spans="1:8" ht="23.25" x14ac:dyDescent="0.35">
      <c r="A34" s="31" t="s">
        <v>852</v>
      </c>
      <c r="B34" s="31">
        <v>8</v>
      </c>
      <c r="C34" s="31" t="s">
        <v>210</v>
      </c>
      <c r="D34" s="31" t="s">
        <v>503</v>
      </c>
      <c r="E34" s="31" t="s">
        <v>921</v>
      </c>
      <c r="F34" s="31" t="s">
        <v>25</v>
      </c>
      <c r="G34" s="31" t="s">
        <v>922</v>
      </c>
      <c r="H34" s="31" t="s">
        <v>60</v>
      </c>
    </row>
    <row r="35" spans="1:8" ht="23.25" x14ac:dyDescent="0.35">
      <c r="A35" s="32" t="s">
        <v>852</v>
      </c>
      <c r="B35" s="32">
        <v>8</v>
      </c>
      <c r="C35" s="32"/>
      <c r="D35" s="32" t="s">
        <v>923</v>
      </c>
      <c r="E35" s="32" t="s">
        <v>924</v>
      </c>
      <c r="F35" s="32" t="s">
        <v>18</v>
      </c>
      <c r="G35" s="32" t="s">
        <v>925</v>
      </c>
      <c r="H35" s="32" t="s">
        <v>33</v>
      </c>
    </row>
    <row r="36" spans="1:8" ht="23.25" x14ac:dyDescent="0.35">
      <c r="A36" s="31" t="s">
        <v>852</v>
      </c>
      <c r="B36" s="31">
        <v>8</v>
      </c>
      <c r="C36" s="31"/>
      <c r="D36" s="31" t="s">
        <v>653</v>
      </c>
      <c r="E36" s="31" t="s">
        <v>926</v>
      </c>
      <c r="F36" s="31" t="s">
        <v>25</v>
      </c>
      <c r="G36" s="31" t="s">
        <v>927</v>
      </c>
      <c r="H36" s="31" t="s">
        <v>33</v>
      </c>
    </row>
    <row r="37" spans="1:8" ht="23.25" x14ac:dyDescent="0.35">
      <c r="A37" s="32" t="s">
        <v>852</v>
      </c>
      <c r="B37" s="32">
        <v>8</v>
      </c>
      <c r="C37" s="32"/>
      <c r="D37" s="32" t="s">
        <v>653</v>
      </c>
      <c r="E37" s="32" t="s">
        <v>928</v>
      </c>
      <c r="F37" s="32" t="s">
        <v>20</v>
      </c>
      <c r="G37" s="32" t="s">
        <v>929</v>
      </c>
      <c r="H37" s="32" t="s">
        <v>33</v>
      </c>
    </row>
    <row r="38" spans="1:8" ht="23.25" x14ac:dyDescent="0.35">
      <c r="A38" s="31" t="s">
        <v>852</v>
      </c>
      <c r="B38" s="31">
        <v>9</v>
      </c>
      <c r="C38" s="31" t="s">
        <v>249</v>
      </c>
      <c r="D38" s="31" t="s">
        <v>258</v>
      </c>
      <c r="E38" s="31" t="s">
        <v>930</v>
      </c>
      <c r="F38" s="31" t="s">
        <v>25</v>
      </c>
      <c r="G38" s="31" t="s">
        <v>931</v>
      </c>
      <c r="H38" s="31" t="s">
        <v>33</v>
      </c>
    </row>
    <row r="39" spans="1:8" ht="23.25" x14ac:dyDescent="0.35">
      <c r="A39" s="32" t="s">
        <v>852</v>
      </c>
      <c r="B39" s="32">
        <v>9</v>
      </c>
      <c r="C39" s="32"/>
      <c r="D39" s="32" t="s">
        <v>258</v>
      </c>
      <c r="E39" s="32" t="s">
        <v>932</v>
      </c>
      <c r="F39" s="32" t="s">
        <v>25</v>
      </c>
      <c r="G39" s="32" t="s">
        <v>933</v>
      </c>
      <c r="H39" s="32" t="s">
        <v>33</v>
      </c>
    </row>
    <row r="40" spans="1:8" ht="23.25" x14ac:dyDescent="0.35">
      <c r="A40" s="31" t="s">
        <v>852</v>
      </c>
      <c r="B40" s="31">
        <v>9</v>
      </c>
      <c r="C40" s="31"/>
      <c r="D40" s="31" t="s">
        <v>261</v>
      </c>
      <c r="E40" s="31" t="s">
        <v>934</v>
      </c>
      <c r="F40" s="31" t="s">
        <v>19</v>
      </c>
      <c r="G40" s="31" t="s">
        <v>935</v>
      </c>
      <c r="H40" s="31" t="s">
        <v>33</v>
      </c>
    </row>
    <row r="41" spans="1:8" ht="23.25" x14ac:dyDescent="0.35">
      <c r="A41" s="32" t="s">
        <v>852</v>
      </c>
      <c r="B41" s="32">
        <v>9</v>
      </c>
      <c r="C41" s="32"/>
      <c r="D41" s="32" t="s">
        <v>261</v>
      </c>
      <c r="E41" s="32" t="s">
        <v>936</v>
      </c>
      <c r="F41" s="32" t="s">
        <v>25</v>
      </c>
      <c r="G41" s="32" t="s">
        <v>937</v>
      </c>
      <c r="H41" s="32" t="s">
        <v>34</v>
      </c>
    </row>
    <row r="42" spans="1:8" ht="23.25" x14ac:dyDescent="0.35">
      <c r="A42" s="31" t="s">
        <v>852</v>
      </c>
      <c r="B42" s="31">
        <v>9</v>
      </c>
      <c r="C42" s="31"/>
      <c r="D42" s="31" t="s">
        <v>268</v>
      </c>
      <c r="E42" s="31" t="s">
        <v>938</v>
      </c>
      <c r="F42" s="31" t="s">
        <v>21</v>
      </c>
      <c r="G42" s="31" t="s">
        <v>939</v>
      </c>
      <c r="H42" s="31" t="s">
        <v>33</v>
      </c>
    </row>
    <row r="43" spans="1:8" ht="23.25" x14ac:dyDescent="0.35">
      <c r="A43" s="32" t="s">
        <v>852</v>
      </c>
      <c r="B43" s="32">
        <v>9</v>
      </c>
      <c r="C43" s="32"/>
      <c r="D43" s="32" t="s">
        <v>268</v>
      </c>
      <c r="E43" s="32" t="s">
        <v>940</v>
      </c>
      <c r="F43" s="32" t="s">
        <v>25</v>
      </c>
      <c r="G43" s="32" t="s">
        <v>692</v>
      </c>
      <c r="H43" s="32" t="s">
        <v>33</v>
      </c>
    </row>
    <row r="44" spans="1:8" ht="23.25" x14ac:dyDescent="0.35">
      <c r="A44" s="31" t="s">
        <v>852</v>
      </c>
      <c r="B44" s="31">
        <v>9</v>
      </c>
      <c r="C44" s="31"/>
      <c r="D44" s="31" t="s">
        <v>268</v>
      </c>
      <c r="E44" s="31" t="s">
        <v>941</v>
      </c>
      <c r="F44" s="31" t="s">
        <v>25</v>
      </c>
      <c r="G44" s="31" t="s">
        <v>942</v>
      </c>
      <c r="H44" s="31" t="s">
        <v>60</v>
      </c>
    </row>
    <row r="45" spans="1:8" ht="23.25" x14ac:dyDescent="0.35">
      <c r="A45" s="32" t="s">
        <v>852</v>
      </c>
      <c r="B45" s="32">
        <v>9</v>
      </c>
      <c r="C45" s="32"/>
      <c r="D45" s="32" t="s">
        <v>275</v>
      </c>
      <c r="E45" s="32" t="s">
        <v>943</v>
      </c>
      <c r="F45" s="32" t="s">
        <v>25</v>
      </c>
      <c r="G45" s="32" t="s">
        <v>944</v>
      </c>
      <c r="H45" s="32" t="s">
        <v>33</v>
      </c>
    </row>
    <row r="46" spans="1:8" ht="23.25" x14ac:dyDescent="0.35">
      <c r="A46" s="31" t="s">
        <v>852</v>
      </c>
      <c r="B46" s="31">
        <v>9</v>
      </c>
      <c r="C46" s="31"/>
      <c r="D46" s="31" t="s">
        <v>275</v>
      </c>
      <c r="E46" s="31" t="s">
        <v>945</v>
      </c>
      <c r="F46" s="31" t="s">
        <v>25</v>
      </c>
      <c r="G46" s="31" t="s">
        <v>946</v>
      </c>
      <c r="H46" s="31" t="s">
        <v>60</v>
      </c>
    </row>
    <row r="47" spans="1:8" ht="23.25" x14ac:dyDescent="0.35">
      <c r="A47" s="32" t="s">
        <v>852</v>
      </c>
      <c r="B47" s="32">
        <v>9</v>
      </c>
      <c r="C47" s="32"/>
      <c r="D47" s="32" t="s">
        <v>280</v>
      </c>
      <c r="E47" s="32" t="s">
        <v>947</v>
      </c>
      <c r="F47" s="32" t="s">
        <v>25</v>
      </c>
      <c r="G47" s="32" t="s">
        <v>948</v>
      </c>
      <c r="H47" s="32" t="s">
        <v>60</v>
      </c>
    </row>
    <row r="48" spans="1:8" ht="23.25" x14ac:dyDescent="0.35">
      <c r="A48" s="31" t="s">
        <v>852</v>
      </c>
      <c r="B48" s="31">
        <v>9</v>
      </c>
      <c r="C48" s="31"/>
      <c r="D48" s="31" t="s">
        <v>280</v>
      </c>
      <c r="E48" s="31" t="s">
        <v>949</v>
      </c>
      <c r="F48" s="31" t="s">
        <v>25</v>
      </c>
      <c r="G48" s="31" t="s">
        <v>950</v>
      </c>
      <c r="H48" s="31" t="s">
        <v>33</v>
      </c>
    </row>
    <row r="49" spans="1:8" ht="23.25" x14ac:dyDescent="0.35">
      <c r="A49" s="32" t="s">
        <v>852</v>
      </c>
      <c r="B49" s="32">
        <v>9</v>
      </c>
      <c r="C49" s="32"/>
      <c r="D49" s="32" t="s">
        <v>280</v>
      </c>
      <c r="E49" s="32" t="s">
        <v>951</v>
      </c>
      <c r="F49" s="32" t="s">
        <v>20</v>
      </c>
      <c r="G49" s="32" t="s">
        <v>952</v>
      </c>
      <c r="H49" s="32" t="s">
        <v>60</v>
      </c>
    </row>
    <row r="50" spans="1:8" ht="23.25" x14ac:dyDescent="0.35">
      <c r="A50" s="31" t="s">
        <v>852</v>
      </c>
      <c r="B50" s="31">
        <v>10</v>
      </c>
      <c r="C50" s="31" t="s">
        <v>283</v>
      </c>
      <c r="D50" s="31" t="s">
        <v>284</v>
      </c>
      <c r="E50" s="31" t="s">
        <v>953</v>
      </c>
      <c r="F50" s="31" t="s">
        <v>25</v>
      </c>
      <c r="G50" s="31" t="s">
        <v>954</v>
      </c>
      <c r="H50" s="31" t="s">
        <v>60</v>
      </c>
    </row>
    <row r="51" spans="1:8" ht="23.25" x14ac:dyDescent="0.35">
      <c r="A51" s="32" t="s">
        <v>852</v>
      </c>
      <c r="B51" s="32">
        <v>10</v>
      </c>
      <c r="C51" s="32"/>
      <c r="D51" s="32" t="s">
        <v>292</v>
      </c>
      <c r="E51" s="32" t="s">
        <v>955</v>
      </c>
      <c r="F51" s="32" t="s">
        <v>18</v>
      </c>
      <c r="G51" s="32" t="s">
        <v>870</v>
      </c>
      <c r="H51" s="32" t="s">
        <v>34</v>
      </c>
    </row>
    <row r="52" spans="1:8" ht="23.25" x14ac:dyDescent="0.35">
      <c r="A52" s="31" t="s">
        <v>852</v>
      </c>
      <c r="B52" s="31">
        <v>10</v>
      </c>
      <c r="C52" s="31"/>
      <c r="D52" s="31" t="s">
        <v>292</v>
      </c>
      <c r="E52" s="31" t="s">
        <v>956</v>
      </c>
      <c r="F52" s="31" t="s">
        <v>25</v>
      </c>
      <c r="G52" s="31" t="s">
        <v>957</v>
      </c>
      <c r="H52" s="31" t="s">
        <v>33</v>
      </c>
    </row>
    <row r="53" spans="1:8" ht="23.25" x14ac:dyDescent="0.35">
      <c r="A53" s="32" t="s">
        <v>852</v>
      </c>
      <c r="B53" s="32">
        <v>10</v>
      </c>
      <c r="C53" s="32"/>
      <c r="D53" s="32" t="s">
        <v>185</v>
      </c>
      <c r="E53" s="32" t="s">
        <v>958</v>
      </c>
      <c r="F53" s="32" t="s">
        <v>25</v>
      </c>
      <c r="G53" s="32" t="s">
        <v>959</v>
      </c>
      <c r="H53" s="32" t="s">
        <v>33</v>
      </c>
    </row>
    <row r="54" spans="1:8" ht="23.25" x14ac:dyDescent="0.35">
      <c r="A54" s="31" t="s">
        <v>852</v>
      </c>
      <c r="B54" s="31">
        <v>11</v>
      </c>
      <c r="C54" s="31" t="s">
        <v>304</v>
      </c>
      <c r="D54" s="31" t="s">
        <v>785</v>
      </c>
      <c r="E54" s="31" t="s">
        <v>960</v>
      </c>
      <c r="F54" s="31" t="s">
        <v>25</v>
      </c>
      <c r="G54" s="31" t="s">
        <v>961</v>
      </c>
      <c r="H54" s="31" t="s">
        <v>34</v>
      </c>
    </row>
    <row r="55" spans="1:8" ht="23.25" x14ac:dyDescent="0.35">
      <c r="A55" s="32" t="s">
        <v>852</v>
      </c>
      <c r="B55" s="32">
        <v>11</v>
      </c>
      <c r="C55" s="32"/>
      <c r="D55" s="32" t="s">
        <v>310</v>
      </c>
      <c r="E55" s="32" t="s">
        <v>962</v>
      </c>
      <c r="F55" s="32" t="s">
        <v>25</v>
      </c>
      <c r="G55" s="32" t="s">
        <v>963</v>
      </c>
      <c r="H55" s="32" t="s">
        <v>33</v>
      </c>
    </row>
    <row r="56" spans="1:8" ht="23.25" x14ac:dyDescent="0.35">
      <c r="A56" s="31" t="s">
        <v>852</v>
      </c>
      <c r="B56" s="31">
        <v>11</v>
      </c>
      <c r="C56" s="31"/>
      <c r="D56" s="31" t="s">
        <v>310</v>
      </c>
      <c r="E56" s="31" t="s">
        <v>964</v>
      </c>
      <c r="F56" s="31" t="s">
        <v>25</v>
      </c>
      <c r="G56" s="31" t="s">
        <v>965</v>
      </c>
      <c r="H56" s="31" t="s">
        <v>33</v>
      </c>
    </row>
    <row r="57" spans="1:8" ht="23.25" x14ac:dyDescent="0.35">
      <c r="A57" s="32" t="s">
        <v>852</v>
      </c>
      <c r="B57" s="32">
        <v>11</v>
      </c>
      <c r="C57" s="32"/>
      <c r="D57" s="32" t="s">
        <v>788</v>
      </c>
      <c r="E57" s="32" t="s">
        <v>966</v>
      </c>
      <c r="F57" s="32" t="s">
        <v>25</v>
      </c>
      <c r="G57" s="32" t="s">
        <v>967</v>
      </c>
      <c r="H57" s="32" t="s">
        <v>33</v>
      </c>
    </row>
    <row r="58" spans="1:8" ht="23.25" x14ac:dyDescent="0.35">
      <c r="A58" s="31" t="s">
        <v>852</v>
      </c>
      <c r="B58" s="31">
        <v>12</v>
      </c>
      <c r="C58" s="31" t="s">
        <v>313</v>
      </c>
      <c r="D58" s="31"/>
      <c r="E58" s="31" t="s">
        <v>968</v>
      </c>
      <c r="F58" s="31" t="s">
        <v>25</v>
      </c>
      <c r="G58" s="31" t="s">
        <v>969</v>
      </c>
      <c r="H58" s="31" t="s">
        <v>60</v>
      </c>
    </row>
    <row r="59" spans="1:8" ht="23.25" x14ac:dyDescent="0.35">
      <c r="A59" s="32" t="s">
        <v>852</v>
      </c>
      <c r="B59" s="32">
        <v>12</v>
      </c>
      <c r="C59" s="32"/>
      <c r="D59" s="32" t="s">
        <v>316</v>
      </c>
      <c r="E59" s="32" t="s">
        <v>970</v>
      </c>
      <c r="F59" s="32" t="s">
        <v>25</v>
      </c>
      <c r="G59" s="32" t="s">
        <v>971</v>
      </c>
      <c r="H59" s="32" t="s">
        <v>33</v>
      </c>
    </row>
    <row r="60" spans="1:8" ht="23.25" x14ac:dyDescent="0.35">
      <c r="A60" s="31" t="s">
        <v>852</v>
      </c>
      <c r="B60" s="31">
        <v>12</v>
      </c>
      <c r="C60" s="31"/>
      <c r="D60" s="31" t="s">
        <v>693</v>
      </c>
      <c r="E60" s="31" t="s">
        <v>972</v>
      </c>
      <c r="F60" s="31" t="s">
        <v>25</v>
      </c>
      <c r="G60" s="31" t="s">
        <v>973</v>
      </c>
      <c r="H60" s="31" t="s">
        <v>60</v>
      </c>
    </row>
    <row r="61" spans="1:8" ht="23.25" x14ac:dyDescent="0.35">
      <c r="A61" s="32" t="s">
        <v>852</v>
      </c>
      <c r="B61" s="32">
        <v>12</v>
      </c>
      <c r="C61" s="32"/>
      <c r="D61" s="32" t="s">
        <v>319</v>
      </c>
      <c r="E61" s="32" t="s">
        <v>974</v>
      </c>
      <c r="F61" s="32" t="s">
        <v>25</v>
      </c>
      <c r="G61" s="32" t="s">
        <v>975</v>
      </c>
      <c r="H61" s="32" t="s">
        <v>33</v>
      </c>
    </row>
    <row r="62" spans="1:8" ht="23.25" x14ac:dyDescent="0.35">
      <c r="A62" s="31" t="s">
        <v>852</v>
      </c>
      <c r="B62" s="31">
        <v>12</v>
      </c>
      <c r="C62" s="31"/>
      <c r="D62" s="31" t="s">
        <v>702</v>
      </c>
      <c r="E62" s="31" t="s">
        <v>976</v>
      </c>
      <c r="F62" s="31" t="s">
        <v>25</v>
      </c>
      <c r="G62" s="31" t="s">
        <v>977</v>
      </c>
      <c r="H62" s="31" t="s">
        <v>34</v>
      </c>
    </row>
    <row r="63" spans="1:8" ht="23.25" x14ac:dyDescent="0.35">
      <c r="A63" s="32" t="s">
        <v>852</v>
      </c>
      <c r="B63" s="32">
        <v>12</v>
      </c>
      <c r="C63" s="32"/>
      <c r="D63" s="32" t="s">
        <v>324</v>
      </c>
      <c r="E63" s="32" t="s">
        <v>978</v>
      </c>
      <c r="F63" s="32" t="s">
        <v>25</v>
      </c>
      <c r="G63" s="32" t="s">
        <v>979</v>
      </c>
      <c r="H63" s="32" t="s">
        <v>33</v>
      </c>
    </row>
    <row r="64" spans="1:8" ht="23.25" x14ac:dyDescent="0.35">
      <c r="A64" s="31" t="s">
        <v>852</v>
      </c>
      <c r="B64" s="31">
        <v>12</v>
      </c>
      <c r="C64" s="31"/>
      <c r="D64" s="31" t="s">
        <v>324</v>
      </c>
      <c r="E64" s="31" t="s">
        <v>980</v>
      </c>
      <c r="F64" s="31" t="s">
        <v>20</v>
      </c>
      <c r="G64" s="31" t="s">
        <v>981</v>
      </c>
      <c r="H64" s="31" t="s">
        <v>33</v>
      </c>
    </row>
    <row r="65" spans="1:8" ht="23.25" x14ac:dyDescent="0.35">
      <c r="A65" s="32" t="s">
        <v>852</v>
      </c>
      <c r="B65" s="32">
        <v>13</v>
      </c>
      <c r="C65" s="32" t="s">
        <v>329</v>
      </c>
      <c r="D65" s="32" t="s">
        <v>338</v>
      </c>
      <c r="E65" s="32" t="s">
        <v>982</v>
      </c>
      <c r="F65" s="32" t="s">
        <v>25</v>
      </c>
      <c r="G65" s="32" t="s">
        <v>983</v>
      </c>
      <c r="H65" s="32" t="s">
        <v>34</v>
      </c>
    </row>
    <row r="66" spans="1:8" ht="23.25" x14ac:dyDescent="0.35">
      <c r="A66" s="31" t="s">
        <v>852</v>
      </c>
      <c r="B66" s="31">
        <v>13</v>
      </c>
      <c r="C66" s="31"/>
      <c r="D66" s="31" t="s">
        <v>338</v>
      </c>
      <c r="E66" s="31" t="s">
        <v>984</v>
      </c>
      <c r="F66" s="31" t="s">
        <v>25</v>
      </c>
      <c r="G66" s="31" t="s">
        <v>985</v>
      </c>
      <c r="H66" s="31" t="s">
        <v>34</v>
      </c>
    </row>
    <row r="67" spans="1:8" ht="23.25" x14ac:dyDescent="0.35">
      <c r="A67" s="32" t="s">
        <v>852</v>
      </c>
      <c r="B67" s="32">
        <v>13</v>
      </c>
      <c r="C67" s="32"/>
      <c r="D67" s="32" t="s">
        <v>341</v>
      </c>
      <c r="E67" s="32" t="s">
        <v>986</v>
      </c>
      <c r="F67" s="32" t="s">
        <v>18</v>
      </c>
      <c r="G67" s="32" t="s">
        <v>987</v>
      </c>
      <c r="H67" s="32" t="s">
        <v>33</v>
      </c>
    </row>
    <row r="68" spans="1:8" ht="23.25" x14ac:dyDescent="0.35">
      <c r="A68" s="31" t="s">
        <v>852</v>
      </c>
      <c r="B68" s="31">
        <v>13</v>
      </c>
      <c r="C68" s="31"/>
      <c r="D68" s="31" t="s">
        <v>341</v>
      </c>
      <c r="E68" s="31" t="s">
        <v>988</v>
      </c>
      <c r="F68" s="31" t="s">
        <v>18</v>
      </c>
      <c r="G68" s="31" t="s">
        <v>989</v>
      </c>
      <c r="H68" s="31" t="s">
        <v>34</v>
      </c>
    </row>
    <row r="69" spans="1:8" ht="23.25" x14ac:dyDescent="0.35">
      <c r="A69" s="32" t="s">
        <v>852</v>
      </c>
      <c r="B69" s="32">
        <v>13</v>
      </c>
      <c r="C69" s="32"/>
      <c r="D69" s="32" t="s">
        <v>990</v>
      </c>
      <c r="E69" s="32" t="s">
        <v>991</v>
      </c>
      <c r="F69" s="32" t="s">
        <v>19</v>
      </c>
      <c r="G69" s="32" t="s">
        <v>992</v>
      </c>
      <c r="H69" s="32" t="s">
        <v>60</v>
      </c>
    </row>
    <row r="70" spans="1:8" ht="23.25" x14ac:dyDescent="0.35">
      <c r="A70" s="31" t="s">
        <v>852</v>
      </c>
      <c r="B70" s="31">
        <v>13</v>
      </c>
      <c r="C70" s="31"/>
      <c r="D70" s="31" t="s">
        <v>352</v>
      </c>
      <c r="E70" s="31" t="s">
        <v>993</v>
      </c>
      <c r="F70" s="31" t="s">
        <v>23</v>
      </c>
      <c r="G70" s="31" t="s">
        <v>994</v>
      </c>
      <c r="H70" s="31" t="s">
        <v>33</v>
      </c>
    </row>
    <row r="71" spans="1:8" ht="23.25" x14ac:dyDescent="0.35">
      <c r="A71" s="32" t="s">
        <v>852</v>
      </c>
      <c r="B71" s="32">
        <v>14</v>
      </c>
      <c r="C71" s="32" t="s">
        <v>367</v>
      </c>
      <c r="D71" s="32" t="s">
        <v>377</v>
      </c>
      <c r="E71" s="32" t="s">
        <v>995</v>
      </c>
      <c r="F71" s="32" t="s">
        <v>18</v>
      </c>
      <c r="G71" s="32" t="s">
        <v>996</v>
      </c>
      <c r="H71" s="32" t="s">
        <v>33</v>
      </c>
    </row>
    <row r="72" spans="1:8" ht="23.25" x14ac:dyDescent="0.35">
      <c r="A72" s="31" t="s">
        <v>852</v>
      </c>
      <c r="B72" s="31">
        <v>14</v>
      </c>
      <c r="C72" s="31"/>
      <c r="D72" s="31" t="s">
        <v>716</v>
      </c>
      <c r="E72" s="31" t="s">
        <v>997</v>
      </c>
      <c r="F72" s="31" t="s">
        <v>25</v>
      </c>
      <c r="G72" s="31" t="s">
        <v>998</v>
      </c>
      <c r="H72" s="31" t="s">
        <v>34</v>
      </c>
    </row>
    <row r="73" spans="1:8" ht="23.25" x14ac:dyDescent="0.35">
      <c r="A73" s="32" t="s">
        <v>852</v>
      </c>
      <c r="B73" s="32">
        <v>14</v>
      </c>
      <c r="C73" s="32"/>
      <c r="D73" s="32" t="s">
        <v>999</v>
      </c>
      <c r="E73" s="32" t="s">
        <v>1000</v>
      </c>
      <c r="F73" s="32" t="s">
        <v>25</v>
      </c>
      <c r="G73" s="32" t="s">
        <v>1001</v>
      </c>
      <c r="H73" s="32" t="s">
        <v>60</v>
      </c>
    </row>
    <row r="74" spans="1:8" ht="23.25" x14ac:dyDescent="0.35">
      <c r="A74" s="31" t="s">
        <v>852</v>
      </c>
      <c r="B74" s="31">
        <v>14</v>
      </c>
      <c r="C74" s="31"/>
      <c r="D74" s="31" t="s">
        <v>1002</v>
      </c>
      <c r="E74" s="31" t="s">
        <v>1003</v>
      </c>
      <c r="F74" s="31" t="s">
        <v>25</v>
      </c>
      <c r="G74" s="31" t="s">
        <v>1004</v>
      </c>
      <c r="H74" s="31" t="s">
        <v>60</v>
      </c>
    </row>
    <row r="75" spans="1:8" ht="23.25" x14ac:dyDescent="0.35">
      <c r="A75" s="32" t="s">
        <v>852</v>
      </c>
      <c r="B75" s="32">
        <v>15</v>
      </c>
      <c r="C75" s="32" t="s">
        <v>387</v>
      </c>
      <c r="D75" s="32" t="s">
        <v>391</v>
      </c>
      <c r="E75" s="32" t="s">
        <v>1005</v>
      </c>
      <c r="F75" s="32" t="s">
        <v>20</v>
      </c>
      <c r="G75" s="32" t="s">
        <v>1006</v>
      </c>
      <c r="H75" s="32" t="s">
        <v>34</v>
      </c>
    </row>
    <row r="76" spans="1:8" ht="23.25" x14ac:dyDescent="0.35">
      <c r="A76" s="31" t="s">
        <v>852</v>
      </c>
      <c r="B76" s="31">
        <v>15</v>
      </c>
      <c r="C76" s="31"/>
      <c r="D76" s="31" t="s">
        <v>793</v>
      </c>
      <c r="E76" s="31" t="s">
        <v>1007</v>
      </c>
      <c r="F76" s="31" t="s">
        <v>23</v>
      </c>
      <c r="G76" s="31" t="s">
        <v>1008</v>
      </c>
      <c r="H76" s="31" t="s">
        <v>34</v>
      </c>
    </row>
    <row r="77" spans="1:8" ht="23.25" x14ac:dyDescent="0.35">
      <c r="A77" s="32" t="s">
        <v>852</v>
      </c>
      <c r="B77" s="32">
        <v>15</v>
      </c>
      <c r="C77" s="32"/>
      <c r="D77" s="32" t="s">
        <v>793</v>
      </c>
      <c r="E77" s="32" t="s">
        <v>1009</v>
      </c>
      <c r="F77" s="32" t="s">
        <v>25</v>
      </c>
      <c r="G77" s="32" t="s">
        <v>1010</v>
      </c>
      <c r="H77" s="32" t="s">
        <v>60</v>
      </c>
    </row>
    <row r="78" spans="1:8" ht="23.25" x14ac:dyDescent="0.35">
      <c r="A78" s="31" t="s">
        <v>852</v>
      </c>
      <c r="B78" s="31">
        <v>15</v>
      </c>
      <c r="C78" s="31"/>
      <c r="D78" s="31" t="s">
        <v>397</v>
      </c>
      <c r="E78" s="31" t="s">
        <v>1011</v>
      </c>
      <c r="F78" s="31" t="s">
        <v>21</v>
      </c>
      <c r="G78" s="31" t="s">
        <v>1012</v>
      </c>
      <c r="H78" s="31" t="s">
        <v>60</v>
      </c>
    </row>
    <row r="79" spans="1:8" ht="23.25" x14ac:dyDescent="0.35">
      <c r="A79" s="32" t="s">
        <v>852</v>
      </c>
      <c r="B79" s="32">
        <v>15</v>
      </c>
      <c r="C79" s="32"/>
      <c r="D79" s="32" t="s">
        <v>400</v>
      </c>
      <c r="E79" s="32" t="s">
        <v>1013</v>
      </c>
      <c r="F79" s="32" t="s">
        <v>23</v>
      </c>
      <c r="G79" s="32" t="s">
        <v>1014</v>
      </c>
      <c r="H79" s="32" t="s">
        <v>33</v>
      </c>
    </row>
    <row r="80" spans="1:8" ht="23.25" x14ac:dyDescent="0.35">
      <c r="A80" s="31" t="s">
        <v>852</v>
      </c>
      <c r="B80" s="31">
        <v>15</v>
      </c>
      <c r="C80" s="31"/>
      <c r="D80" s="31" t="s">
        <v>400</v>
      </c>
      <c r="E80" s="31" t="s">
        <v>1015</v>
      </c>
      <c r="F80" s="31" t="s">
        <v>23</v>
      </c>
      <c r="G80" s="31" t="s">
        <v>1016</v>
      </c>
      <c r="H80" s="31" t="s">
        <v>33</v>
      </c>
    </row>
    <row r="81" spans="1:8" ht="23.25" x14ac:dyDescent="0.35">
      <c r="A81" s="32" t="s">
        <v>852</v>
      </c>
      <c r="B81" s="32">
        <v>15</v>
      </c>
      <c r="C81" s="32"/>
      <c r="D81" s="32" t="s">
        <v>403</v>
      </c>
      <c r="E81" s="32" t="s">
        <v>1017</v>
      </c>
      <c r="F81" s="32" t="s">
        <v>25</v>
      </c>
      <c r="G81" s="32" t="s">
        <v>1018</v>
      </c>
      <c r="H81" s="32" t="s">
        <v>33</v>
      </c>
    </row>
    <row r="82" spans="1:8" ht="23.25" x14ac:dyDescent="0.35">
      <c r="A82" s="31" t="s">
        <v>852</v>
      </c>
      <c r="B82" s="31">
        <v>15</v>
      </c>
      <c r="C82" s="31"/>
      <c r="D82" s="31" t="s">
        <v>406</v>
      </c>
      <c r="E82" s="31" t="s">
        <v>1019</v>
      </c>
      <c r="F82" s="31" t="s">
        <v>25</v>
      </c>
      <c r="G82" s="31" t="s">
        <v>1020</v>
      </c>
      <c r="H82" s="31" t="s">
        <v>33</v>
      </c>
    </row>
    <row r="83" spans="1:8" ht="23.25" x14ac:dyDescent="0.35">
      <c r="A83" s="32" t="s">
        <v>852</v>
      </c>
      <c r="B83" s="32">
        <v>15</v>
      </c>
      <c r="C83" s="32"/>
      <c r="D83" s="32" t="s">
        <v>409</v>
      </c>
      <c r="E83" s="32" t="s">
        <v>1021</v>
      </c>
      <c r="F83" s="32" t="s">
        <v>25</v>
      </c>
      <c r="G83" s="32" t="s">
        <v>1022</v>
      </c>
      <c r="H83" s="32" t="s">
        <v>60</v>
      </c>
    </row>
    <row r="84" spans="1:8" ht="23.25" x14ac:dyDescent="0.35">
      <c r="A84" s="31" t="s">
        <v>852</v>
      </c>
      <c r="B84" s="31">
        <v>16</v>
      </c>
      <c r="C84" s="31" t="s">
        <v>417</v>
      </c>
      <c r="D84" s="31" t="s">
        <v>422</v>
      </c>
      <c r="E84" s="31" t="s">
        <v>1023</v>
      </c>
      <c r="F84" s="31" t="s">
        <v>25</v>
      </c>
      <c r="G84" s="31" t="s">
        <v>1024</v>
      </c>
      <c r="H84" s="31" t="s">
        <v>33</v>
      </c>
    </row>
    <row r="85" spans="1:8" ht="23.25" x14ac:dyDescent="0.35">
      <c r="A85" s="32" t="s">
        <v>852</v>
      </c>
      <c r="B85" s="32">
        <v>16</v>
      </c>
      <c r="C85" s="32"/>
      <c r="D85" s="32"/>
      <c r="E85" s="32" t="s">
        <v>1025</v>
      </c>
      <c r="F85" s="32" t="s">
        <v>21</v>
      </c>
      <c r="G85" s="32" t="s">
        <v>1026</v>
      </c>
      <c r="H85" s="32" t="s">
        <v>33</v>
      </c>
    </row>
    <row r="86" spans="1:8" ht="23.25" x14ac:dyDescent="0.35">
      <c r="A86" s="31" t="s">
        <v>852</v>
      </c>
      <c r="B86" s="31">
        <v>16</v>
      </c>
      <c r="C86" s="31"/>
      <c r="D86" s="31" t="s">
        <v>1027</v>
      </c>
      <c r="E86" s="31" t="s">
        <v>1028</v>
      </c>
      <c r="F86" s="31" t="s">
        <v>18</v>
      </c>
      <c r="G86" s="31" t="s">
        <v>1029</v>
      </c>
      <c r="H86" s="31" t="s">
        <v>33</v>
      </c>
    </row>
    <row r="87" spans="1:8" ht="23.25" x14ac:dyDescent="0.35">
      <c r="A87" s="32" t="s">
        <v>852</v>
      </c>
      <c r="B87" s="32">
        <v>16</v>
      </c>
      <c r="C87" s="32"/>
      <c r="D87" s="32" t="s">
        <v>431</v>
      </c>
      <c r="E87" s="32" t="s">
        <v>1030</v>
      </c>
      <c r="F87" s="32" t="s">
        <v>23</v>
      </c>
      <c r="G87" s="32" t="s">
        <v>1031</v>
      </c>
      <c r="H87" s="32" t="s">
        <v>60</v>
      </c>
    </row>
    <row r="88" spans="1:8" ht="23.25" x14ac:dyDescent="0.35">
      <c r="A88" s="31" t="s">
        <v>852</v>
      </c>
      <c r="B88" s="31">
        <v>16</v>
      </c>
      <c r="C88" s="31"/>
      <c r="D88" s="31" t="s">
        <v>78</v>
      </c>
      <c r="E88" s="31" t="s">
        <v>1032</v>
      </c>
      <c r="F88" s="31" t="s">
        <v>18</v>
      </c>
      <c r="G88" s="31" t="s">
        <v>1033</v>
      </c>
      <c r="H88" s="31" t="s">
        <v>34</v>
      </c>
    </row>
    <row r="89" spans="1:8" ht="23.25" x14ac:dyDescent="0.35">
      <c r="A89" s="32" t="s">
        <v>852</v>
      </c>
      <c r="B89" s="32">
        <v>16</v>
      </c>
      <c r="C89" s="32"/>
      <c r="D89" s="32" t="s">
        <v>78</v>
      </c>
      <c r="E89" s="32" t="s">
        <v>1034</v>
      </c>
      <c r="F89" s="32" t="s">
        <v>25</v>
      </c>
      <c r="G89" s="32" t="s">
        <v>1035</v>
      </c>
      <c r="H89" s="32" t="s">
        <v>34</v>
      </c>
    </row>
    <row r="90" spans="1:8" ht="23.25" x14ac:dyDescent="0.35">
      <c r="A90" s="31" t="s">
        <v>852</v>
      </c>
      <c r="B90" s="31">
        <v>17</v>
      </c>
      <c r="C90" s="31" t="s">
        <v>442</v>
      </c>
      <c r="D90" s="31" t="s">
        <v>449</v>
      </c>
      <c r="E90" s="31" t="s">
        <v>1036</v>
      </c>
      <c r="F90" s="31" t="s">
        <v>25</v>
      </c>
      <c r="G90" s="31" t="s">
        <v>1037</v>
      </c>
      <c r="H90" s="31" t="s">
        <v>60</v>
      </c>
    </row>
    <row r="91" spans="1:8" ht="23.25" x14ac:dyDescent="0.35">
      <c r="A91" s="32" t="s">
        <v>852</v>
      </c>
      <c r="B91" s="32">
        <v>17</v>
      </c>
      <c r="C91" s="32"/>
      <c r="D91" s="32" t="s">
        <v>449</v>
      </c>
      <c r="E91" s="32" t="s">
        <v>1038</v>
      </c>
      <c r="F91" s="32" t="s">
        <v>25</v>
      </c>
      <c r="G91" s="32" t="s">
        <v>1039</v>
      </c>
      <c r="H91" s="32" t="s">
        <v>33</v>
      </c>
    </row>
    <row r="92" spans="1:8" ht="23.25" x14ac:dyDescent="0.35">
      <c r="A92" s="31" t="s">
        <v>852</v>
      </c>
      <c r="B92" s="31">
        <v>17</v>
      </c>
      <c r="C92" s="31"/>
      <c r="D92" s="31" t="s">
        <v>464</v>
      </c>
      <c r="E92" s="31" t="s">
        <v>1040</v>
      </c>
      <c r="F92" s="31" t="s">
        <v>21</v>
      </c>
      <c r="G92" s="31" t="s">
        <v>1041</v>
      </c>
      <c r="H92" s="31" t="s">
        <v>33</v>
      </c>
    </row>
    <row r="93" spans="1:8" ht="23.25" x14ac:dyDescent="0.35">
      <c r="A93" s="32" t="s">
        <v>852</v>
      </c>
      <c r="B93" s="32">
        <v>18</v>
      </c>
      <c r="C93" s="32" t="s">
        <v>472</v>
      </c>
      <c r="D93" s="32"/>
      <c r="E93" s="32" t="s">
        <v>1042</v>
      </c>
      <c r="F93" s="32" t="s">
        <v>25</v>
      </c>
      <c r="G93" s="32" t="s">
        <v>1043</v>
      </c>
      <c r="H93" s="32" t="s">
        <v>33</v>
      </c>
    </row>
    <row r="94" spans="1:8" ht="23.25" x14ac:dyDescent="0.35">
      <c r="A94" s="31" t="s">
        <v>852</v>
      </c>
      <c r="B94" s="31">
        <v>18</v>
      </c>
      <c r="C94" s="31"/>
      <c r="D94" s="31"/>
      <c r="E94" s="31" t="s">
        <v>1044</v>
      </c>
      <c r="F94" s="31" t="s">
        <v>25</v>
      </c>
      <c r="G94" s="31" t="s">
        <v>1043</v>
      </c>
      <c r="H94" s="31" t="s">
        <v>33</v>
      </c>
    </row>
    <row r="95" spans="1:8" ht="23.25" x14ac:dyDescent="0.35">
      <c r="A95" s="32" t="s">
        <v>852</v>
      </c>
      <c r="B95" s="32">
        <v>18</v>
      </c>
      <c r="C95" s="32"/>
      <c r="D95" s="32" t="s">
        <v>475</v>
      </c>
      <c r="E95" s="32" t="s">
        <v>1045</v>
      </c>
      <c r="F95" s="32" t="s">
        <v>21</v>
      </c>
      <c r="G95" s="32" t="b">
        <v>0</v>
      </c>
      <c r="H95" s="32" t="s">
        <v>33</v>
      </c>
    </row>
    <row r="96" spans="1:8" ht="23.25" x14ac:dyDescent="0.35">
      <c r="A96" s="31" t="s">
        <v>852</v>
      </c>
      <c r="B96" s="31">
        <v>18</v>
      </c>
      <c r="C96" s="31"/>
      <c r="D96" s="31" t="s">
        <v>475</v>
      </c>
      <c r="E96" s="31" t="s">
        <v>1046</v>
      </c>
      <c r="F96" s="31" t="s">
        <v>25</v>
      </c>
      <c r="G96" s="31" t="s">
        <v>1047</v>
      </c>
      <c r="H96" s="31" t="s">
        <v>33</v>
      </c>
    </row>
    <row r="97" spans="1:8" ht="23.25" x14ac:dyDescent="0.35">
      <c r="A97" s="32" t="s">
        <v>852</v>
      </c>
      <c r="B97" s="32">
        <v>18</v>
      </c>
      <c r="C97" s="32"/>
      <c r="D97" s="32" t="s">
        <v>475</v>
      </c>
      <c r="E97" s="32" t="s">
        <v>1048</v>
      </c>
      <c r="F97" s="32" t="s">
        <v>21</v>
      </c>
      <c r="G97" s="32" t="s">
        <v>1049</v>
      </c>
      <c r="H97" s="32" t="s">
        <v>33</v>
      </c>
    </row>
    <row r="98" spans="1:8" ht="23.25" x14ac:dyDescent="0.35">
      <c r="A98" s="31" t="s">
        <v>852</v>
      </c>
      <c r="B98" s="31">
        <v>18</v>
      </c>
      <c r="C98" s="31"/>
      <c r="D98" s="31" t="s">
        <v>475</v>
      </c>
      <c r="E98" s="31" t="s">
        <v>1050</v>
      </c>
      <c r="F98" s="31" t="s">
        <v>25</v>
      </c>
      <c r="G98" s="31" t="s">
        <v>1047</v>
      </c>
      <c r="H98" s="31" t="s">
        <v>33</v>
      </c>
    </row>
    <row r="99" spans="1:8" ht="23.25" x14ac:dyDescent="0.35">
      <c r="A99" s="32" t="s">
        <v>852</v>
      </c>
      <c r="B99" s="32">
        <v>18</v>
      </c>
      <c r="C99" s="32"/>
      <c r="D99" s="32" t="s">
        <v>475</v>
      </c>
      <c r="E99" s="32" t="s">
        <v>1051</v>
      </c>
      <c r="F99" s="32" t="s">
        <v>25</v>
      </c>
      <c r="G99" s="32" t="s">
        <v>1047</v>
      </c>
      <c r="H99" s="32" t="s">
        <v>33</v>
      </c>
    </row>
    <row r="100" spans="1:8" ht="23.25" x14ac:dyDescent="0.35">
      <c r="A100" s="31" t="s">
        <v>852</v>
      </c>
      <c r="B100" s="31">
        <v>18</v>
      </c>
      <c r="C100" s="31"/>
      <c r="D100" s="31" t="s">
        <v>475</v>
      </c>
      <c r="E100" s="31" t="s">
        <v>1052</v>
      </c>
      <c r="F100" s="31" t="s">
        <v>25</v>
      </c>
      <c r="G100" s="31" t="s">
        <v>1043</v>
      </c>
      <c r="H100" s="31" t="s">
        <v>33</v>
      </c>
    </row>
    <row r="101" spans="1:8" ht="23.25" x14ac:dyDescent="0.35">
      <c r="A101" s="32" t="s">
        <v>852</v>
      </c>
      <c r="B101" s="32">
        <v>18</v>
      </c>
      <c r="C101" s="32"/>
      <c r="D101" s="32" t="s">
        <v>483</v>
      </c>
      <c r="E101" s="32" t="s">
        <v>1053</v>
      </c>
      <c r="F101" s="32" t="s">
        <v>25</v>
      </c>
      <c r="G101" s="32" t="s">
        <v>1054</v>
      </c>
      <c r="H101" s="32" t="s">
        <v>33</v>
      </c>
    </row>
    <row r="102" spans="1:8" ht="23.25" x14ac:dyDescent="0.35">
      <c r="A102" s="31" t="s">
        <v>852</v>
      </c>
      <c r="B102" s="31">
        <v>18</v>
      </c>
      <c r="C102" s="31"/>
      <c r="D102" s="31" t="s">
        <v>483</v>
      </c>
      <c r="E102" s="31" t="s">
        <v>1055</v>
      </c>
      <c r="F102" s="31" t="s">
        <v>25</v>
      </c>
      <c r="G102" s="31" t="s">
        <v>1054</v>
      </c>
      <c r="H102" s="31" t="s">
        <v>33</v>
      </c>
    </row>
    <row r="103" spans="1:8" ht="23.25" x14ac:dyDescent="0.35">
      <c r="A103" s="32" t="s">
        <v>852</v>
      </c>
      <c r="B103" s="32">
        <v>18</v>
      </c>
      <c r="C103" s="32"/>
      <c r="D103" s="32" t="s">
        <v>483</v>
      </c>
      <c r="E103" s="32" t="s">
        <v>1056</v>
      </c>
      <c r="F103" s="32" t="s">
        <v>25</v>
      </c>
      <c r="G103" s="32" t="s">
        <v>1047</v>
      </c>
      <c r="H103" s="32" t="s">
        <v>33</v>
      </c>
    </row>
    <row r="104" spans="1:8" ht="23.25" x14ac:dyDescent="0.35">
      <c r="A104" s="31" t="s">
        <v>852</v>
      </c>
      <c r="B104" s="31">
        <v>18</v>
      </c>
      <c r="C104" s="31"/>
      <c r="D104" s="31" t="s">
        <v>483</v>
      </c>
      <c r="E104" s="31" t="s">
        <v>1057</v>
      </c>
      <c r="F104" s="31" t="s">
        <v>25</v>
      </c>
      <c r="G104" s="31" t="s">
        <v>1058</v>
      </c>
      <c r="H104" s="31" t="s">
        <v>60</v>
      </c>
    </row>
    <row r="105" spans="1:8" ht="34.9" x14ac:dyDescent="0.35">
      <c r="A105" s="32" t="s">
        <v>852</v>
      </c>
      <c r="B105" s="32">
        <v>18</v>
      </c>
      <c r="C105" s="32"/>
      <c r="D105" s="32" t="s">
        <v>284</v>
      </c>
      <c r="E105" s="32" t="s">
        <v>1059</v>
      </c>
      <c r="F105" s="32" t="s">
        <v>25</v>
      </c>
      <c r="G105" s="32" t="s">
        <v>1060</v>
      </c>
      <c r="H105" s="32" t="s">
        <v>33</v>
      </c>
    </row>
    <row r="106" spans="1:8" ht="23.25" x14ac:dyDescent="0.35">
      <c r="A106" s="31" t="s">
        <v>852</v>
      </c>
      <c r="B106" s="31">
        <v>19</v>
      </c>
      <c r="C106" s="31" t="s">
        <v>496</v>
      </c>
      <c r="D106" s="31" t="s">
        <v>1061</v>
      </c>
      <c r="E106" s="31" t="s">
        <v>1062</v>
      </c>
      <c r="F106" s="31" t="s">
        <v>25</v>
      </c>
      <c r="G106" s="31" t="s">
        <v>1063</v>
      </c>
      <c r="H106" s="31" t="s">
        <v>34</v>
      </c>
    </row>
    <row r="107" spans="1:8" ht="23.25" x14ac:dyDescent="0.35">
      <c r="A107" s="32" t="s">
        <v>852</v>
      </c>
      <c r="B107" s="32">
        <v>19</v>
      </c>
      <c r="C107" s="32"/>
      <c r="D107" s="32" t="s">
        <v>1064</v>
      </c>
      <c r="E107" s="32" t="s">
        <v>1065</v>
      </c>
      <c r="F107" s="32" t="s">
        <v>21</v>
      </c>
      <c r="G107" s="32" t="s">
        <v>1066</v>
      </c>
      <c r="H107" s="32" t="s">
        <v>34</v>
      </c>
    </row>
    <row r="108" spans="1:8" ht="23.25" x14ac:dyDescent="0.35">
      <c r="A108" s="31" t="s">
        <v>852</v>
      </c>
      <c r="B108" s="31">
        <v>20</v>
      </c>
      <c r="C108" s="31" t="s">
        <v>519</v>
      </c>
      <c r="D108" s="31" t="s">
        <v>524</v>
      </c>
      <c r="E108" s="31" t="s">
        <v>1067</v>
      </c>
      <c r="F108" s="31" t="s">
        <v>25</v>
      </c>
      <c r="G108" s="31" t="s">
        <v>954</v>
      </c>
      <c r="H108" s="31" t="s">
        <v>60</v>
      </c>
    </row>
    <row r="109" spans="1:8" ht="23.25" x14ac:dyDescent="0.35">
      <c r="A109" s="32" t="s">
        <v>852</v>
      </c>
      <c r="B109" s="32">
        <v>20</v>
      </c>
      <c r="C109" s="32"/>
      <c r="D109" s="32" t="s">
        <v>827</v>
      </c>
      <c r="E109" s="32" t="s">
        <v>1068</v>
      </c>
      <c r="F109" s="32" t="s">
        <v>25</v>
      </c>
      <c r="G109" s="32" t="s">
        <v>1069</v>
      </c>
      <c r="H109" s="32" t="s">
        <v>33</v>
      </c>
    </row>
    <row r="110" spans="1:8" ht="23.25" x14ac:dyDescent="0.35">
      <c r="A110" s="31" t="s">
        <v>852</v>
      </c>
      <c r="B110" s="31">
        <v>20</v>
      </c>
      <c r="C110" s="31"/>
      <c r="D110" s="31" t="s">
        <v>830</v>
      </c>
      <c r="E110" s="31" t="s">
        <v>1070</v>
      </c>
      <c r="F110" s="31" t="s">
        <v>21</v>
      </c>
      <c r="G110" s="31" t="s">
        <v>1071</v>
      </c>
      <c r="H110" s="31" t="s">
        <v>33</v>
      </c>
    </row>
    <row r="111" spans="1:8" ht="23.25" x14ac:dyDescent="0.35">
      <c r="A111" s="32" t="s">
        <v>852</v>
      </c>
      <c r="B111" s="32">
        <v>20</v>
      </c>
      <c r="C111" s="32"/>
      <c r="D111" s="32"/>
      <c r="E111" s="32" t="s">
        <v>1072</v>
      </c>
      <c r="F111" s="32" t="s">
        <v>25</v>
      </c>
      <c r="G111" s="32" t="s">
        <v>1073</v>
      </c>
      <c r="H111" s="32" t="s">
        <v>33</v>
      </c>
    </row>
    <row r="112" spans="1:8" ht="23.25" x14ac:dyDescent="0.35">
      <c r="A112" s="31" t="s">
        <v>852</v>
      </c>
      <c r="B112" s="31">
        <v>20</v>
      </c>
      <c r="C112" s="31"/>
      <c r="D112" s="31" t="s">
        <v>1074</v>
      </c>
      <c r="E112" s="31" t="s">
        <v>1075</v>
      </c>
      <c r="F112" s="31" t="s">
        <v>18</v>
      </c>
      <c r="G112" s="31" t="s">
        <v>1076</v>
      </c>
      <c r="H112" s="31" t="s">
        <v>33</v>
      </c>
    </row>
    <row r="113" spans="1:8" ht="23.25" x14ac:dyDescent="0.35">
      <c r="A113" s="32" t="s">
        <v>852</v>
      </c>
      <c r="B113" s="32">
        <v>20</v>
      </c>
      <c r="C113" s="32"/>
      <c r="D113" s="32" t="s">
        <v>840</v>
      </c>
      <c r="E113" s="32" t="s">
        <v>1077</v>
      </c>
      <c r="F113" s="32" t="s">
        <v>25</v>
      </c>
      <c r="G113" s="32" t="s">
        <v>1078</v>
      </c>
      <c r="H113" s="32" t="s">
        <v>60</v>
      </c>
    </row>
    <row r="114" spans="1:8" ht="23.25" x14ac:dyDescent="0.35">
      <c r="A114" s="31" t="s">
        <v>852</v>
      </c>
      <c r="B114" s="31">
        <v>20</v>
      </c>
      <c r="C114" s="31"/>
      <c r="D114" s="31" t="s">
        <v>840</v>
      </c>
      <c r="E114" s="31" t="s">
        <v>1079</v>
      </c>
      <c r="F114" s="31" t="s">
        <v>20</v>
      </c>
      <c r="G114" s="31" t="s">
        <v>531</v>
      </c>
      <c r="H114" s="31" t="s">
        <v>33</v>
      </c>
    </row>
    <row r="115" spans="1:8" ht="23.25" x14ac:dyDescent="0.35">
      <c r="A115" s="32" t="s">
        <v>852</v>
      </c>
      <c r="B115" s="32">
        <v>20</v>
      </c>
      <c r="C115" s="32"/>
      <c r="D115" s="32" t="s">
        <v>1080</v>
      </c>
      <c r="E115" s="32" t="s">
        <v>1081</v>
      </c>
      <c r="F115" s="32" t="s">
        <v>25</v>
      </c>
      <c r="G115" s="32" t="s">
        <v>1082</v>
      </c>
      <c r="H115" s="32" t="s">
        <v>33</v>
      </c>
    </row>
  </sheetData>
  <autoFilter ref="A1:H115" xr:uid="{F4C2847B-1F21-4CC6-A2C0-E0370E637557}"/>
  <dataValidations count="2">
    <dataValidation type="list" allowBlank="1" showErrorMessage="1" sqref="A2:A115" xr:uid="{ABD393FA-5049-4CBF-9928-0726D9F4A041}">
      <formula1>"Deepseek V3.2,Kimi K2.5,Qwen 3.5 397B A17B,Llama 4 Maverick,Opus 4.6,GPT 5.4,Gemini 3.1 Pro"</formula1>
      <formula2>0</formula2>
    </dataValidation>
    <dataValidation type="list" allowBlank="1" showErrorMessage="1" sqref="F2:F115" xr:uid="{7FA68BBF-D51B-4B0A-B2C1-E566F534887E}">
      <formula1>"material,move_legality,piece_placement,piece_relations,geometry,reasoning,other/unsure"</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8DF1-1275-4039-802A-E5BF38963337}">
  <sheetPr>
    <tabColor theme="7"/>
  </sheetPr>
  <dimension ref="A1:I115"/>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10" t="s">
        <v>6</v>
      </c>
      <c r="B1" s="10" t="s">
        <v>7</v>
      </c>
      <c r="C1" s="10" t="s">
        <v>8</v>
      </c>
      <c r="D1" s="10" t="s">
        <v>9</v>
      </c>
      <c r="E1" s="10" t="s">
        <v>10</v>
      </c>
      <c r="F1" s="10" t="s">
        <v>11</v>
      </c>
      <c r="G1" s="10" t="s">
        <v>12</v>
      </c>
      <c r="H1" s="10" t="s">
        <v>13</v>
      </c>
      <c r="I1" s="10" t="s">
        <v>14</v>
      </c>
    </row>
    <row r="2" spans="1:9" ht="13.15" x14ac:dyDescent="0.35">
      <c r="A2" s="21">
        <v>1</v>
      </c>
      <c r="B2" s="16">
        <f>'Data QWEN'!B2</f>
        <v>1</v>
      </c>
      <c r="C2" s="22" t="str">
        <f>'Data QWEN'!F2</f>
        <v>piece_relations</v>
      </c>
      <c r="D2" s="16" t="str">
        <f>LOWER(TRIM('Data QWEN'!H2))</f>
        <v>major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4</v>
      </c>
      <c r="F2" s="23">
        <f>IF(D2="major",Parameters!$B$14,IF(D2="medium",Parameters!$B$15,Parameters!$B$16))</f>
        <v>3</v>
      </c>
      <c r="G2" s="16">
        <f t="shared" ref="G2:G33" si="0">COUNTIFS($B$2:$B$115,B2,$C$2:$C$115,C2,$F$2:$F$115,"&gt;"&amp;F2)+COUNTIFS($B$2:$B$115,B2,$C$2:$C$115,C2,$F$2:$F$115,F2,$A$2:$A$115,"&lt;="&amp;A2)</f>
        <v>1</v>
      </c>
      <c r="H2" s="24">
        <f>Parameters!$B$20^(G2-1)</f>
        <v>1</v>
      </c>
      <c r="I2" s="18">
        <f>E2*F2*H2</f>
        <v>12</v>
      </c>
    </row>
    <row r="3" spans="1:9" ht="13.15" x14ac:dyDescent="0.35">
      <c r="A3" s="21">
        <v>2</v>
      </c>
      <c r="B3" s="16">
        <f>'Data QWEN'!B3</f>
        <v>1</v>
      </c>
      <c r="C3" s="22" t="str">
        <f>'Data QWEN'!F3</f>
        <v>material</v>
      </c>
      <c r="D3" s="16" t="str">
        <f>LOWER(TRIM('Data QWEN'!H3))</f>
        <v>medium</v>
      </c>
      <c r="E3" s="23">
        <f>IF(ISNUMBER(SEARCH("move_legality",C3)),Parameters!$B$4,IF(ISNUMBER(SEARCH("piece_placement",C3)),Parameters!$B$5,IF(ISNUMBER(SEARCH("material",C3)),Parameters!$B$6,IF(ISNUMBER(SEARCH("piece_relations",C3)),Parameters!$B$7,IF(ISNUMBER(SEARCH("geometry",C3)),Parameters!$B$8,IF(ISNUMBER(SEARCH("reasoning",C3)),Parameters!$B$9,Parameters!$B$10))))))</f>
        <v>5</v>
      </c>
      <c r="F3" s="23">
        <f>IF(D3="major",Parameters!$B$14,IF(D3="medium",Parameters!$B$15,Parameters!$B$16))</f>
        <v>2</v>
      </c>
      <c r="G3" s="16">
        <f t="shared" si="0"/>
        <v>1</v>
      </c>
      <c r="H3" s="24">
        <f>Parameters!$B$20^(G3-1)</f>
        <v>1</v>
      </c>
      <c r="I3" s="18">
        <f t="shared" ref="I3:I66" si="1">E3*F3*H3</f>
        <v>10</v>
      </c>
    </row>
    <row r="4" spans="1:9" ht="13.15" x14ac:dyDescent="0.35">
      <c r="A4" s="21">
        <v>3</v>
      </c>
      <c r="B4" s="16">
        <f>'Data QWEN'!B4</f>
        <v>1</v>
      </c>
      <c r="C4" s="22" t="str">
        <f>'Data QWEN'!F4</f>
        <v>reasoning</v>
      </c>
      <c r="D4" s="16" t="str">
        <f>LOWER(TRIM('Data QWEN'!H4))</f>
        <v>minor</v>
      </c>
      <c r="E4" s="23">
        <f>IF(ISNUMBER(SEARCH("move_legality",C4)),Parameters!$B$4,IF(ISNUMBER(SEARCH("piece_placement",C4)),Parameters!$B$5,IF(ISNUMBER(SEARCH("material",C4)),Parameters!$B$6,IF(ISNUMBER(SEARCH("piece_relations",C4)),Parameters!$B$7,IF(ISNUMBER(SEARCH("geometry",C4)),Parameters!$B$8,IF(ISNUMBER(SEARCH("reasoning",C4)),Parameters!$B$9,Parameters!$B$10))))))</f>
        <v>2</v>
      </c>
      <c r="F4" s="23">
        <f>IF(D4="major",Parameters!$B$14,IF(D4="medium",Parameters!$B$15,Parameters!$B$16))</f>
        <v>1</v>
      </c>
      <c r="G4" s="16">
        <f t="shared" si="0"/>
        <v>6</v>
      </c>
      <c r="H4" s="24">
        <f>Parameters!$B$20^(G4-1)</f>
        <v>0.16806999999999994</v>
      </c>
      <c r="I4" s="18">
        <f t="shared" si="1"/>
        <v>0.33613999999999988</v>
      </c>
    </row>
    <row r="5" spans="1:9" ht="13.15" x14ac:dyDescent="0.35">
      <c r="A5" s="21">
        <v>4</v>
      </c>
      <c r="B5" s="16">
        <f>'Data QWEN'!B5</f>
        <v>1</v>
      </c>
      <c r="C5" s="22" t="str">
        <f>'Data QWEN'!F5</f>
        <v>reasoning</v>
      </c>
      <c r="D5" s="16" t="str">
        <f>LOWER(TRIM('Data QWEN'!H5))</f>
        <v>major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2</v>
      </c>
      <c r="F5" s="23">
        <f>IF(D5="major",Parameters!$B$14,IF(D5="medium",Parameters!$B$15,Parameters!$B$16))</f>
        <v>3</v>
      </c>
      <c r="G5" s="16">
        <f t="shared" si="0"/>
        <v>1</v>
      </c>
      <c r="H5" s="24">
        <f>Parameters!$B$20^(G5-1)</f>
        <v>1</v>
      </c>
      <c r="I5" s="18">
        <f t="shared" si="1"/>
        <v>6</v>
      </c>
    </row>
    <row r="6" spans="1:9" ht="13.15" x14ac:dyDescent="0.35">
      <c r="A6" s="21">
        <v>5</v>
      </c>
      <c r="B6" s="16">
        <f>'Data QWEN'!B6</f>
        <v>1</v>
      </c>
      <c r="C6" s="22" t="str">
        <f>'Data QWEN'!F6</f>
        <v>reasoning</v>
      </c>
      <c r="D6" s="16" t="str">
        <f>LOWER(TRIM('Data QWEN'!H6))</f>
        <v>medium</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2</v>
      </c>
      <c r="G6" s="16">
        <f t="shared" si="0"/>
        <v>4</v>
      </c>
      <c r="H6" s="24">
        <f>Parameters!$B$20^(G6-1)</f>
        <v>0.34299999999999992</v>
      </c>
      <c r="I6" s="18">
        <f t="shared" si="1"/>
        <v>1.3719999999999997</v>
      </c>
    </row>
    <row r="7" spans="1:9" ht="13.15" x14ac:dyDescent="0.35">
      <c r="A7" s="21">
        <v>6</v>
      </c>
      <c r="B7" s="16">
        <f>'Data QWEN'!B7</f>
        <v>1</v>
      </c>
      <c r="C7" s="22" t="str">
        <f>'Data QWEN'!F7</f>
        <v>reasoning</v>
      </c>
      <c r="D7" s="16" t="str">
        <f>LOWER(TRIM('Data QWEN'!H7))</f>
        <v>medium</v>
      </c>
      <c r="E7" s="23">
        <f>IF(ISNUMBER(SEARCH("move_legality",C7)),Parameters!$B$4,IF(ISNUMBER(SEARCH("piece_placement",C7)),Parameters!$B$5,IF(ISNUMBER(SEARCH("material",C7)),Parameters!$B$6,IF(ISNUMBER(SEARCH("piece_relations",C7)),Parameters!$B$7,IF(ISNUMBER(SEARCH("geometry",C7)),Parameters!$B$8,IF(ISNUMBER(SEARCH("reasoning",C7)),Parameters!$B$9,Parameters!$B$10))))))</f>
        <v>2</v>
      </c>
      <c r="F7" s="23">
        <f>IF(D7="major",Parameters!$B$14,IF(D7="medium",Parameters!$B$15,Parameters!$B$16))</f>
        <v>2</v>
      </c>
      <c r="G7" s="16">
        <f t="shared" si="0"/>
        <v>5</v>
      </c>
      <c r="H7" s="24">
        <f>Parameters!$B$20^(G7-1)</f>
        <v>0.24009999999999992</v>
      </c>
      <c r="I7" s="18">
        <f t="shared" si="1"/>
        <v>0.9603999999999997</v>
      </c>
    </row>
    <row r="8" spans="1:9" ht="13.15" x14ac:dyDescent="0.35">
      <c r="A8" s="21">
        <v>7</v>
      </c>
      <c r="B8" s="16">
        <f>'Data QWEN'!B8</f>
        <v>1</v>
      </c>
      <c r="C8" s="22" t="str">
        <f>'Data QWEN'!F8</f>
        <v>reasoning</v>
      </c>
      <c r="D8" s="16" t="str">
        <f>LOWER(TRIM('Data QWEN'!H8))</f>
        <v>major</v>
      </c>
      <c r="E8" s="23">
        <f>IF(ISNUMBER(SEARCH("move_legality",C8)),Parameters!$B$4,IF(ISNUMBER(SEARCH("piece_placement",C8)),Parameters!$B$5,IF(ISNUMBER(SEARCH("material",C8)),Parameters!$B$6,IF(ISNUMBER(SEARCH("piece_relations",C8)),Parameters!$B$7,IF(ISNUMBER(SEARCH("geometry",C8)),Parameters!$B$8,IF(ISNUMBER(SEARCH("reasoning",C8)),Parameters!$B$9,Parameters!$B$10))))))</f>
        <v>2</v>
      </c>
      <c r="F8" s="23">
        <f>IF(D8="major",Parameters!$B$14,IF(D8="medium",Parameters!$B$15,Parameters!$B$16))</f>
        <v>3</v>
      </c>
      <c r="G8" s="16">
        <f t="shared" si="0"/>
        <v>2</v>
      </c>
      <c r="H8" s="24">
        <f>Parameters!$B$20^(G8-1)</f>
        <v>0.7</v>
      </c>
      <c r="I8" s="18">
        <f t="shared" si="1"/>
        <v>4.1999999999999993</v>
      </c>
    </row>
    <row r="9" spans="1:9" ht="13.15" x14ac:dyDescent="0.35">
      <c r="A9" s="21">
        <v>8</v>
      </c>
      <c r="B9" s="16">
        <f>'Data QWEN'!B9</f>
        <v>1</v>
      </c>
      <c r="C9" s="22" t="str">
        <f>'Data QWEN'!F9</f>
        <v>move_legality</v>
      </c>
      <c r="D9" s="16" t="str">
        <f>LOWER(TRIM('Data QWEN'!H9))</f>
        <v>medium</v>
      </c>
      <c r="E9" s="23">
        <f>IF(ISNUMBER(SEARCH("move_legality",C9)),Parameters!$B$4,IF(ISNUMBER(SEARCH("piece_placement",C9)),Parameters!$B$5,IF(ISNUMBER(SEARCH("material",C9)),Parameters!$B$6,IF(ISNUMBER(SEARCH("piece_relations",C9)),Parameters!$B$7,IF(ISNUMBER(SEARCH("geometry",C9)),Parameters!$B$8,IF(ISNUMBER(SEARCH("reasoning",C9)),Parameters!$B$9,Parameters!$B$10))))))</f>
        <v>8</v>
      </c>
      <c r="F9" s="23">
        <f>IF(D9="major",Parameters!$B$14,IF(D9="medium",Parameters!$B$15,Parameters!$B$16))</f>
        <v>2</v>
      </c>
      <c r="G9" s="16">
        <f t="shared" si="0"/>
        <v>1</v>
      </c>
      <c r="H9" s="24">
        <f>Parameters!$B$20^(G9-1)</f>
        <v>1</v>
      </c>
      <c r="I9" s="18">
        <f t="shared" si="1"/>
        <v>16</v>
      </c>
    </row>
    <row r="10" spans="1:9" ht="13.15" x14ac:dyDescent="0.35">
      <c r="A10" s="21">
        <v>9</v>
      </c>
      <c r="B10" s="16">
        <f>'Data QWEN'!B10</f>
        <v>1</v>
      </c>
      <c r="C10" s="22" t="str">
        <f>'Data QWEN'!F10</f>
        <v>reasoning</v>
      </c>
      <c r="D10" s="16" t="str">
        <f>LOWER(TRIM('Data QWEN'!H10))</f>
        <v>major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2</v>
      </c>
      <c r="F10" s="23">
        <f>IF(D10="major",Parameters!$B$14,IF(D10="medium",Parameters!$B$15,Parameters!$B$16))</f>
        <v>3</v>
      </c>
      <c r="G10" s="16">
        <f t="shared" si="0"/>
        <v>3</v>
      </c>
      <c r="H10" s="24">
        <f>Parameters!$B$20^(G10-1)</f>
        <v>0.48999999999999994</v>
      </c>
      <c r="I10" s="18">
        <f t="shared" si="1"/>
        <v>2.9399999999999995</v>
      </c>
    </row>
    <row r="11" spans="1:9" ht="13.15" x14ac:dyDescent="0.35">
      <c r="A11" s="21">
        <v>10</v>
      </c>
      <c r="B11" s="16">
        <f>'Data QWEN'!B11</f>
        <v>2</v>
      </c>
      <c r="C11" s="22" t="str">
        <f>'Data QWEN'!F11</f>
        <v>move_legality</v>
      </c>
      <c r="D11" s="16" t="str">
        <f>LOWER(TRIM('Data QWEN'!H11))</f>
        <v>medium</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8</v>
      </c>
      <c r="F11" s="23">
        <f>IF(D11="major",Parameters!$B$14,IF(D11="medium",Parameters!$B$15,Parameters!$B$16))</f>
        <v>2</v>
      </c>
      <c r="G11" s="16">
        <f t="shared" si="0"/>
        <v>1</v>
      </c>
      <c r="H11" s="24">
        <f>Parameters!$B$20^(G11-1)</f>
        <v>1</v>
      </c>
      <c r="I11" s="18">
        <f t="shared" si="1"/>
        <v>16</v>
      </c>
    </row>
    <row r="12" spans="1:9" ht="13.15" x14ac:dyDescent="0.35">
      <c r="A12" s="21">
        <v>11</v>
      </c>
      <c r="B12" s="16">
        <f>'Data QWEN'!B12</f>
        <v>2</v>
      </c>
      <c r="C12" s="22" t="str">
        <f>'Data QWEN'!F12</f>
        <v>reasoning</v>
      </c>
      <c r="D12" s="16" t="str">
        <f>LOWER(TRIM('Data QWEN'!H12))</f>
        <v>major</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2</v>
      </c>
      <c r="F12" s="23">
        <f>IF(D12="major",Parameters!$B$14,IF(D12="medium",Parameters!$B$15,Parameters!$B$16))</f>
        <v>3</v>
      </c>
      <c r="G12" s="16">
        <f t="shared" si="0"/>
        <v>1</v>
      </c>
      <c r="H12" s="24">
        <f>Parameters!$B$20^(G12-1)</f>
        <v>1</v>
      </c>
      <c r="I12" s="18">
        <f t="shared" si="1"/>
        <v>6</v>
      </c>
    </row>
    <row r="13" spans="1:9" ht="13.15" x14ac:dyDescent="0.35">
      <c r="A13" s="21">
        <v>12</v>
      </c>
      <c r="B13" s="16">
        <f>'Data QWEN'!B13</f>
        <v>2</v>
      </c>
      <c r="C13" s="22" t="str">
        <f>'Data QWEN'!F13</f>
        <v>reasoning</v>
      </c>
      <c r="D13" s="16" t="str">
        <f>LOWER(TRIM('Data QWEN'!H13))</f>
        <v>major</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2</v>
      </c>
      <c r="F13" s="23">
        <f>IF(D13="major",Parameters!$B$14,IF(D13="medium",Parameters!$B$15,Parameters!$B$16))</f>
        <v>3</v>
      </c>
      <c r="G13" s="16">
        <f t="shared" si="0"/>
        <v>2</v>
      </c>
      <c r="H13" s="24">
        <f>Parameters!$B$20^(G13-1)</f>
        <v>0.7</v>
      </c>
      <c r="I13" s="18">
        <f t="shared" si="1"/>
        <v>4.1999999999999993</v>
      </c>
    </row>
    <row r="14" spans="1:9" ht="13.15" x14ac:dyDescent="0.35">
      <c r="A14" s="21">
        <v>13</v>
      </c>
      <c r="B14" s="16">
        <f>'Data QWEN'!B14</f>
        <v>2</v>
      </c>
      <c r="C14" s="22" t="str">
        <f>'Data QWEN'!F14</f>
        <v>material</v>
      </c>
      <c r="D14" s="16" t="str">
        <f>LOWER(TRIM('Data QWEN'!H14))</f>
        <v>major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5</v>
      </c>
      <c r="F14" s="23">
        <f>IF(D14="major",Parameters!$B$14,IF(D14="medium",Parameters!$B$15,Parameters!$B$16))</f>
        <v>3</v>
      </c>
      <c r="G14" s="16">
        <f t="shared" si="0"/>
        <v>1</v>
      </c>
      <c r="H14" s="24">
        <f>Parameters!$B$20^(G14-1)</f>
        <v>1</v>
      </c>
      <c r="I14" s="18">
        <f t="shared" si="1"/>
        <v>15</v>
      </c>
    </row>
    <row r="15" spans="1:9" ht="13.15" x14ac:dyDescent="0.35">
      <c r="A15" s="21">
        <v>14</v>
      </c>
      <c r="B15" s="16">
        <f>'Data QWEN'!B15</f>
        <v>3</v>
      </c>
      <c r="C15" s="22" t="str">
        <f>'Data QWEN'!F15</f>
        <v>material</v>
      </c>
      <c r="D15" s="16" t="str">
        <f>LOWER(TRIM('Data QWEN'!H15))</f>
        <v>major</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5</v>
      </c>
      <c r="F15" s="23">
        <f>IF(D15="major",Parameters!$B$14,IF(D15="medium",Parameters!$B$15,Parameters!$B$16))</f>
        <v>3</v>
      </c>
      <c r="G15" s="16">
        <f t="shared" si="0"/>
        <v>1</v>
      </c>
      <c r="H15" s="24">
        <f>Parameters!$B$20^(G15-1)</f>
        <v>1</v>
      </c>
      <c r="I15" s="18">
        <f t="shared" si="1"/>
        <v>15</v>
      </c>
    </row>
    <row r="16" spans="1:9" ht="13.15" x14ac:dyDescent="0.35">
      <c r="A16" s="21">
        <v>15</v>
      </c>
      <c r="B16" s="16">
        <f>'Data QWEN'!B16</f>
        <v>3</v>
      </c>
      <c r="C16" s="22" t="str">
        <f>'Data QWEN'!F16</f>
        <v>move_legality</v>
      </c>
      <c r="D16" s="16" t="str">
        <f>LOWER(TRIM('Data QWEN'!H16))</f>
        <v>medium</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8</v>
      </c>
      <c r="F16" s="23">
        <f>IF(D16="major",Parameters!$B$14,IF(D16="medium",Parameters!$B$15,Parameters!$B$16))</f>
        <v>2</v>
      </c>
      <c r="G16" s="16">
        <f t="shared" si="0"/>
        <v>1</v>
      </c>
      <c r="H16" s="24">
        <f>Parameters!$B$20^(G16-1)</f>
        <v>1</v>
      </c>
      <c r="I16" s="18">
        <f t="shared" si="1"/>
        <v>16</v>
      </c>
    </row>
    <row r="17" spans="1:9" ht="13.15" x14ac:dyDescent="0.35">
      <c r="A17" s="21">
        <v>16</v>
      </c>
      <c r="B17" s="16">
        <f>'Data QWEN'!B17</f>
        <v>4</v>
      </c>
      <c r="C17" s="22" t="str">
        <f>'Data QWEN'!F17</f>
        <v>piece_relations</v>
      </c>
      <c r="D17" s="16" t="str">
        <f>LOWER(TRIM('Data QWEN'!H17))</f>
        <v>major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4</v>
      </c>
      <c r="F17" s="23">
        <f>IF(D17="major",Parameters!$B$14,IF(D17="medium",Parameters!$B$15,Parameters!$B$16))</f>
        <v>3</v>
      </c>
      <c r="G17" s="16">
        <f t="shared" si="0"/>
        <v>1</v>
      </c>
      <c r="H17" s="24">
        <f>Parameters!$B$20^(G17-1)</f>
        <v>1</v>
      </c>
      <c r="I17" s="18">
        <f t="shared" si="1"/>
        <v>12</v>
      </c>
    </row>
    <row r="18" spans="1:9" ht="13.15" x14ac:dyDescent="0.35">
      <c r="A18" s="21">
        <v>17</v>
      </c>
      <c r="B18" s="16">
        <f>'Data QWEN'!B18</f>
        <v>4</v>
      </c>
      <c r="C18" s="22" t="str">
        <f>'Data QWEN'!F18</f>
        <v>material</v>
      </c>
      <c r="D18" s="16" t="str">
        <f>LOWER(TRIM('Data QWEN'!H18))</f>
        <v>major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5</v>
      </c>
      <c r="F18" s="23">
        <f>IF(D18="major",Parameters!$B$14,IF(D18="medium",Parameters!$B$15,Parameters!$B$16))</f>
        <v>3</v>
      </c>
      <c r="G18" s="16">
        <f t="shared" si="0"/>
        <v>1</v>
      </c>
      <c r="H18" s="24">
        <f>Parameters!$B$20^(G18-1)</f>
        <v>1</v>
      </c>
      <c r="I18" s="18">
        <f t="shared" si="1"/>
        <v>15</v>
      </c>
    </row>
    <row r="19" spans="1:9" ht="13.15" x14ac:dyDescent="0.35">
      <c r="A19" s="21">
        <v>18</v>
      </c>
      <c r="B19" s="16">
        <f>'Data QWEN'!B19</f>
        <v>4</v>
      </c>
      <c r="C19" s="22" t="str">
        <f>'Data QWEN'!F19</f>
        <v>geometry</v>
      </c>
      <c r="D19" s="16" t="str">
        <f>LOWER(TRIM('Data QWEN'!H19))</f>
        <v>medium</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3</v>
      </c>
      <c r="F19" s="23">
        <f>IF(D19="major",Parameters!$B$14,IF(D19="medium",Parameters!$B$15,Parameters!$B$16))</f>
        <v>2</v>
      </c>
      <c r="G19" s="16">
        <f t="shared" si="0"/>
        <v>1</v>
      </c>
      <c r="H19" s="24">
        <f>Parameters!$B$20^(G19-1)</f>
        <v>1</v>
      </c>
      <c r="I19" s="18">
        <f t="shared" si="1"/>
        <v>6</v>
      </c>
    </row>
    <row r="20" spans="1:9" ht="13.15" x14ac:dyDescent="0.35">
      <c r="A20" s="21">
        <v>19</v>
      </c>
      <c r="B20" s="16">
        <f>'Data QWEN'!B20</f>
        <v>4</v>
      </c>
      <c r="C20" s="22" t="str">
        <f>'Data QWEN'!F20</f>
        <v>reasoning</v>
      </c>
      <c r="D20" s="16" t="str">
        <f>LOWER(TRIM('Data QWEN'!H20))</f>
        <v>major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2</v>
      </c>
      <c r="F20" s="23">
        <f>IF(D20="major",Parameters!$B$14,IF(D20="medium",Parameters!$B$15,Parameters!$B$16))</f>
        <v>3</v>
      </c>
      <c r="G20" s="16">
        <f t="shared" si="0"/>
        <v>1</v>
      </c>
      <c r="H20" s="24">
        <f>Parameters!$B$20^(G20-1)</f>
        <v>1</v>
      </c>
      <c r="I20" s="18">
        <f t="shared" si="1"/>
        <v>6</v>
      </c>
    </row>
    <row r="21" spans="1:9" ht="13.15" x14ac:dyDescent="0.35">
      <c r="A21" s="21">
        <v>20</v>
      </c>
      <c r="B21" s="16">
        <f>'Data QWEN'!B21</f>
        <v>4</v>
      </c>
      <c r="C21" s="22" t="str">
        <f>'Data QWEN'!F21</f>
        <v>reasoning</v>
      </c>
      <c r="D21" s="16" t="str">
        <f>LOWER(TRIM('Data QWEN'!H21))</f>
        <v>major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2</v>
      </c>
      <c r="F21" s="23">
        <f>IF(D21="major",Parameters!$B$14,IF(D21="medium",Parameters!$B$15,Parameters!$B$16))</f>
        <v>3</v>
      </c>
      <c r="G21" s="16">
        <f t="shared" si="0"/>
        <v>2</v>
      </c>
      <c r="H21" s="24">
        <f>Parameters!$B$20^(G21-1)</f>
        <v>0.7</v>
      </c>
      <c r="I21" s="18">
        <f t="shared" si="1"/>
        <v>4.1999999999999993</v>
      </c>
    </row>
    <row r="22" spans="1:9" ht="13.15" x14ac:dyDescent="0.35">
      <c r="A22" s="21">
        <v>21</v>
      </c>
      <c r="B22" s="16">
        <f>'Data QWEN'!B22</f>
        <v>4</v>
      </c>
      <c r="C22" s="22" t="str">
        <f>'Data QWEN'!F22</f>
        <v>reasoning</v>
      </c>
      <c r="D22" s="16" t="str">
        <f>LOWER(TRIM('Data QWEN'!H22))</f>
        <v>minor</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2</v>
      </c>
      <c r="F22" s="23">
        <f>IF(D22="major",Parameters!$B$14,IF(D22="medium",Parameters!$B$15,Parameters!$B$16))</f>
        <v>1</v>
      </c>
      <c r="G22" s="16">
        <f t="shared" si="0"/>
        <v>3</v>
      </c>
      <c r="H22" s="24">
        <f>Parameters!$B$20^(G22-1)</f>
        <v>0.48999999999999994</v>
      </c>
      <c r="I22" s="18">
        <f t="shared" si="1"/>
        <v>0.97999999999999987</v>
      </c>
    </row>
    <row r="23" spans="1:9" ht="13.15" x14ac:dyDescent="0.35">
      <c r="A23" s="21">
        <v>22</v>
      </c>
      <c r="B23" s="16">
        <f>'Data QWEN'!B23</f>
        <v>4</v>
      </c>
      <c r="C23" s="22" t="str">
        <f>'Data QWEN'!F23</f>
        <v>material</v>
      </c>
      <c r="D23" s="16" t="str">
        <f>LOWER(TRIM('Data QWEN'!H23))</f>
        <v>major</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5</v>
      </c>
      <c r="F23" s="23">
        <f>IF(D23="major",Parameters!$B$14,IF(D23="medium",Parameters!$B$15,Parameters!$B$16))</f>
        <v>3</v>
      </c>
      <c r="G23" s="16">
        <f t="shared" si="0"/>
        <v>2</v>
      </c>
      <c r="H23" s="24">
        <f>Parameters!$B$20^(G23-1)</f>
        <v>0.7</v>
      </c>
      <c r="I23" s="18">
        <f t="shared" si="1"/>
        <v>10.5</v>
      </c>
    </row>
    <row r="24" spans="1:9" ht="13.15" x14ac:dyDescent="0.35">
      <c r="A24" s="21">
        <v>23</v>
      </c>
      <c r="B24" s="16">
        <f>'Data QWEN'!B24</f>
        <v>5</v>
      </c>
      <c r="C24" s="22" t="str">
        <f>'Data QWEN'!F24</f>
        <v>move_legality</v>
      </c>
      <c r="D24" s="16" t="str">
        <f>LOWER(TRIM('Data QWEN'!H24))</f>
        <v>medium</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8</v>
      </c>
      <c r="F24" s="23">
        <f>IF(D24="major",Parameters!$B$14,IF(D24="medium",Parameters!$B$15,Parameters!$B$16))</f>
        <v>2</v>
      </c>
      <c r="G24" s="16">
        <f t="shared" si="0"/>
        <v>2</v>
      </c>
      <c r="H24" s="24">
        <f>Parameters!$B$20^(G24-1)</f>
        <v>0.7</v>
      </c>
      <c r="I24" s="18">
        <f t="shared" si="1"/>
        <v>11.2</v>
      </c>
    </row>
    <row r="25" spans="1:9" ht="13.15" x14ac:dyDescent="0.35">
      <c r="A25" s="21">
        <v>24</v>
      </c>
      <c r="B25" s="16">
        <f>'Data QWEN'!B25</f>
        <v>5</v>
      </c>
      <c r="C25" s="22" t="str">
        <f>'Data QWEN'!F25</f>
        <v>move_legality</v>
      </c>
      <c r="D25" s="16" t="str">
        <f>LOWER(TRIM('Data QWEN'!H25))</f>
        <v>major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8</v>
      </c>
      <c r="F25" s="23">
        <f>IF(D25="major",Parameters!$B$14,IF(D25="medium",Parameters!$B$15,Parameters!$B$16))</f>
        <v>3</v>
      </c>
      <c r="G25" s="16">
        <f t="shared" si="0"/>
        <v>1</v>
      </c>
      <c r="H25" s="24">
        <f>Parameters!$B$20^(G25-1)</f>
        <v>1</v>
      </c>
      <c r="I25" s="18">
        <f t="shared" si="1"/>
        <v>24</v>
      </c>
    </row>
    <row r="26" spans="1:9" ht="13.15" x14ac:dyDescent="0.35">
      <c r="A26" s="21">
        <v>25</v>
      </c>
      <c r="B26" s="16">
        <f>'Data QWEN'!B26</f>
        <v>5</v>
      </c>
      <c r="C26" s="22" t="str">
        <f>'Data QWEN'!F26</f>
        <v>material</v>
      </c>
      <c r="D26" s="16" t="str">
        <f>LOWER(TRIM('Data QWEN'!H26))</f>
        <v>major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5</v>
      </c>
      <c r="F26" s="23">
        <f>IF(D26="major",Parameters!$B$14,IF(D26="medium",Parameters!$B$15,Parameters!$B$16))</f>
        <v>3</v>
      </c>
      <c r="G26" s="16">
        <f t="shared" si="0"/>
        <v>1</v>
      </c>
      <c r="H26" s="24">
        <f>Parameters!$B$20^(G26-1)</f>
        <v>1</v>
      </c>
      <c r="I26" s="18">
        <f t="shared" si="1"/>
        <v>15</v>
      </c>
    </row>
    <row r="27" spans="1:9" ht="13.15" x14ac:dyDescent="0.35">
      <c r="A27" s="21">
        <v>26</v>
      </c>
      <c r="B27" s="16">
        <f>'Data QWEN'!B27</f>
        <v>6</v>
      </c>
      <c r="C27" s="22" t="str">
        <f>'Data QWEN'!F27</f>
        <v>reasoning</v>
      </c>
      <c r="D27" s="16" t="str">
        <f>LOWER(TRIM('Data QWEN'!H27))</f>
        <v>major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2</v>
      </c>
      <c r="F27" s="23">
        <f>IF(D27="major",Parameters!$B$14,IF(D27="medium",Parameters!$B$15,Parameters!$B$16))</f>
        <v>3</v>
      </c>
      <c r="G27" s="16">
        <f t="shared" si="0"/>
        <v>1</v>
      </c>
      <c r="H27" s="24">
        <f>Parameters!$B$20^(G27-1)</f>
        <v>1</v>
      </c>
      <c r="I27" s="18">
        <f t="shared" si="1"/>
        <v>6</v>
      </c>
    </row>
    <row r="28" spans="1:9" ht="13.15" x14ac:dyDescent="0.35">
      <c r="A28" s="21">
        <v>27</v>
      </c>
      <c r="B28" s="16">
        <f>'Data QWEN'!B28</f>
        <v>6</v>
      </c>
      <c r="C28" s="22" t="str">
        <f>'Data QWEN'!F28</f>
        <v>reasoning</v>
      </c>
      <c r="D28" s="16" t="str">
        <f>LOWER(TRIM('Data QWEN'!H28))</f>
        <v>major</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2</v>
      </c>
      <c r="F28" s="23">
        <f>IF(D28="major",Parameters!$B$14,IF(D28="medium",Parameters!$B$15,Parameters!$B$16))</f>
        <v>3</v>
      </c>
      <c r="G28" s="16">
        <f t="shared" si="0"/>
        <v>2</v>
      </c>
      <c r="H28" s="24">
        <f>Parameters!$B$20^(G28-1)</f>
        <v>0.7</v>
      </c>
      <c r="I28" s="18">
        <f t="shared" si="1"/>
        <v>4.1999999999999993</v>
      </c>
    </row>
    <row r="29" spans="1:9" ht="13.15" x14ac:dyDescent="0.35">
      <c r="A29" s="21">
        <v>28</v>
      </c>
      <c r="B29" s="16">
        <f>'Data QWEN'!B29</f>
        <v>6</v>
      </c>
      <c r="C29" s="22" t="str">
        <f>'Data QWEN'!F29</f>
        <v>reasoning</v>
      </c>
      <c r="D29" s="16" t="str">
        <f>LOWER(TRIM('Data QWEN'!H29))</f>
        <v>medium</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2</v>
      </c>
      <c r="G29" s="16">
        <f t="shared" si="0"/>
        <v>5</v>
      </c>
      <c r="H29" s="24">
        <f>Parameters!$B$20^(G29-1)</f>
        <v>0.24009999999999992</v>
      </c>
      <c r="I29" s="18">
        <f t="shared" si="1"/>
        <v>0.9603999999999997</v>
      </c>
    </row>
    <row r="30" spans="1:9" ht="13.15" x14ac:dyDescent="0.35">
      <c r="A30" s="21">
        <v>29</v>
      </c>
      <c r="B30" s="16">
        <f>'Data QWEN'!B30</f>
        <v>6</v>
      </c>
      <c r="C30" s="22" t="str">
        <f>'Data QWEN'!F30</f>
        <v>reasoning</v>
      </c>
      <c r="D30" s="16" t="str">
        <f>LOWER(TRIM('Data QWEN'!H30))</f>
        <v>major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2</v>
      </c>
      <c r="F30" s="23">
        <f>IF(D30="major",Parameters!$B$14,IF(D30="medium",Parameters!$B$15,Parameters!$B$16))</f>
        <v>3</v>
      </c>
      <c r="G30" s="16">
        <f t="shared" si="0"/>
        <v>3</v>
      </c>
      <c r="H30" s="24">
        <f>Parameters!$B$20^(G30-1)</f>
        <v>0.48999999999999994</v>
      </c>
      <c r="I30" s="18">
        <f t="shared" si="1"/>
        <v>2.9399999999999995</v>
      </c>
    </row>
    <row r="31" spans="1:9" ht="13.15" x14ac:dyDescent="0.35">
      <c r="A31" s="21">
        <v>30</v>
      </c>
      <c r="B31" s="16">
        <f>'Data QWEN'!B31</f>
        <v>6</v>
      </c>
      <c r="C31" s="22" t="str">
        <f>'Data QWEN'!F31</f>
        <v>reasoning</v>
      </c>
      <c r="D31" s="16" t="str">
        <f>LOWER(TRIM('Data QWEN'!H31))</f>
        <v>major</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3</v>
      </c>
      <c r="G31" s="16">
        <f t="shared" si="0"/>
        <v>4</v>
      </c>
      <c r="H31" s="24">
        <f>Parameters!$B$20^(G31-1)</f>
        <v>0.34299999999999992</v>
      </c>
      <c r="I31" s="18">
        <f t="shared" si="1"/>
        <v>2.0579999999999994</v>
      </c>
    </row>
    <row r="32" spans="1:9" ht="13.15" x14ac:dyDescent="0.35">
      <c r="A32" s="21">
        <v>31</v>
      </c>
      <c r="B32" s="16">
        <f>'Data QWEN'!B32</f>
        <v>7</v>
      </c>
      <c r="C32" s="22" t="str">
        <f>'Data QWEN'!F32</f>
        <v>reasoning</v>
      </c>
      <c r="D32" s="16" t="str">
        <f>LOWER(TRIM('Data QWEN'!H32))</f>
        <v>medium</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2</v>
      </c>
      <c r="G32" s="16">
        <f t="shared" si="0"/>
        <v>1</v>
      </c>
      <c r="H32" s="24">
        <f>Parameters!$B$20^(G32-1)</f>
        <v>1</v>
      </c>
      <c r="I32" s="18">
        <f t="shared" si="1"/>
        <v>4</v>
      </c>
    </row>
    <row r="33" spans="1:9" ht="13.15" x14ac:dyDescent="0.35">
      <c r="A33" s="21">
        <v>32</v>
      </c>
      <c r="B33" s="16">
        <f>'Data QWEN'!B33</f>
        <v>7</v>
      </c>
      <c r="C33" s="22" t="str">
        <f>'Data QWEN'!F33</f>
        <v>reasoning</v>
      </c>
      <c r="D33" s="16" t="str">
        <f>LOWER(TRIM('Data QWEN'!H33))</f>
        <v>minor</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2</v>
      </c>
      <c r="F33" s="23">
        <f>IF(D33="major",Parameters!$B$14,IF(D33="medium",Parameters!$B$15,Parameters!$B$16))</f>
        <v>1</v>
      </c>
      <c r="G33" s="16">
        <f t="shared" si="0"/>
        <v>2</v>
      </c>
      <c r="H33" s="24">
        <f>Parameters!$B$20^(G33-1)</f>
        <v>0.7</v>
      </c>
      <c r="I33" s="18">
        <f t="shared" si="1"/>
        <v>1.4</v>
      </c>
    </row>
    <row r="34" spans="1:9" ht="13.15" x14ac:dyDescent="0.35">
      <c r="A34" s="21">
        <v>33</v>
      </c>
      <c r="B34" s="16">
        <f>'Data QWEN'!B34</f>
        <v>8</v>
      </c>
      <c r="C34" s="22" t="str">
        <f>'Data QWEN'!F34</f>
        <v>reasoning</v>
      </c>
      <c r="D34" s="16" t="str">
        <f>LOWER(TRIM('Data QWEN'!H34))</f>
        <v>minor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2</v>
      </c>
      <c r="F34" s="23">
        <f>IF(D34="major",Parameters!$B$14,IF(D34="medium",Parameters!$B$15,Parameters!$B$16))</f>
        <v>1</v>
      </c>
      <c r="G34" s="16">
        <f t="shared" ref="G34:G65" si="2">COUNTIFS($B$2:$B$115,B34,$C$2:$C$115,C34,$F$2:$F$115,"&gt;"&amp;F34)+COUNTIFS($B$2:$B$115,B34,$C$2:$C$115,C34,$F$2:$F$115,F34,$A$2:$A$115,"&lt;="&amp;A34)</f>
        <v>2</v>
      </c>
      <c r="H34" s="24">
        <f>Parameters!$B$20^(G34-1)</f>
        <v>0.7</v>
      </c>
      <c r="I34" s="18">
        <f t="shared" si="1"/>
        <v>1.4</v>
      </c>
    </row>
    <row r="35" spans="1:9" ht="13.15" x14ac:dyDescent="0.35">
      <c r="A35" s="21">
        <v>34</v>
      </c>
      <c r="B35" s="16">
        <f>'Data QWEN'!B35</f>
        <v>8</v>
      </c>
      <c r="C35" s="22" t="str">
        <f>'Data QWEN'!F35</f>
        <v>move_legality</v>
      </c>
      <c r="D35" s="16" t="str">
        <f>LOWER(TRIM('Data QWEN'!H35))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8</v>
      </c>
      <c r="F35" s="23">
        <f>IF(D35="major",Parameters!$B$14,IF(D35="medium",Parameters!$B$15,Parameters!$B$16))</f>
        <v>3</v>
      </c>
      <c r="G35" s="16">
        <f t="shared" si="2"/>
        <v>1</v>
      </c>
      <c r="H35" s="24">
        <f>Parameters!$B$20^(G35-1)</f>
        <v>1</v>
      </c>
      <c r="I35" s="18">
        <f t="shared" si="1"/>
        <v>24</v>
      </c>
    </row>
    <row r="36" spans="1:9" ht="13.15" x14ac:dyDescent="0.35">
      <c r="A36" s="21">
        <v>35</v>
      </c>
      <c r="B36" s="16">
        <f>'Data QWEN'!B36</f>
        <v>8</v>
      </c>
      <c r="C36" s="22" t="str">
        <f>'Data QWEN'!F36</f>
        <v>reasoning</v>
      </c>
      <c r="D36" s="16" t="str">
        <f>LOWER(TRIM('Data QWEN'!H36))</f>
        <v>major</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2</v>
      </c>
      <c r="F36" s="23">
        <f>IF(D36="major",Parameters!$B$14,IF(D36="medium",Parameters!$B$15,Parameters!$B$16))</f>
        <v>3</v>
      </c>
      <c r="G36" s="16">
        <f t="shared" si="2"/>
        <v>1</v>
      </c>
      <c r="H36" s="24">
        <f>Parameters!$B$20^(G36-1)</f>
        <v>1</v>
      </c>
      <c r="I36" s="18">
        <f t="shared" si="1"/>
        <v>6</v>
      </c>
    </row>
    <row r="37" spans="1:9" ht="13.15" x14ac:dyDescent="0.35">
      <c r="A37" s="21">
        <v>36</v>
      </c>
      <c r="B37" s="16">
        <f>'Data QWEN'!B37</f>
        <v>8</v>
      </c>
      <c r="C37" s="22" t="str">
        <f>'Data QWEN'!F37</f>
        <v>material</v>
      </c>
      <c r="D37" s="16" t="str">
        <f>LOWER(TRIM('Data QWEN'!H37))</f>
        <v>major</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5</v>
      </c>
      <c r="F37" s="23">
        <f>IF(D37="major",Parameters!$B$14,IF(D37="medium",Parameters!$B$15,Parameters!$B$16))</f>
        <v>3</v>
      </c>
      <c r="G37" s="16">
        <f t="shared" si="2"/>
        <v>1</v>
      </c>
      <c r="H37" s="24">
        <f>Parameters!$B$20^(G37-1)</f>
        <v>1</v>
      </c>
      <c r="I37" s="18">
        <f t="shared" si="1"/>
        <v>15</v>
      </c>
    </row>
    <row r="38" spans="1:9" ht="13.15" x14ac:dyDescent="0.35">
      <c r="A38" s="21">
        <v>37</v>
      </c>
      <c r="B38" s="16">
        <f>'Data QWEN'!B38</f>
        <v>9</v>
      </c>
      <c r="C38" s="22" t="str">
        <f>'Data QWEN'!F38</f>
        <v>reasoning</v>
      </c>
      <c r="D38" s="16" t="str">
        <f>LOWER(TRIM('Data QWEN'!H38))</f>
        <v>major</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2</v>
      </c>
      <c r="F38" s="23">
        <f>IF(D38="major",Parameters!$B$14,IF(D38="medium",Parameters!$B$15,Parameters!$B$16))</f>
        <v>3</v>
      </c>
      <c r="G38" s="16">
        <f t="shared" si="2"/>
        <v>1</v>
      </c>
      <c r="H38" s="24">
        <f>Parameters!$B$20^(G38-1)</f>
        <v>1</v>
      </c>
      <c r="I38" s="18">
        <f t="shared" si="1"/>
        <v>6</v>
      </c>
    </row>
    <row r="39" spans="1:9" ht="13.15" x14ac:dyDescent="0.35">
      <c r="A39" s="21">
        <v>38</v>
      </c>
      <c r="B39" s="16">
        <f>'Data QWEN'!B39</f>
        <v>9</v>
      </c>
      <c r="C39" s="22" t="str">
        <f>'Data QWEN'!F39</f>
        <v>reasoning</v>
      </c>
      <c r="D39" s="16" t="str">
        <f>LOWER(TRIM('Data QWEN'!H39))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2</v>
      </c>
      <c r="F39" s="23">
        <f>IF(D39="major",Parameters!$B$14,IF(D39="medium",Parameters!$B$15,Parameters!$B$16))</f>
        <v>3</v>
      </c>
      <c r="G39" s="16">
        <f t="shared" si="2"/>
        <v>2</v>
      </c>
      <c r="H39" s="24">
        <f>Parameters!$B$20^(G39-1)</f>
        <v>0.7</v>
      </c>
      <c r="I39" s="18">
        <f t="shared" si="1"/>
        <v>4.1999999999999993</v>
      </c>
    </row>
    <row r="40" spans="1:9" ht="13.15" x14ac:dyDescent="0.35">
      <c r="A40" s="21">
        <v>39</v>
      </c>
      <c r="B40" s="16">
        <f>'Data QWEN'!B40</f>
        <v>9</v>
      </c>
      <c r="C40" s="22" t="str">
        <f>'Data QWEN'!F40</f>
        <v>piece_placement</v>
      </c>
      <c r="D40" s="16" t="str">
        <f>LOWER(TRIM('Data QWEN'!H40))</f>
        <v>major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6</v>
      </c>
      <c r="F40" s="23">
        <f>IF(D40="major",Parameters!$B$14,IF(D40="medium",Parameters!$B$15,Parameters!$B$16))</f>
        <v>3</v>
      </c>
      <c r="G40" s="16">
        <f t="shared" si="2"/>
        <v>1</v>
      </c>
      <c r="H40" s="24">
        <f>Parameters!$B$20^(G40-1)</f>
        <v>1</v>
      </c>
      <c r="I40" s="18">
        <f t="shared" si="1"/>
        <v>18</v>
      </c>
    </row>
    <row r="41" spans="1:9" ht="13.15" x14ac:dyDescent="0.35">
      <c r="A41" s="21">
        <v>40</v>
      </c>
      <c r="B41" s="16">
        <f>'Data QWEN'!B41</f>
        <v>9</v>
      </c>
      <c r="C41" s="22" t="str">
        <f>'Data QWEN'!F41</f>
        <v>reasoning</v>
      </c>
      <c r="D41" s="16" t="str">
        <f>LOWER(TRIM('Data QWEN'!H41))</f>
        <v>medium</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2</v>
      </c>
      <c r="F41" s="23">
        <f>IF(D41="major",Parameters!$B$14,IF(D41="medium",Parameters!$B$15,Parameters!$B$16))</f>
        <v>2</v>
      </c>
      <c r="G41" s="16">
        <f t="shared" si="2"/>
        <v>6</v>
      </c>
      <c r="H41" s="24">
        <f>Parameters!$B$20^(G41-1)</f>
        <v>0.16806999999999994</v>
      </c>
      <c r="I41" s="18">
        <f t="shared" si="1"/>
        <v>0.67227999999999977</v>
      </c>
    </row>
    <row r="42" spans="1:9" ht="13.15" x14ac:dyDescent="0.35">
      <c r="A42" s="21">
        <v>41</v>
      </c>
      <c r="B42" s="16">
        <f>'Data QWEN'!B42</f>
        <v>9</v>
      </c>
      <c r="C42" s="22" t="str">
        <f>'Data QWEN'!F42</f>
        <v>piece_relations</v>
      </c>
      <c r="D42" s="16" t="str">
        <f>LOWER(TRIM('Data QWEN'!H42))</f>
        <v>major</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4</v>
      </c>
      <c r="F42" s="23">
        <f>IF(D42="major",Parameters!$B$14,IF(D42="medium",Parameters!$B$15,Parameters!$B$16))</f>
        <v>3</v>
      </c>
      <c r="G42" s="16">
        <f t="shared" si="2"/>
        <v>1</v>
      </c>
      <c r="H42" s="24">
        <f>Parameters!$B$20^(G42-1)</f>
        <v>1</v>
      </c>
      <c r="I42" s="18">
        <f t="shared" si="1"/>
        <v>12</v>
      </c>
    </row>
    <row r="43" spans="1:9" ht="13.15" x14ac:dyDescent="0.35">
      <c r="A43" s="21">
        <v>42</v>
      </c>
      <c r="B43" s="16">
        <f>'Data QWEN'!B43</f>
        <v>9</v>
      </c>
      <c r="C43" s="22" t="str">
        <f>'Data QWEN'!F43</f>
        <v>reasoning</v>
      </c>
      <c r="D43" s="16" t="str">
        <f>LOWER(TRIM('Data QWEN'!H43))</f>
        <v>major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2</v>
      </c>
      <c r="F43" s="23">
        <f>IF(D43="major",Parameters!$B$14,IF(D43="medium",Parameters!$B$15,Parameters!$B$16))</f>
        <v>3</v>
      </c>
      <c r="G43" s="16">
        <f t="shared" si="2"/>
        <v>3</v>
      </c>
      <c r="H43" s="24">
        <f>Parameters!$B$20^(G43-1)</f>
        <v>0.48999999999999994</v>
      </c>
      <c r="I43" s="18">
        <f t="shared" si="1"/>
        <v>2.9399999999999995</v>
      </c>
    </row>
    <row r="44" spans="1:9" ht="13.15" x14ac:dyDescent="0.35">
      <c r="A44" s="21">
        <v>43</v>
      </c>
      <c r="B44" s="16">
        <f>'Data QWEN'!B44</f>
        <v>9</v>
      </c>
      <c r="C44" s="22" t="str">
        <f>'Data QWEN'!F44</f>
        <v>reasoning</v>
      </c>
      <c r="D44" s="16" t="str">
        <f>LOWER(TRIM('Data QWEN'!H44))</f>
        <v>minor</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2</v>
      </c>
      <c r="F44" s="23">
        <f>IF(D44="major",Parameters!$B$14,IF(D44="medium",Parameters!$B$15,Parameters!$B$16))</f>
        <v>1</v>
      </c>
      <c r="G44" s="16">
        <f t="shared" si="2"/>
        <v>7</v>
      </c>
      <c r="H44" s="24">
        <f>Parameters!$B$20^(G44-1)</f>
        <v>0.11764899999999995</v>
      </c>
      <c r="I44" s="18">
        <f t="shared" si="1"/>
        <v>0.2352979999999999</v>
      </c>
    </row>
    <row r="45" spans="1:9" ht="13.15" x14ac:dyDescent="0.35">
      <c r="A45" s="21">
        <v>44</v>
      </c>
      <c r="B45" s="16">
        <f>'Data QWEN'!B45</f>
        <v>9</v>
      </c>
      <c r="C45" s="22" t="str">
        <f>'Data QWEN'!F45</f>
        <v>reasoning</v>
      </c>
      <c r="D45" s="16" t="str">
        <f>LOWER(TRIM('Data QWEN'!H45))</f>
        <v>major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2</v>
      </c>
      <c r="F45" s="23">
        <f>IF(D45="major",Parameters!$B$14,IF(D45="medium",Parameters!$B$15,Parameters!$B$16))</f>
        <v>3</v>
      </c>
      <c r="G45" s="16">
        <f t="shared" si="2"/>
        <v>4</v>
      </c>
      <c r="H45" s="24">
        <f>Parameters!$B$20^(G45-1)</f>
        <v>0.34299999999999992</v>
      </c>
      <c r="I45" s="18">
        <f t="shared" si="1"/>
        <v>2.0579999999999994</v>
      </c>
    </row>
    <row r="46" spans="1:9" ht="13.15" x14ac:dyDescent="0.35">
      <c r="A46" s="21">
        <v>45</v>
      </c>
      <c r="B46" s="16">
        <f>'Data QWEN'!B46</f>
        <v>9</v>
      </c>
      <c r="C46" s="22" t="str">
        <f>'Data QWEN'!F46</f>
        <v>reasoning</v>
      </c>
      <c r="D46" s="16" t="str">
        <f>LOWER(TRIM('Data QWEN'!H46))</f>
        <v>minor</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2</v>
      </c>
      <c r="F46" s="23">
        <f>IF(D46="major",Parameters!$B$14,IF(D46="medium",Parameters!$B$15,Parameters!$B$16))</f>
        <v>1</v>
      </c>
      <c r="G46" s="16">
        <f t="shared" si="2"/>
        <v>8</v>
      </c>
      <c r="H46" s="24">
        <f>Parameters!$B$20^(G46-1)</f>
        <v>8.235429999999995E-2</v>
      </c>
      <c r="I46" s="18">
        <f t="shared" si="1"/>
        <v>0.1647085999999999</v>
      </c>
    </row>
    <row r="47" spans="1:9" ht="13.15" x14ac:dyDescent="0.35">
      <c r="A47" s="21">
        <v>46</v>
      </c>
      <c r="B47" s="16">
        <f>'Data QWEN'!B47</f>
        <v>9</v>
      </c>
      <c r="C47" s="22" t="str">
        <f>'Data QWEN'!F47</f>
        <v>reasoning</v>
      </c>
      <c r="D47" s="16" t="str">
        <f>LOWER(TRIM('Data QWEN'!H47))</f>
        <v>minor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2</v>
      </c>
      <c r="F47" s="23">
        <f>IF(D47="major",Parameters!$B$14,IF(D47="medium",Parameters!$B$15,Parameters!$B$16))</f>
        <v>1</v>
      </c>
      <c r="G47" s="16">
        <f t="shared" si="2"/>
        <v>9</v>
      </c>
      <c r="H47" s="24">
        <f>Parameters!$B$20^(G47-1)</f>
        <v>5.7648009999999965E-2</v>
      </c>
      <c r="I47" s="18">
        <f t="shared" si="1"/>
        <v>0.11529601999999993</v>
      </c>
    </row>
    <row r="48" spans="1:9" ht="13.15" x14ac:dyDescent="0.35">
      <c r="A48" s="21">
        <v>47</v>
      </c>
      <c r="B48" s="16">
        <f>'Data QWEN'!B48</f>
        <v>9</v>
      </c>
      <c r="C48" s="22" t="str">
        <f>'Data QWEN'!F48</f>
        <v>reasoning</v>
      </c>
      <c r="D48" s="16" t="str">
        <f>LOWER(TRIM('Data QWEN'!H48))</f>
        <v>major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3</v>
      </c>
      <c r="G48" s="16">
        <f t="shared" si="2"/>
        <v>5</v>
      </c>
      <c r="H48" s="24">
        <f>Parameters!$B$20^(G48-1)</f>
        <v>0.24009999999999992</v>
      </c>
      <c r="I48" s="18">
        <f t="shared" si="1"/>
        <v>1.4405999999999994</v>
      </c>
    </row>
    <row r="49" spans="1:9" ht="13.15" x14ac:dyDescent="0.35">
      <c r="A49" s="21">
        <v>48</v>
      </c>
      <c r="B49" s="16">
        <f>'Data QWEN'!B49</f>
        <v>9</v>
      </c>
      <c r="C49" s="22" t="str">
        <f>'Data QWEN'!F49</f>
        <v>material</v>
      </c>
      <c r="D49" s="16" t="str">
        <f>LOWER(TRIM('Data QWEN'!H49))</f>
        <v>minor</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5</v>
      </c>
      <c r="F49" s="23">
        <f>IF(D49="major",Parameters!$B$14,IF(D49="medium",Parameters!$B$15,Parameters!$B$16))</f>
        <v>1</v>
      </c>
      <c r="G49" s="16">
        <f t="shared" si="2"/>
        <v>1</v>
      </c>
      <c r="H49" s="24">
        <f>Parameters!$B$20^(G49-1)</f>
        <v>1</v>
      </c>
      <c r="I49" s="18">
        <f t="shared" si="1"/>
        <v>5</v>
      </c>
    </row>
    <row r="50" spans="1:9" ht="13.15" x14ac:dyDescent="0.35">
      <c r="A50" s="21">
        <v>49</v>
      </c>
      <c r="B50" s="16">
        <f>'Data QWEN'!B50</f>
        <v>10</v>
      </c>
      <c r="C50" s="22" t="str">
        <f>'Data QWEN'!F50</f>
        <v>reasoning</v>
      </c>
      <c r="D50" s="16" t="str">
        <f>LOWER(TRIM('Data QWEN'!H50))</f>
        <v>minor</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2</v>
      </c>
      <c r="F50" s="23">
        <f>IF(D50="major",Parameters!$B$14,IF(D50="medium",Parameters!$B$15,Parameters!$B$16))</f>
        <v>1</v>
      </c>
      <c r="G50" s="16">
        <f t="shared" si="2"/>
        <v>3</v>
      </c>
      <c r="H50" s="24">
        <f>Parameters!$B$20^(G50-1)</f>
        <v>0.48999999999999994</v>
      </c>
      <c r="I50" s="18">
        <f t="shared" si="1"/>
        <v>0.97999999999999987</v>
      </c>
    </row>
    <row r="51" spans="1:9" ht="13.15" x14ac:dyDescent="0.35">
      <c r="A51" s="21">
        <v>50</v>
      </c>
      <c r="B51" s="16">
        <f>'Data QWEN'!B51</f>
        <v>10</v>
      </c>
      <c r="C51" s="22" t="str">
        <f>'Data QWEN'!F51</f>
        <v>move_legality</v>
      </c>
      <c r="D51" s="16" t="str">
        <f>LOWER(TRIM('Data QWEN'!H51))</f>
        <v>medium</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8</v>
      </c>
      <c r="F51" s="23">
        <f>IF(D51="major",Parameters!$B$14,IF(D51="medium",Parameters!$B$15,Parameters!$B$16))</f>
        <v>2</v>
      </c>
      <c r="G51" s="16">
        <f t="shared" si="2"/>
        <v>1</v>
      </c>
      <c r="H51" s="24">
        <f>Parameters!$B$20^(G51-1)</f>
        <v>1</v>
      </c>
      <c r="I51" s="18">
        <f t="shared" si="1"/>
        <v>16</v>
      </c>
    </row>
    <row r="52" spans="1:9" ht="13.15" x14ac:dyDescent="0.35">
      <c r="A52" s="21">
        <v>51</v>
      </c>
      <c r="B52" s="16">
        <f>'Data QWEN'!B52</f>
        <v>10</v>
      </c>
      <c r="C52" s="22" t="str">
        <f>'Data QWEN'!F52</f>
        <v>reasoning</v>
      </c>
      <c r="D52" s="16" t="str">
        <f>LOWER(TRIM('Data QWEN'!H52))</f>
        <v>major</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2</v>
      </c>
      <c r="F52" s="23">
        <f>IF(D52="major",Parameters!$B$14,IF(D52="medium",Parameters!$B$15,Parameters!$B$16))</f>
        <v>3</v>
      </c>
      <c r="G52" s="16">
        <f t="shared" si="2"/>
        <v>1</v>
      </c>
      <c r="H52" s="24">
        <f>Parameters!$B$20^(G52-1)</f>
        <v>1</v>
      </c>
      <c r="I52" s="18">
        <f t="shared" si="1"/>
        <v>6</v>
      </c>
    </row>
    <row r="53" spans="1:9" ht="13.15" x14ac:dyDescent="0.35">
      <c r="A53" s="21">
        <v>52</v>
      </c>
      <c r="B53" s="16">
        <f>'Data QWEN'!B53</f>
        <v>10</v>
      </c>
      <c r="C53" s="22" t="str">
        <f>'Data QWEN'!F53</f>
        <v>reasoning</v>
      </c>
      <c r="D53" s="16" t="str">
        <f>LOWER(TRIM('Data QWEN'!H53))</f>
        <v>major</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2</v>
      </c>
      <c r="F53" s="23">
        <f>IF(D53="major",Parameters!$B$14,IF(D53="medium",Parameters!$B$15,Parameters!$B$16))</f>
        <v>3</v>
      </c>
      <c r="G53" s="16">
        <f t="shared" si="2"/>
        <v>2</v>
      </c>
      <c r="H53" s="24">
        <f>Parameters!$B$20^(G53-1)</f>
        <v>0.7</v>
      </c>
      <c r="I53" s="18">
        <f t="shared" si="1"/>
        <v>4.1999999999999993</v>
      </c>
    </row>
    <row r="54" spans="1:9" ht="13.15" x14ac:dyDescent="0.35">
      <c r="A54" s="21">
        <v>53</v>
      </c>
      <c r="B54" s="16">
        <f>'Data QWEN'!B54</f>
        <v>11</v>
      </c>
      <c r="C54" s="22" t="str">
        <f>'Data QWEN'!F54</f>
        <v>reasoning</v>
      </c>
      <c r="D54" s="16" t="str">
        <f>LOWER(TRIM('Data QWEN'!H54))</f>
        <v>medium</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2</v>
      </c>
      <c r="F54" s="23">
        <f>IF(D54="major",Parameters!$B$14,IF(D54="medium",Parameters!$B$15,Parameters!$B$16))</f>
        <v>2</v>
      </c>
      <c r="G54" s="16">
        <f t="shared" si="2"/>
        <v>4</v>
      </c>
      <c r="H54" s="24">
        <f>Parameters!$B$20^(G54-1)</f>
        <v>0.34299999999999992</v>
      </c>
      <c r="I54" s="18">
        <f t="shared" si="1"/>
        <v>1.3719999999999997</v>
      </c>
    </row>
    <row r="55" spans="1:9" ht="13.15" x14ac:dyDescent="0.35">
      <c r="A55" s="21">
        <v>54</v>
      </c>
      <c r="B55" s="16">
        <f>'Data QWEN'!B55</f>
        <v>11</v>
      </c>
      <c r="C55" s="22" t="str">
        <f>'Data QWEN'!F55</f>
        <v>reasoning</v>
      </c>
      <c r="D55" s="16" t="str">
        <f>LOWER(TRIM('Data QWEN'!H55))</f>
        <v>major</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2</v>
      </c>
      <c r="F55" s="23">
        <f>IF(D55="major",Parameters!$B$14,IF(D55="medium",Parameters!$B$15,Parameters!$B$16))</f>
        <v>3</v>
      </c>
      <c r="G55" s="16">
        <f t="shared" si="2"/>
        <v>1</v>
      </c>
      <c r="H55" s="24">
        <f>Parameters!$B$20^(G55-1)</f>
        <v>1</v>
      </c>
      <c r="I55" s="18">
        <f t="shared" si="1"/>
        <v>6</v>
      </c>
    </row>
    <row r="56" spans="1:9" ht="13.15" x14ac:dyDescent="0.35">
      <c r="A56" s="21">
        <v>55</v>
      </c>
      <c r="B56" s="16">
        <f>'Data QWEN'!B56</f>
        <v>11</v>
      </c>
      <c r="C56" s="22" t="str">
        <f>'Data QWEN'!F56</f>
        <v>reasoning</v>
      </c>
      <c r="D56" s="16" t="str">
        <f>LOWER(TRIM('Data QWEN'!H56))</f>
        <v>major</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2</v>
      </c>
      <c r="F56" s="23">
        <f>IF(D56="major",Parameters!$B$14,IF(D56="medium",Parameters!$B$15,Parameters!$B$16))</f>
        <v>3</v>
      </c>
      <c r="G56" s="16">
        <f t="shared" si="2"/>
        <v>2</v>
      </c>
      <c r="H56" s="24">
        <f>Parameters!$B$20^(G56-1)</f>
        <v>0.7</v>
      </c>
      <c r="I56" s="18">
        <f t="shared" si="1"/>
        <v>4.1999999999999993</v>
      </c>
    </row>
    <row r="57" spans="1:9" ht="13.15" x14ac:dyDescent="0.35">
      <c r="A57" s="21">
        <v>56</v>
      </c>
      <c r="B57" s="16">
        <f>'Data QWEN'!B57</f>
        <v>11</v>
      </c>
      <c r="C57" s="22" t="str">
        <f>'Data QWEN'!F57</f>
        <v>reasoning</v>
      </c>
      <c r="D57" s="16" t="str">
        <f>LOWER(TRIM('Data QWEN'!H57))</f>
        <v>major</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2</v>
      </c>
      <c r="F57" s="23">
        <f>IF(D57="major",Parameters!$B$14,IF(D57="medium",Parameters!$B$15,Parameters!$B$16))</f>
        <v>3</v>
      </c>
      <c r="G57" s="16">
        <f t="shared" si="2"/>
        <v>3</v>
      </c>
      <c r="H57" s="24">
        <f>Parameters!$B$20^(G57-1)</f>
        <v>0.48999999999999994</v>
      </c>
      <c r="I57" s="18">
        <f t="shared" si="1"/>
        <v>2.9399999999999995</v>
      </c>
    </row>
    <row r="58" spans="1:9" ht="13.15" x14ac:dyDescent="0.35">
      <c r="A58" s="21">
        <v>57</v>
      </c>
      <c r="B58" s="16">
        <f>'Data QWEN'!B58</f>
        <v>12</v>
      </c>
      <c r="C58" s="22" t="str">
        <f>'Data QWEN'!F58</f>
        <v>reasoning</v>
      </c>
      <c r="D58" s="16" t="str">
        <f>LOWER(TRIM('Data QWEN'!H58))</f>
        <v>minor</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2</v>
      </c>
      <c r="F58" s="23">
        <f>IF(D58="major",Parameters!$B$14,IF(D58="medium",Parameters!$B$15,Parameters!$B$16))</f>
        <v>1</v>
      </c>
      <c r="G58" s="16">
        <f t="shared" si="2"/>
        <v>5</v>
      </c>
      <c r="H58" s="24">
        <f>Parameters!$B$20^(G58-1)</f>
        <v>0.24009999999999992</v>
      </c>
      <c r="I58" s="18">
        <f t="shared" si="1"/>
        <v>0.48019999999999985</v>
      </c>
    </row>
    <row r="59" spans="1:9" ht="13.15" x14ac:dyDescent="0.35">
      <c r="A59" s="21">
        <v>58</v>
      </c>
      <c r="B59" s="16">
        <f>'Data QWEN'!B59</f>
        <v>12</v>
      </c>
      <c r="C59" s="22" t="str">
        <f>'Data QWEN'!F59</f>
        <v>reasoning</v>
      </c>
      <c r="D59" s="16" t="str">
        <f>LOWER(TRIM('Data QWEN'!H59))</f>
        <v>major</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2</v>
      </c>
      <c r="F59" s="23">
        <f>IF(D59="major",Parameters!$B$14,IF(D59="medium",Parameters!$B$15,Parameters!$B$16))</f>
        <v>3</v>
      </c>
      <c r="G59" s="16">
        <f t="shared" si="2"/>
        <v>1</v>
      </c>
      <c r="H59" s="24">
        <f>Parameters!$B$20^(G59-1)</f>
        <v>1</v>
      </c>
      <c r="I59" s="18">
        <f t="shared" si="1"/>
        <v>6</v>
      </c>
    </row>
    <row r="60" spans="1:9" ht="13.15" x14ac:dyDescent="0.35">
      <c r="A60" s="21">
        <v>59</v>
      </c>
      <c r="B60" s="16">
        <f>'Data QWEN'!B60</f>
        <v>12</v>
      </c>
      <c r="C60" s="22" t="str">
        <f>'Data QWEN'!F60</f>
        <v>reasoning</v>
      </c>
      <c r="D60" s="16" t="str">
        <f>LOWER(TRIM('Data QWEN'!H60))</f>
        <v>minor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2</v>
      </c>
      <c r="F60" s="23">
        <f>IF(D60="major",Parameters!$B$14,IF(D60="medium",Parameters!$B$15,Parameters!$B$16))</f>
        <v>1</v>
      </c>
      <c r="G60" s="16">
        <f t="shared" si="2"/>
        <v>6</v>
      </c>
      <c r="H60" s="24">
        <f>Parameters!$B$20^(G60-1)</f>
        <v>0.16806999999999994</v>
      </c>
      <c r="I60" s="18">
        <f t="shared" si="1"/>
        <v>0.33613999999999988</v>
      </c>
    </row>
    <row r="61" spans="1:9" ht="13.15" x14ac:dyDescent="0.35">
      <c r="A61" s="21">
        <v>60</v>
      </c>
      <c r="B61" s="16">
        <f>'Data QWEN'!B61</f>
        <v>12</v>
      </c>
      <c r="C61" s="22" t="str">
        <f>'Data QWEN'!F61</f>
        <v>reasoning</v>
      </c>
      <c r="D61" s="16" t="str">
        <f>LOWER(TRIM('Data QWEN'!H61))</f>
        <v>major</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2</v>
      </c>
      <c r="F61" s="23">
        <f>IF(D61="major",Parameters!$B$14,IF(D61="medium",Parameters!$B$15,Parameters!$B$16))</f>
        <v>3</v>
      </c>
      <c r="G61" s="16">
        <f t="shared" si="2"/>
        <v>2</v>
      </c>
      <c r="H61" s="24">
        <f>Parameters!$B$20^(G61-1)</f>
        <v>0.7</v>
      </c>
      <c r="I61" s="18">
        <f t="shared" si="1"/>
        <v>4.1999999999999993</v>
      </c>
    </row>
    <row r="62" spans="1:9" ht="13.15" x14ac:dyDescent="0.35">
      <c r="A62" s="21">
        <v>61</v>
      </c>
      <c r="B62" s="16">
        <f>'Data QWEN'!B62</f>
        <v>12</v>
      </c>
      <c r="C62" s="22" t="str">
        <f>'Data QWEN'!F62</f>
        <v>reasoning</v>
      </c>
      <c r="D62" s="16" t="str">
        <f>LOWER(TRIM('Data QWEN'!H62))</f>
        <v>medium</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2</v>
      </c>
      <c r="F62" s="23">
        <f>IF(D62="major",Parameters!$B$14,IF(D62="medium",Parameters!$B$15,Parameters!$B$16))</f>
        <v>2</v>
      </c>
      <c r="G62" s="16">
        <f t="shared" si="2"/>
        <v>4</v>
      </c>
      <c r="H62" s="24">
        <f>Parameters!$B$20^(G62-1)</f>
        <v>0.34299999999999992</v>
      </c>
      <c r="I62" s="18">
        <f t="shared" si="1"/>
        <v>1.3719999999999997</v>
      </c>
    </row>
    <row r="63" spans="1:9" ht="13.15" x14ac:dyDescent="0.35">
      <c r="A63" s="21">
        <v>62</v>
      </c>
      <c r="B63" s="16">
        <f>'Data QWEN'!B63</f>
        <v>12</v>
      </c>
      <c r="C63" s="22" t="str">
        <f>'Data QWEN'!F63</f>
        <v>reasoning</v>
      </c>
      <c r="D63" s="16" t="str">
        <f>LOWER(TRIM('Data QWEN'!H63))</f>
        <v>major</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2</v>
      </c>
      <c r="F63" s="23">
        <f>IF(D63="major",Parameters!$B$14,IF(D63="medium",Parameters!$B$15,Parameters!$B$16))</f>
        <v>3</v>
      </c>
      <c r="G63" s="16">
        <f t="shared" si="2"/>
        <v>3</v>
      </c>
      <c r="H63" s="24">
        <f>Parameters!$B$20^(G63-1)</f>
        <v>0.48999999999999994</v>
      </c>
      <c r="I63" s="18">
        <f t="shared" si="1"/>
        <v>2.9399999999999995</v>
      </c>
    </row>
    <row r="64" spans="1:9" ht="13.15" x14ac:dyDescent="0.35">
      <c r="A64" s="21">
        <v>63</v>
      </c>
      <c r="B64" s="16">
        <f>'Data QWEN'!B64</f>
        <v>12</v>
      </c>
      <c r="C64" s="22" t="str">
        <f>'Data QWEN'!F64</f>
        <v>material</v>
      </c>
      <c r="D64" s="16" t="str">
        <f>LOWER(TRIM('Data QWEN'!H64))</f>
        <v>major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5</v>
      </c>
      <c r="F64" s="23">
        <f>IF(D64="major",Parameters!$B$14,IF(D64="medium",Parameters!$B$15,Parameters!$B$16))</f>
        <v>3</v>
      </c>
      <c r="G64" s="16">
        <f t="shared" si="2"/>
        <v>1</v>
      </c>
      <c r="H64" s="24">
        <f>Parameters!$B$20^(G64-1)</f>
        <v>1</v>
      </c>
      <c r="I64" s="18">
        <f t="shared" si="1"/>
        <v>15</v>
      </c>
    </row>
    <row r="65" spans="1:9" ht="13.15" x14ac:dyDescent="0.35">
      <c r="A65" s="21">
        <v>64</v>
      </c>
      <c r="B65" s="16">
        <f>'Data QWEN'!B65</f>
        <v>13</v>
      </c>
      <c r="C65" s="22" t="str">
        <f>'Data QWEN'!F65</f>
        <v>reasoning</v>
      </c>
      <c r="D65" s="16" t="str">
        <f>LOWER(TRIM('Data QWEN'!H65))</f>
        <v>medium</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2</v>
      </c>
      <c r="F65" s="23">
        <f>IF(D65="major",Parameters!$B$14,IF(D65="medium",Parameters!$B$15,Parameters!$B$16))</f>
        <v>2</v>
      </c>
      <c r="G65" s="16">
        <f t="shared" si="2"/>
        <v>1</v>
      </c>
      <c r="H65" s="24">
        <f>Parameters!$B$20^(G65-1)</f>
        <v>1</v>
      </c>
      <c r="I65" s="18">
        <f t="shared" si="1"/>
        <v>4</v>
      </c>
    </row>
    <row r="66" spans="1:9" ht="13.15" x14ac:dyDescent="0.35">
      <c r="A66" s="21">
        <v>65</v>
      </c>
      <c r="B66" s="16">
        <f>'Data QWEN'!B66</f>
        <v>13</v>
      </c>
      <c r="C66" s="22" t="str">
        <f>'Data QWEN'!F66</f>
        <v>reasoning</v>
      </c>
      <c r="D66" s="16" t="str">
        <f>LOWER(TRIM('Data QWEN'!H66))</f>
        <v>medium</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2</v>
      </c>
      <c r="G66" s="16">
        <f t="shared" ref="G66:G97" si="3">COUNTIFS($B$2:$B$115,B66,$C$2:$C$115,C66,$F$2:$F$115,"&gt;"&amp;F66)+COUNTIFS($B$2:$B$115,B66,$C$2:$C$115,C66,$F$2:$F$115,F66,$A$2:$A$115,"&lt;="&amp;A66)</f>
        <v>2</v>
      </c>
      <c r="H66" s="24">
        <f>Parameters!$B$20^(G66-1)</f>
        <v>0.7</v>
      </c>
      <c r="I66" s="18">
        <f t="shared" si="1"/>
        <v>2.8</v>
      </c>
    </row>
    <row r="67" spans="1:9" ht="13.15" x14ac:dyDescent="0.35">
      <c r="A67" s="21">
        <v>66</v>
      </c>
      <c r="B67" s="16">
        <f>'Data QWEN'!B67</f>
        <v>13</v>
      </c>
      <c r="C67" s="22" t="str">
        <f>'Data QWEN'!F67</f>
        <v>move_legality</v>
      </c>
      <c r="D67" s="16" t="str">
        <f>LOWER(TRIM('Data QWEN'!H67))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8</v>
      </c>
      <c r="F67" s="23">
        <f>IF(D67="major",Parameters!$B$14,IF(D67="medium",Parameters!$B$15,Parameters!$B$16))</f>
        <v>3</v>
      </c>
      <c r="G67" s="16">
        <f t="shared" si="3"/>
        <v>1</v>
      </c>
      <c r="H67" s="24">
        <f>Parameters!$B$20^(G67-1)</f>
        <v>1</v>
      </c>
      <c r="I67" s="18">
        <f t="shared" ref="I67:I115" si="4">E67*F67*H67</f>
        <v>24</v>
      </c>
    </row>
    <row r="68" spans="1:9" ht="13.15" x14ac:dyDescent="0.35">
      <c r="A68" s="21">
        <v>67</v>
      </c>
      <c r="B68" s="16">
        <f>'Data QWEN'!B68</f>
        <v>13</v>
      </c>
      <c r="C68" s="22" t="str">
        <f>'Data QWEN'!F68</f>
        <v>move_legality</v>
      </c>
      <c r="D68" s="16" t="str">
        <f>LOWER(TRIM('Data QWEN'!H68))</f>
        <v>medium</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8</v>
      </c>
      <c r="F68" s="23">
        <f>IF(D68="major",Parameters!$B$14,IF(D68="medium",Parameters!$B$15,Parameters!$B$16))</f>
        <v>2</v>
      </c>
      <c r="G68" s="16">
        <f t="shared" si="3"/>
        <v>2</v>
      </c>
      <c r="H68" s="24">
        <f>Parameters!$B$20^(G68-1)</f>
        <v>0.7</v>
      </c>
      <c r="I68" s="18">
        <f t="shared" si="4"/>
        <v>11.2</v>
      </c>
    </row>
    <row r="69" spans="1:9" ht="13.15" x14ac:dyDescent="0.35">
      <c r="A69" s="21">
        <v>68</v>
      </c>
      <c r="B69" s="16">
        <f>'Data QWEN'!B69</f>
        <v>13</v>
      </c>
      <c r="C69" s="22" t="str">
        <f>'Data QWEN'!F69</f>
        <v>piece_placement</v>
      </c>
      <c r="D69" s="16" t="str">
        <f>LOWER(TRIM('Data QWEN'!H69))</f>
        <v>minor</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6</v>
      </c>
      <c r="F69" s="23">
        <f>IF(D69="major",Parameters!$B$14,IF(D69="medium",Parameters!$B$15,Parameters!$B$16))</f>
        <v>1</v>
      </c>
      <c r="G69" s="16">
        <f t="shared" si="3"/>
        <v>1</v>
      </c>
      <c r="H69" s="24">
        <f>Parameters!$B$20^(G69-1)</f>
        <v>1</v>
      </c>
      <c r="I69" s="18">
        <f t="shared" si="4"/>
        <v>6</v>
      </c>
    </row>
    <row r="70" spans="1:9" ht="13.15" x14ac:dyDescent="0.35">
      <c r="A70" s="21">
        <v>69</v>
      </c>
      <c r="B70" s="16">
        <f>'Data QWEN'!B70</f>
        <v>13</v>
      </c>
      <c r="C70" s="22" t="str">
        <f>'Data QWEN'!F70</f>
        <v>geometry</v>
      </c>
      <c r="D70" s="16" t="str">
        <f>LOWER(TRIM('Data QWEN'!H70))</f>
        <v>major</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3</v>
      </c>
      <c r="F70" s="23">
        <f>IF(D70="major",Parameters!$B$14,IF(D70="medium",Parameters!$B$15,Parameters!$B$16))</f>
        <v>3</v>
      </c>
      <c r="G70" s="16">
        <f t="shared" si="3"/>
        <v>1</v>
      </c>
      <c r="H70" s="24">
        <f>Parameters!$B$20^(G70-1)</f>
        <v>1</v>
      </c>
      <c r="I70" s="18">
        <f t="shared" si="4"/>
        <v>9</v>
      </c>
    </row>
    <row r="71" spans="1:9" ht="13.15" x14ac:dyDescent="0.35">
      <c r="A71" s="21">
        <v>70</v>
      </c>
      <c r="B71" s="16">
        <f>'Data QWEN'!B71</f>
        <v>14</v>
      </c>
      <c r="C71" s="22" t="str">
        <f>'Data QWEN'!F71</f>
        <v>move_legality</v>
      </c>
      <c r="D71" s="16" t="str">
        <f>LOWER(TRIM('Data QWEN'!H71))</f>
        <v>major</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8</v>
      </c>
      <c r="F71" s="23">
        <f>IF(D71="major",Parameters!$B$14,IF(D71="medium",Parameters!$B$15,Parameters!$B$16))</f>
        <v>3</v>
      </c>
      <c r="G71" s="16">
        <f t="shared" si="3"/>
        <v>1</v>
      </c>
      <c r="H71" s="24">
        <f>Parameters!$B$20^(G71-1)</f>
        <v>1</v>
      </c>
      <c r="I71" s="18">
        <f t="shared" si="4"/>
        <v>24</v>
      </c>
    </row>
    <row r="72" spans="1:9" ht="13.15" x14ac:dyDescent="0.35">
      <c r="A72" s="21">
        <v>71</v>
      </c>
      <c r="B72" s="16">
        <f>'Data QWEN'!B72</f>
        <v>14</v>
      </c>
      <c r="C72" s="22" t="str">
        <f>'Data QWEN'!F72</f>
        <v>reasoning</v>
      </c>
      <c r="D72" s="16" t="str">
        <f>LOWER(TRIM('Data QWEN'!H72))</f>
        <v>medium</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2</v>
      </c>
      <c r="F72" s="23">
        <f>IF(D72="major",Parameters!$B$14,IF(D72="medium",Parameters!$B$15,Parameters!$B$16))</f>
        <v>2</v>
      </c>
      <c r="G72" s="16">
        <f t="shared" si="3"/>
        <v>1</v>
      </c>
      <c r="H72" s="24">
        <f>Parameters!$B$20^(G72-1)</f>
        <v>1</v>
      </c>
      <c r="I72" s="18">
        <f t="shared" si="4"/>
        <v>4</v>
      </c>
    </row>
    <row r="73" spans="1:9" ht="13.15" x14ac:dyDescent="0.35">
      <c r="A73" s="21">
        <v>72</v>
      </c>
      <c r="B73" s="16">
        <f>'Data QWEN'!B73</f>
        <v>14</v>
      </c>
      <c r="C73" s="22" t="str">
        <f>'Data QWEN'!F73</f>
        <v>reasoning</v>
      </c>
      <c r="D73" s="16" t="str">
        <f>LOWER(TRIM('Data QWEN'!H73))</f>
        <v>minor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2</v>
      </c>
      <c r="F73" s="23">
        <f>IF(D73="major",Parameters!$B$14,IF(D73="medium",Parameters!$B$15,Parameters!$B$16))</f>
        <v>1</v>
      </c>
      <c r="G73" s="16">
        <f t="shared" si="3"/>
        <v>2</v>
      </c>
      <c r="H73" s="24">
        <f>Parameters!$B$20^(G73-1)</f>
        <v>0.7</v>
      </c>
      <c r="I73" s="18">
        <f t="shared" si="4"/>
        <v>1.4</v>
      </c>
    </row>
    <row r="74" spans="1:9" ht="13.15" x14ac:dyDescent="0.35">
      <c r="A74" s="21">
        <v>73</v>
      </c>
      <c r="B74" s="16">
        <f>'Data QWEN'!B74</f>
        <v>14</v>
      </c>
      <c r="C74" s="22" t="str">
        <f>'Data QWEN'!F74</f>
        <v>reasoning</v>
      </c>
      <c r="D74" s="16" t="str">
        <f>LOWER(TRIM('Data QWEN'!H74))</f>
        <v>minor</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2</v>
      </c>
      <c r="F74" s="23">
        <f>IF(D74="major",Parameters!$B$14,IF(D74="medium",Parameters!$B$15,Parameters!$B$16))</f>
        <v>1</v>
      </c>
      <c r="G74" s="16">
        <f t="shared" si="3"/>
        <v>3</v>
      </c>
      <c r="H74" s="24">
        <f>Parameters!$B$20^(G74-1)</f>
        <v>0.48999999999999994</v>
      </c>
      <c r="I74" s="18">
        <f t="shared" si="4"/>
        <v>0.97999999999999987</v>
      </c>
    </row>
    <row r="75" spans="1:9" ht="13.15" x14ac:dyDescent="0.35">
      <c r="A75" s="21">
        <v>74</v>
      </c>
      <c r="B75" s="16">
        <f>'Data QWEN'!B75</f>
        <v>15</v>
      </c>
      <c r="C75" s="22" t="str">
        <f>'Data QWEN'!F75</f>
        <v>material</v>
      </c>
      <c r="D75" s="16" t="str">
        <f>LOWER(TRIM('Data QWEN'!H75))</f>
        <v>medium</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5</v>
      </c>
      <c r="F75" s="23">
        <f>IF(D75="major",Parameters!$B$14,IF(D75="medium",Parameters!$B$15,Parameters!$B$16))</f>
        <v>2</v>
      </c>
      <c r="G75" s="16">
        <f t="shared" si="3"/>
        <v>1</v>
      </c>
      <c r="H75" s="24">
        <f>Parameters!$B$20^(G75-1)</f>
        <v>1</v>
      </c>
      <c r="I75" s="18">
        <f t="shared" si="4"/>
        <v>10</v>
      </c>
    </row>
    <row r="76" spans="1:9" ht="13.15" x14ac:dyDescent="0.35">
      <c r="A76" s="21">
        <v>75</v>
      </c>
      <c r="B76" s="16">
        <f>'Data QWEN'!B76</f>
        <v>15</v>
      </c>
      <c r="C76" s="22" t="str">
        <f>'Data QWEN'!F76</f>
        <v>geometry</v>
      </c>
      <c r="D76" s="16" t="str">
        <f>LOWER(TRIM('Data QWEN'!H76))</f>
        <v>medium</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3</v>
      </c>
      <c r="F76" s="23">
        <f>IF(D76="major",Parameters!$B$14,IF(D76="medium",Parameters!$B$15,Parameters!$B$16))</f>
        <v>2</v>
      </c>
      <c r="G76" s="16">
        <f t="shared" si="3"/>
        <v>3</v>
      </c>
      <c r="H76" s="24">
        <f>Parameters!$B$20^(G76-1)</f>
        <v>0.48999999999999994</v>
      </c>
      <c r="I76" s="18">
        <f t="shared" si="4"/>
        <v>2.9399999999999995</v>
      </c>
    </row>
    <row r="77" spans="1:9" ht="13.15" x14ac:dyDescent="0.35">
      <c r="A77" s="21">
        <v>76</v>
      </c>
      <c r="B77" s="16">
        <f>'Data QWEN'!B77</f>
        <v>15</v>
      </c>
      <c r="C77" s="22" t="str">
        <f>'Data QWEN'!F77</f>
        <v>reasoning</v>
      </c>
      <c r="D77" s="16" t="str">
        <f>LOWER(TRIM('Data QWEN'!H77))</f>
        <v>minor</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2</v>
      </c>
      <c r="F77" s="23">
        <f>IF(D77="major",Parameters!$B$14,IF(D77="medium",Parameters!$B$15,Parameters!$B$16))</f>
        <v>1</v>
      </c>
      <c r="G77" s="16">
        <f t="shared" si="3"/>
        <v>3</v>
      </c>
      <c r="H77" s="24">
        <f>Parameters!$B$20^(G77-1)</f>
        <v>0.48999999999999994</v>
      </c>
      <c r="I77" s="18">
        <f t="shared" si="4"/>
        <v>0.97999999999999987</v>
      </c>
    </row>
    <row r="78" spans="1:9" ht="13.15" x14ac:dyDescent="0.35">
      <c r="A78" s="21">
        <v>77</v>
      </c>
      <c r="B78" s="16">
        <f>'Data QWEN'!B78</f>
        <v>15</v>
      </c>
      <c r="C78" s="22" t="str">
        <f>'Data QWEN'!F78</f>
        <v>piece_relations</v>
      </c>
      <c r="D78" s="16" t="str">
        <f>LOWER(TRIM('Data QWEN'!H78))</f>
        <v>minor</v>
      </c>
      <c r="E78" s="23">
        <f>IF(ISNUMBER(SEARCH("move_legality",C78)),Parameters!$B$4,IF(ISNUMBER(SEARCH("piece_placement",C78)),Parameters!$B$5,IF(ISNUMBER(SEARCH("material",C78)),Parameters!$B$6,IF(ISNUMBER(SEARCH("piece_relations",C78)),Parameters!$B$7,IF(ISNUMBER(SEARCH("geometry",C78)),Parameters!$B$8,IF(ISNUMBER(SEARCH("reasoning",C78)),Parameters!$B$9,Parameters!$B$10))))))</f>
        <v>4</v>
      </c>
      <c r="F78" s="23">
        <f>IF(D78="major",Parameters!$B$14,IF(D78="medium",Parameters!$B$15,Parameters!$B$16))</f>
        <v>1</v>
      </c>
      <c r="G78" s="16">
        <f t="shared" si="3"/>
        <v>1</v>
      </c>
      <c r="H78" s="24">
        <f>Parameters!$B$20^(G78-1)</f>
        <v>1</v>
      </c>
      <c r="I78" s="18">
        <f t="shared" si="4"/>
        <v>4</v>
      </c>
    </row>
    <row r="79" spans="1:9" ht="13.15" x14ac:dyDescent="0.35">
      <c r="A79" s="21">
        <v>78</v>
      </c>
      <c r="B79" s="16">
        <f>'Data QWEN'!B79</f>
        <v>15</v>
      </c>
      <c r="C79" s="22" t="str">
        <f>'Data QWEN'!F79</f>
        <v>geometry</v>
      </c>
      <c r="D79" s="16" t="str">
        <f>LOWER(TRIM('Data QWEN'!H79))</f>
        <v>major</v>
      </c>
      <c r="E79" s="23">
        <f>IF(ISNUMBER(SEARCH("move_legality",C79)),Parameters!$B$4,IF(ISNUMBER(SEARCH("piece_placement",C79)),Parameters!$B$5,IF(ISNUMBER(SEARCH("material",C79)),Parameters!$B$6,IF(ISNUMBER(SEARCH("piece_relations",C79)),Parameters!$B$7,IF(ISNUMBER(SEARCH("geometry",C79)),Parameters!$B$8,IF(ISNUMBER(SEARCH("reasoning",C79)),Parameters!$B$9,Parameters!$B$10))))))</f>
        <v>3</v>
      </c>
      <c r="F79" s="23">
        <f>IF(D79="major",Parameters!$B$14,IF(D79="medium",Parameters!$B$15,Parameters!$B$16))</f>
        <v>3</v>
      </c>
      <c r="G79" s="16">
        <f t="shared" si="3"/>
        <v>1</v>
      </c>
      <c r="H79" s="24">
        <f>Parameters!$B$20^(G79-1)</f>
        <v>1</v>
      </c>
      <c r="I79" s="18">
        <f t="shared" si="4"/>
        <v>9</v>
      </c>
    </row>
    <row r="80" spans="1:9" ht="13.15" x14ac:dyDescent="0.35">
      <c r="A80" s="21">
        <v>79</v>
      </c>
      <c r="B80" s="16">
        <f>'Data QWEN'!B80</f>
        <v>15</v>
      </c>
      <c r="C80" s="22" t="str">
        <f>'Data QWEN'!F80</f>
        <v>geometry</v>
      </c>
      <c r="D80" s="16" t="str">
        <f>LOWER(TRIM('Data QWEN'!H80))</f>
        <v>major</v>
      </c>
      <c r="E80" s="23">
        <f>IF(ISNUMBER(SEARCH("move_legality",C80)),Parameters!$B$4,IF(ISNUMBER(SEARCH("piece_placement",C80)),Parameters!$B$5,IF(ISNUMBER(SEARCH("material",C80)),Parameters!$B$6,IF(ISNUMBER(SEARCH("piece_relations",C80)),Parameters!$B$7,IF(ISNUMBER(SEARCH("geometry",C80)),Parameters!$B$8,IF(ISNUMBER(SEARCH("reasoning",C80)),Parameters!$B$9,Parameters!$B$10))))))</f>
        <v>3</v>
      </c>
      <c r="F80" s="23">
        <f>IF(D80="major",Parameters!$B$14,IF(D80="medium",Parameters!$B$15,Parameters!$B$16))</f>
        <v>3</v>
      </c>
      <c r="G80" s="16">
        <f t="shared" si="3"/>
        <v>2</v>
      </c>
      <c r="H80" s="24">
        <f>Parameters!$B$20^(G80-1)</f>
        <v>0.7</v>
      </c>
      <c r="I80" s="18">
        <f t="shared" si="4"/>
        <v>6.3</v>
      </c>
    </row>
    <row r="81" spans="1:9" ht="13.15" x14ac:dyDescent="0.35">
      <c r="A81" s="21">
        <v>80</v>
      </c>
      <c r="B81" s="16">
        <f>'Data QWEN'!B81</f>
        <v>15</v>
      </c>
      <c r="C81" s="22" t="str">
        <f>'Data QWEN'!F81</f>
        <v>reasoning</v>
      </c>
      <c r="D81" s="16" t="str">
        <f>LOWER(TRIM('Data QWEN'!H81))</f>
        <v>major</v>
      </c>
      <c r="E81" s="23">
        <f>IF(ISNUMBER(SEARCH("move_legality",C81)),Parameters!$B$4,IF(ISNUMBER(SEARCH("piece_placement",C81)),Parameters!$B$5,IF(ISNUMBER(SEARCH("material",C81)),Parameters!$B$6,IF(ISNUMBER(SEARCH("piece_relations",C81)),Parameters!$B$7,IF(ISNUMBER(SEARCH("geometry",C81)),Parameters!$B$8,IF(ISNUMBER(SEARCH("reasoning",C81)),Parameters!$B$9,Parameters!$B$10))))))</f>
        <v>2</v>
      </c>
      <c r="F81" s="23">
        <f>IF(D81="major",Parameters!$B$14,IF(D81="medium",Parameters!$B$15,Parameters!$B$16))</f>
        <v>3</v>
      </c>
      <c r="G81" s="16">
        <f t="shared" si="3"/>
        <v>1</v>
      </c>
      <c r="H81" s="24">
        <f>Parameters!$B$20^(G81-1)</f>
        <v>1</v>
      </c>
      <c r="I81" s="18">
        <f t="shared" si="4"/>
        <v>6</v>
      </c>
    </row>
    <row r="82" spans="1:9" ht="13.15" x14ac:dyDescent="0.35">
      <c r="A82" s="21">
        <v>81</v>
      </c>
      <c r="B82" s="16">
        <f>'Data QWEN'!B82</f>
        <v>15</v>
      </c>
      <c r="C82" s="22" t="str">
        <f>'Data QWEN'!F82</f>
        <v>reasoning</v>
      </c>
      <c r="D82" s="16" t="str">
        <f>LOWER(TRIM('Data QWEN'!H82))</f>
        <v>major</v>
      </c>
      <c r="E82" s="23">
        <f>IF(ISNUMBER(SEARCH("move_legality",C82)),Parameters!$B$4,IF(ISNUMBER(SEARCH("piece_placement",C82)),Parameters!$B$5,IF(ISNUMBER(SEARCH("material",C82)),Parameters!$B$6,IF(ISNUMBER(SEARCH("piece_relations",C82)),Parameters!$B$7,IF(ISNUMBER(SEARCH("geometry",C82)),Parameters!$B$8,IF(ISNUMBER(SEARCH("reasoning",C82)),Parameters!$B$9,Parameters!$B$10))))))</f>
        <v>2</v>
      </c>
      <c r="F82" s="23">
        <f>IF(D82="major",Parameters!$B$14,IF(D82="medium",Parameters!$B$15,Parameters!$B$16))</f>
        <v>3</v>
      </c>
      <c r="G82" s="16">
        <f t="shared" si="3"/>
        <v>2</v>
      </c>
      <c r="H82" s="24">
        <f>Parameters!$B$20^(G82-1)</f>
        <v>0.7</v>
      </c>
      <c r="I82" s="18">
        <f t="shared" si="4"/>
        <v>4.1999999999999993</v>
      </c>
    </row>
    <row r="83" spans="1:9" ht="13.15" x14ac:dyDescent="0.35">
      <c r="A83" s="21">
        <v>82</v>
      </c>
      <c r="B83" s="16">
        <f>'Data QWEN'!B83</f>
        <v>15</v>
      </c>
      <c r="C83" s="22" t="str">
        <f>'Data QWEN'!F83</f>
        <v>reasoning</v>
      </c>
      <c r="D83" s="16" t="str">
        <f>LOWER(TRIM('Data QWEN'!H83))</f>
        <v>minor</v>
      </c>
      <c r="E83" s="23">
        <f>IF(ISNUMBER(SEARCH("move_legality",C83)),Parameters!$B$4,IF(ISNUMBER(SEARCH("piece_placement",C83)),Parameters!$B$5,IF(ISNUMBER(SEARCH("material",C83)),Parameters!$B$6,IF(ISNUMBER(SEARCH("piece_relations",C83)),Parameters!$B$7,IF(ISNUMBER(SEARCH("geometry",C83)),Parameters!$B$8,IF(ISNUMBER(SEARCH("reasoning",C83)),Parameters!$B$9,Parameters!$B$10))))))</f>
        <v>2</v>
      </c>
      <c r="F83" s="23">
        <f>IF(D83="major",Parameters!$B$14,IF(D83="medium",Parameters!$B$15,Parameters!$B$16))</f>
        <v>1</v>
      </c>
      <c r="G83" s="16">
        <f t="shared" si="3"/>
        <v>4</v>
      </c>
      <c r="H83" s="24">
        <f>Parameters!$B$20^(G83-1)</f>
        <v>0.34299999999999992</v>
      </c>
      <c r="I83" s="18">
        <f t="shared" si="4"/>
        <v>0.68599999999999983</v>
      </c>
    </row>
    <row r="84" spans="1:9" ht="13.15" x14ac:dyDescent="0.35">
      <c r="A84" s="21">
        <v>83</v>
      </c>
      <c r="B84" s="16">
        <f>'Data QWEN'!B84</f>
        <v>16</v>
      </c>
      <c r="C84" s="22" t="str">
        <f>'Data QWEN'!F84</f>
        <v>reasoning</v>
      </c>
      <c r="D84" s="16" t="str">
        <f>LOWER(TRIM('Data QWEN'!H84))</f>
        <v>major</v>
      </c>
      <c r="E84" s="23">
        <f>IF(ISNUMBER(SEARCH("move_legality",C84)),Parameters!$B$4,IF(ISNUMBER(SEARCH("piece_placement",C84)),Parameters!$B$5,IF(ISNUMBER(SEARCH("material",C84)),Parameters!$B$6,IF(ISNUMBER(SEARCH("piece_relations",C84)),Parameters!$B$7,IF(ISNUMBER(SEARCH("geometry",C84)),Parameters!$B$8,IF(ISNUMBER(SEARCH("reasoning",C84)),Parameters!$B$9,Parameters!$B$10))))))</f>
        <v>2</v>
      </c>
      <c r="F84" s="23">
        <f>IF(D84="major",Parameters!$B$14,IF(D84="medium",Parameters!$B$15,Parameters!$B$16))</f>
        <v>3</v>
      </c>
      <c r="G84" s="16">
        <f t="shared" si="3"/>
        <v>1</v>
      </c>
      <c r="H84" s="24">
        <f>Parameters!$B$20^(G84-1)</f>
        <v>1</v>
      </c>
      <c r="I84" s="18">
        <f t="shared" si="4"/>
        <v>6</v>
      </c>
    </row>
    <row r="85" spans="1:9" ht="13.15" x14ac:dyDescent="0.35">
      <c r="A85" s="21">
        <v>84</v>
      </c>
      <c r="B85" s="16">
        <f>'Data QWEN'!B85</f>
        <v>16</v>
      </c>
      <c r="C85" s="22" t="str">
        <f>'Data QWEN'!F85</f>
        <v>piece_relations</v>
      </c>
      <c r="D85" s="16" t="str">
        <f>LOWER(TRIM('Data QWEN'!H85))</f>
        <v>major</v>
      </c>
      <c r="E85" s="23">
        <f>IF(ISNUMBER(SEARCH("move_legality",C85)),Parameters!$B$4,IF(ISNUMBER(SEARCH("piece_placement",C85)),Parameters!$B$5,IF(ISNUMBER(SEARCH("material",C85)),Parameters!$B$6,IF(ISNUMBER(SEARCH("piece_relations",C85)),Parameters!$B$7,IF(ISNUMBER(SEARCH("geometry",C85)),Parameters!$B$8,IF(ISNUMBER(SEARCH("reasoning",C85)),Parameters!$B$9,Parameters!$B$10))))))</f>
        <v>4</v>
      </c>
      <c r="F85" s="23">
        <f>IF(D85="major",Parameters!$B$14,IF(D85="medium",Parameters!$B$15,Parameters!$B$16))</f>
        <v>3</v>
      </c>
      <c r="G85" s="16">
        <f t="shared" si="3"/>
        <v>1</v>
      </c>
      <c r="H85" s="24">
        <f>Parameters!$B$20^(G85-1)</f>
        <v>1</v>
      </c>
      <c r="I85" s="18">
        <f t="shared" si="4"/>
        <v>12</v>
      </c>
    </row>
    <row r="86" spans="1:9" ht="13.15" x14ac:dyDescent="0.35">
      <c r="A86" s="21">
        <v>85</v>
      </c>
      <c r="B86" s="16">
        <f>'Data QWEN'!B86</f>
        <v>16</v>
      </c>
      <c r="C86" s="22" t="str">
        <f>'Data QWEN'!F86</f>
        <v>move_legality</v>
      </c>
      <c r="D86" s="16" t="str">
        <f>LOWER(TRIM('Data QWEN'!H86))</f>
        <v>major</v>
      </c>
      <c r="E86" s="23">
        <f>IF(ISNUMBER(SEARCH("move_legality",C86)),Parameters!$B$4,IF(ISNUMBER(SEARCH("piece_placement",C86)),Parameters!$B$5,IF(ISNUMBER(SEARCH("material",C86)),Parameters!$B$6,IF(ISNUMBER(SEARCH("piece_relations",C86)),Parameters!$B$7,IF(ISNUMBER(SEARCH("geometry",C86)),Parameters!$B$8,IF(ISNUMBER(SEARCH("reasoning",C86)),Parameters!$B$9,Parameters!$B$10))))))</f>
        <v>8</v>
      </c>
      <c r="F86" s="23">
        <f>IF(D86="major",Parameters!$B$14,IF(D86="medium",Parameters!$B$15,Parameters!$B$16))</f>
        <v>3</v>
      </c>
      <c r="G86" s="16">
        <f t="shared" si="3"/>
        <v>1</v>
      </c>
      <c r="H86" s="24">
        <f>Parameters!$B$20^(G86-1)</f>
        <v>1</v>
      </c>
      <c r="I86" s="18">
        <f t="shared" si="4"/>
        <v>24</v>
      </c>
    </row>
    <row r="87" spans="1:9" ht="13.15" x14ac:dyDescent="0.35">
      <c r="A87" s="21">
        <v>86</v>
      </c>
      <c r="B87" s="16">
        <f>'Data QWEN'!B87</f>
        <v>16</v>
      </c>
      <c r="C87" s="22" t="str">
        <f>'Data QWEN'!F87</f>
        <v>geometry</v>
      </c>
      <c r="D87" s="16" t="str">
        <f>LOWER(TRIM('Data QWEN'!H87))</f>
        <v>minor</v>
      </c>
      <c r="E87" s="23">
        <f>IF(ISNUMBER(SEARCH("move_legality",C87)),Parameters!$B$4,IF(ISNUMBER(SEARCH("piece_placement",C87)),Parameters!$B$5,IF(ISNUMBER(SEARCH("material",C87)),Parameters!$B$6,IF(ISNUMBER(SEARCH("piece_relations",C87)),Parameters!$B$7,IF(ISNUMBER(SEARCH("geometry",C87)),Parameters!$B$8,IF(ISNUMBER(SEARCH("reasoning",C87)),Parameters!$B$9,Parameters!$B$10))))))</f>
        <v>3</v>
      </c>
      <c r="F87" s="23">
        <f>IF(D87="major",Parameters!$B$14,IF(D87="medium",Parameters!$B$15,Parameters!$B$16))</f>
        <v>1</v>
      </c>
      <c r="G87" s="16">
        <f t="shared" si="3"/>
        <v>1</v>
      </c>
      <c r="H87" s="24">
        <f>Parameters!$B$20^(G87-1)</f>
        <v>1</v>
      </c>
      <c r="I87" s="18">
        <f t="shared" si="4"/>
        <v>3</v>
      </c>
    </row>
    <row r="88" spans="1:9" ht="13.15" x14ac:dyDescent="0.35">
      <c r="A88" s="21">
        <v>87</v>
      </c>
      <c r="B88" s="16">
        <f>'Data QWEN'!B88</f>
        <v>16</v>
      </c>
      <c r="C88" s="22" t="str">
        <f>'Data QWEN'!F88</f>
        <v>move_legality</v>
      </c>
      <c r="D88" s="16" t="str">
        <f>LOWER(TRIM('Data QWEN'!H88))</f>
        <v>medium</v>
      </c>
      <c r="E88" s="23">
        <f>IF(ISNUMBER(SEARCH("move_legality",C88)),Parameters!$B$4,IF(ISNUMBER(SEARCH("piece_placement",C88)),Parameters!$B$5,IF(ISNUMBER(SEARCH("material",C88)),Parameters!$B$6,IF(ISNUMBER(SEARCH("piece_relations",C88)),Parameters!$B$7,IF(ISNUMBER(SEARCH("geometry",C88)),Parameters!$B$8,IF(ISNUMBER(SEARCH("reasoning",C88)),Parameters!$B$9,Parameters!$B$10))))))</f>
        <v>8</v>
      </c>
      <c r="F88" s="23">
        <f>IF(D88="major",Parameters!$B$14,IF(D88="medium",Parameters!$B$15,Parameters!$B$16))</f>
        <v>2</v>
      </c>
      <c r="G88" s="16">
        <f t="shared" si="3"/>
        <v>2</v>
      </c>
      <c r="H88" s="24">
        <f>Parameters!$B$20^(G88-1)</f>
        <v>0.7</v>
      </c>
      <c r="I88" s="18">
        <f t="shared" si="4"/>
        <v>11.2</v>
      </c>
    </row>
    <row r="89" spans="1:9" ht="13.15" x14ac:dyDescent="0.35">
      <c r="A89" s="21">
        <v>88</v>
      </c>
      <c r="B89" s="16">
        <f>'Data QWEN'!B89</f>
        <v>16</v>
      </c>
      <c r="C89" s="22" t="str">
        <f>'Data QWEN'!F89</f>
        <v>reasoning</v>
      </c>
      <c r="D89" s="16" t="str">
        <f>LOWER(TRIM('Data QWEN'!H89))</f>
        <v>medium</v>
      </c>
      <c r="E89" s="23">
        <f>IF(ISNUMBER(SEARCH("move_legality",C89)),Parameters!$B$4,IF(ISNUMBER(SEARCH("piece_placement",C89)),Parameters!$B$5,IF(ISNUMBER(SEARCH("material",C89)),Parameters!$B$6,IF(ISNUMBER(SEARCH("piece_relations",C89)),Parameters!$B$7,IF(ISNUMBER(SEARCH("geometry",C89)),Parameters!$B$8,IF(ISNUMBER(SEARCH("reasoning",C89)),Parameters!$B$9,Parameters!$B$10))))))</f>
        <v>2</v>
      </c>
      <c r="F89" s="23">
        <f>IF(D89="major",Parameters!$B$14,IF(D89="medium",Parameters!$B$15,Parameters!$B$16))</f>
        <v>2</v>
      </c>
      <c r="G89" s="16">
        <f t="shared" si="3"/>
        <v>2</v>
      </c>
      <c r="H89" s="24">
        <f>Parameters!$B$20^(G89-1)</f>
        <v>0.7</v>
      </c>
      <c r="I89" s="18">
        <f t="shared" si="4"/>
        <v>2.8</v>
      </c>
    </row>
    <row r="90" spans="1:9" ht="13.15" x14ac:dyDescent="0.35">
      <c r="A90" s="21">
        <v>89</v>
      </c>
      <c r="B90" s="16">
        <f>'Data QWEN'!B90</f>
        <v>17</v>
      </c>
      <c r="C90" s="22" t="str">
        <f>'Data QWEN'!F90</f>
        <v>reasoning</v>
      </c>
      <c r="D90" s="16" t="str">
        <f>LOWER(TRIM('Data QWEN'!H90))</f>
        <v>minor</v>
      </c>
      <c r="E90" s="23">
        <f>IF(ISNUMBER(SEARCH("move_legality",C90)),Parameters!$B$4,IF(ISNUMBER(SEARCH("piece_placement",C90)),Parameters!$B$5,IF(ISNUMBER(SEARCH("material",C90)),Parameters!$B$6,IF(ISNUMBER(SEARCH("piece_relations",C90)),Parameters!$B$7,IF(ISNUMBER(SEARCH("geometry",C90)),Parameters!$B$8,IF(ISNUMBER(SEARCH("reasoning",C90)),Parameters!$B$9,Parameters!$B$10))))))</f>
        <v>2</v>
      </c>
      <c r="F90" s="23">
        <f>IF(D90="major",Parameters!$B$14,IF(D90="medium",Parameters!$B$15,Parameters!$B$16))</f>
        <v>1</v>
      </c>
      <c r="G90" s="16">
        <f t="shared" si="3"/>
        <v>2</v>
      </c>
      <c r="H90" s="24">
        <f>Parameters!$B$20^(G90-1)</f>
        <v>0.7</v>
      </c>
      <c r="I90" s="18">
        <f t="shared" si="4"/>
        <v>1.4</v>
      </c>
    </row>
    <row r="91" spans="1:9" ht="13.15" x14ac:dyDescent="0.35">
      <c r="A91" s="21">
        <v>90</v>
      </c>
      <c r="B91" s="16">
        <f>'Data QWEN'!B91</f>
        <v>17</v>
      </c>
      <c r="C91" s="22" t="str">
        <f>'Data QWEN'!F91</f>
        <v>reasoning</v>
      </c>
      <c r="D91" s="16" t="str">
        <f>LOWER(TRIM('Data QWEN'!H91))</f>
        <v>major</v>
      </c>
      <c r="E91" s="23">
        <f>IF(ISNUMBER(SEARCH("move_legality",C91)),Parameters!$B$4,IF(ISNUMBER(SEARCH("piece_placement",C91)),Parameters!$B$5,IF(ISNUMBER(SEARCH("material",C91)),Parameters!$B$6,IF(ISNUMBER(SEARCH("piece_relations",C91)),Parameters!$B$7,IF(ISNUMBER(SEARCH("geometry",C91)),Parameters!$B$8,IF(ISNUMBER(SEARCH("reasoning",C91)),Parameters!$B$9,Parameters!$B$10))))))</f>
        <v>2</v>
      </c>
      <c r="F91" s="23">
        <f>IF(D91="major",Parameters!$B$14,IF(D91="medium",Parameters!$B$15,Parameters!$B$16))</f>
        <v>3</v>
      </c>
      <c r="G91" s="16">
        <f t="shared" si="3"/>
        <v>1</v>
      </c>
      <c r="H91" s="24">
        <f>Parameters!$B$20^(G91-1)</f>
        <v>1</v>
      </c>
      <c r="I91" s="18">
        <f t="shared" si="4"/>
        <v>6</v>
      </c>
    </row>
    <row r="92" spans="1:9" ht="13.15" x14ac:dyDescent="0.35">
      <c r="A92" s="21">
        <v>91</v>
      </c>
      <c r="B92" s="16">
        <f>'Data QWEN'!B92</f>
        <v>17</v>
      </c>
      <c r="C92" s="22" t="str">
        <f>'Data QWEN'!F92</f>
        <v>piece_relations</v>
      </c>
      <c r="D92" s="16" t="str">
        <f>LOWER(TRIM('Data QWEN'!H92))</f>
        <v>major</v>
      </c>
      <c r="E92" s="23">
        <f>IF(ISNUMBER(SEARCH("move_legality",C92)),Parameters!$B$4,IF(ISNUMBER(SEARCH("piece_placement",C92)),Parameters!$B$5,IF(ISNUMBER(SEARCH("material",C92)),Parameters!$B$6,IF(ISNUMBER(SEARCH("piece_relations",C92)),Parameters!$B$7,IF(ISNUMBER(SEARCH("geometry",C92)),Parameters!$B$8,IF(ISNUMBER(SEARCH("reasoning",C92)),Parameters!$B$9,Parameters!$B$10))))))</f>
        <v>4</v>
      </c>
      <c r="F92" s="23">
        <f>IF(D92="major",Parameters!$B$14,IF(D92="medium",Parameters!$B$15,Parameters!$B$16))</f>
        <v>3</v>
      </c>
      <c r="G92" s="16">
        <f t="shared" si="3"/>
        <v>1</v>
      </c>
      <c r="H92" s="24">
        <f>Parameters!$B$20^(G92-1)</f>
        <v>1</v>
      </c>
      <c r="I92" s="18">
        <f t="shared" si="4"/>
        <v>12</v>
      </c>
    </row>
    <row r="93" spans="1:9" ht="13.15" x14ac:dyDescent="0.35">
      <c r="A93" s="21">
        <v>92</v>
      </c>
      <c r="B93" s="16">
        <f>'Data QWEN'!B93</f>
        <v>18</v>
      </c>
      <c r="C93" s="22" t="str">
        <f>'Data QWEN'!F93</f>
        <v>reasoning</v>
      </c>
      <c r="D93" s="16" t="str">
        <f>LOWER(TRIM('Data QWEN'!H93))</f>
        <v>major</v>
      </c>
      <c r="E93" s="23">
        <f>IF(ISNUMBER(SEARCH("move_legality",C93)),Parameters!$B$4,IF(ISNUMBER(SEARCH("piece_placement",C93)),Parameters!$B$5,IF(ISNUMBER(SEARCH("material",C93)),Parameters!$B$6,IF(ISNUMBER(SEARCH("piece_relations",C93)),Parameters!$B$7,IF(ISNUMBER(SEARCH("geometry",C93)),Parameters!$B$8,IF(ISNUMBER(SEARCH("reasoning",C93)),Parameters!$B$9,Parameters!$B$10))))))</f>
        <v>2</v>
      </c>
      <c r="F93" s="23">
        <f>IF(D93="major",Parameters!$B$14,IF(D93="medium",Parameters!$B$15,Parameters!$B$16))</f>
        <v>3</v>
      </c>
      <c r="G93" s="16">
        <f t="shared" si="3"/>
        <v>1</v>
      </c>
      <c r="H93" s="24">
        <f>Parameters!$B$20^(G93-1)</f>
        <v>1</v>
      </c>
      <c r="I93" s="18">
        <f t="shared" si="4"/>
        <v>6</v>
      </c>
    </row>
    <row r="94" spans="1:9" ht="13.15" x14ac:dyDescent="0.35">
      <c r="A94" s="21">
        <v>93</v>
      </c>
      <c r="B94" s="16">
        <f>'Data QWEN'!B94</f>
        <v>18</v>
      </c>
      <c r="C94" s="22" t="str">
        <f>'Data QWEN'!F94</f>
        <v>reasoning</v>
      </c>
      <c r="D94" s="16" t="str">
        <f>LOWER(TRIM('Data QWEN'!H94))</f>
        <v>major</v>
      </c>
      <c r="E94" s="23">
        <f>IF(ISNUMBER(SEARCH("move_legality",C94)),Parameters!$B$4,IF(ISNUMBER(SEARCH("piece_placement",C94)),Parameters!$B$5,IF(ISNUMBER(SEARCH("material",C94)),Parameters!$B$6,IF(ISNUMBER(SEARCH("piece_relations",C94)),Parameters!$B$7,IF(ISNUMBER(SEARCH("geometry",C94)),Parameters!$B$8,IF(ISNUMBER(SEARCH("reasoning",C94)),Parameters!$B$9,Parameters!$B$10))))))</f>
        <v>2</v>
      </c>
      <c r="F94" s="23">
        <f>IF(D94="major",Parameters!$B$14,IF(D94="medium",Parameters!$B$15,Parameters!$B$16))</f>
        <v>3</v>
      </c>
      <c r="G94" s="16">
        <f t="shared" si="3"/>
        <v>2</v>
      </c>
      <c r="H94" s="24">
        <f>Parameters!$B$20^(G94-1)</f>
        <v>0.7</v>
      </c>
      <c r="I94" s="18">
        <f t="shared" si="4"/>
        <v>4.1999999999999993</v>
      </c>
    </row>
    <row r="95" spans="1:9" ht="13.15" x14ac:dyDescent="0.35">
      <c r="A95" s="21">
        <v>94</v>
      </c>
      <c r="B95" s="16">
        <f>'Data QWEN'!B95</f>
        <v>18</v>
      </c>
      <c r="C95" s="22" t="str">
        <f>'Data QWEN'!F95</f>
        <v>piece_relations</v>
      </c>
      <c r="D95" s="16" t="str">
        <f>LOWER(TRIM('Data QWEN'!H95))</f>
        <v>major</v>
      </c>
      <c r="E95" s="23">
        <f>IF(ISNUMBER(SEARCH("move_legality",C95)),Parameters!$B$4,IF(ISNUMBER(SEARCH("piece_placement",C95)),Parameters!$B$5,IF(ISNUMBER(SEARCH("material",C95)),Parameters!$B$6,IF(ISNUMBER(SEARCH("piece_relations",C95)),Parameters!$B$7,IF(ISNUMBER(SEARCH("geometry",C95)),Parameters!$B$8,IF(ISNUMBER(SEARCH("reasoning",C95)),Parameters!$B$9,Parameters!$B$10))))))</f>
        <v>4</v>
      </c>
      <c r="F95" s="23">
        <f>IF(D95="major",Parameters!$B$14,IF(D95="medium",Parameters!$B$15,Parameters!$B$16))</f>
        <v>3</v>
      </c>
      <c r="G95" s="16">
        <f t="shared" si="3"/>
        <v>1</v>
      </c>
      <c r="H95" s="24">
        <f>Parameters!$B$20^(G95-1)</f>
        <v>1</v>
      </c>
      <c r="I95" s="18">
        <f t="shared" si="4"/>
        <v>12</v>
      </c>
    </row>
    <row r="96" spans="1:9" ht="13.15" x14ac:dyDescent="0.35">
      <c r="A96" s="21">
        <v>95</v>
      </c>
      <c r="B96" s="16">
        <f>'Data QWEN'!B96</f>
        <v>18</v>
      </c>
      <c r="C96" s="22" t="str">
        <f>'Data QWEN'!F96</f>
        <v>reasoning</v>
      </c>
      <c r="D96" s="16" t="str">
        <f>LOWER(TRIM('Data QWEN'!H96))</f>
        <v>major</v>
      </c>
      <c r="E96" s="23">
        <f>IF(ISNUMBER(SEARCH("move_legality",C96)),Parameters!$B$4,IF(ISNUMBER(SEARCH("piece_placement",C96)),Parameters!$B$5,IF(ISNUMBER(SEARCH("material",C96)),Parameters!$B$6,IF(ISNUMBER(SEARCH("piece_relations",C96)),Parameters!$B$7,IF(ISNUMBER(SEARCH("geometry",C96)),Parameters!$B$8,IF(ISNUMBER(SEARCH("reasoning",C96)),Parameters!$B$9,Parameters!$B$10))))))</f>
        <v>2</v>
      </c>
      <c r="F96" s="23">
        <f>IF(D96="major",Parameters!$B$14,IF(D96="medium",Parameters!$B$15,Parameters!$B$16))</f>
        <v>3</v>
      </c>
      <c r="G96" s="16">
        <f t="shared" si="3"/>
        <v>3</v>
      </c>
      <c r="H96" s="24">
        <f>Parameters!$B$20^(G96-1)</f>
        <v>0.48999999999999994</v>
      </c>
      <c r="I96" s="18">
        <f t="shared" si="4"/>
        <v>2.9399999999999995</v>
      </c>
    </row>
    <row r="97" spans="1:9" ht="13.15" x14ac:dyDescent="0.35">
      <c r="A97" s="21">
        <v>96</v>
      </c>
      <c r="B97" s="16">
        <f>'Data QWEN'!B97</f>
        <v>18</v>
      </c>
      <c r="C97" s="22" t="str">
        <f>'Data QWEN'!F97</f>
        <v>piece_relations</v>
      </c>
      <c r="D97" s="16" t="str">
        <f>LOWER(TRIM('Data QWEN'!H97))</f>
        <v>major</v>
      </c>
      <c r="E97" s="23">
        <f>IF(ISNUMBER(SEARCH("move_legality",C97)),Parameters!$B$4,IF(ISNUMBER(SEARCH("piece_placement",C97)),Parameters!$B$5,IF(ISNUMBER(SEARCH("material",C97)),Parameters!$B$6,IF(ISNUMBER(SEARCH("piece_relations",C97)),Parameters!$B$7,IF(ISNUMBER(SEARCH("geometry",C97)),Parameters!$B$8,IF(ISNUMBER(SEARCH("reasoning",C97)),Parameters!$B$9,Parameters!$B$10))))))</f>
        <v>4</v>
      </c>
      <c r="F97" s="23">
        <f>IF(D97="major",Parameters!$B$14,IF(D97="medium",Parameters!$B$15,Parameters!$B$16))</f>
        <v>3</v>
      </c>
      <c r="G97" s="16">
        <f t="shared" si="3"/>
        <v>2</v>
      </c>
      <c r="H97" s="24">
        <f>Parameters!$B$20^(G97-1)</f>
        <v>0.7</v>
      </c>
      <c r="I97" s="18">
        <f t="shared" si="4"/>
        <v>8.3999999999999986</v>
      </c>
    </row>
    <row r="98" spans="1:9" ht="13.15" x14ac:dyDescent="0.35">
      <c r="A98" s="21">
        <v>97</v>
      </c>
      <c r="B98" s="16">
        <f>'Data QWEN'!B98</f>
        <v>18</v>
      </c>
      <c r="C98" s="22" t="str">
        <f>'Data QWEN'!F98</f>
        <v>reasoning</v>
      </c>
      <c r="D98" s="16" t="str">
        <f>LOWER(TRIM('Data QWEN'!H98))</f>
        <v>major</v>
      </c>
      <c r="E98" s="23">
        <f>IF(ISNUMBER(SEARCH("move_legality",C98)),Parameters!$B$4,IF(ISNUMBER(SEARCH("piece_placement",C98)),Parameters!$B$5,IF(ISNUMBER(SEARCH("material",C98)),Parameters!$B$6,IF(ISNUMBER(SEARCH("piece_relations",C98)),Parameters!$B$7,IF(ISNUMBER(SEARCH("geometry",C98)),Parameters!$B$8,IF(ISNUMBER(SEARCH("reasoning",C98)),Parameters!$B$9,Parameters!$B$10))))))</f>
        <v>2</v>
      </c>
      <c r="F98" s="23">
        <f>IF(D98="major",Parameters!$B$14,IF(D98="medium",Parameters!$B$15,Parameters!$B$16))</f>
        <v>3</v>
      </c>
      <c r="G98" s="16">
        <f t="shared" ref="G98:G115" si="5">COUNTIFS($B$2:$B$115,B98,$C$2:$C$115,C98,$F$2:$F$115,"&gt;"&amp;F98)+COUNTIFS($B$2:$B$115,B98,$C$2:$C$115,C98,$F$2:$F$115,F98,$A$2:$A$115,"&lt;="&amp;A98)</f>
        <v>4</v>
      </c>
      <c r="H98" s="24">
        <f>Parameters!$B$20^(G98-1)</f>
        <v>0.34299999999999992</v>
      </c>
      <c r="I98" s="18">
        <f t="shared" si="4"/>
        <v>2.0579999999999994</v>
      </c>
    </row>
    <row r="99" spans="1:9" ht="13.15" x14ac:dyDescent="0.35">
      <c r="A99" s="21">
        <v>98</v>
      </c>
      <c r="B99" s="16">
        <f>'Data QWEN'!B99</f>
        <v>18</v>
      </c>
      <c r="C99" s="22" t="str">
        <f>'Data QWEN'!F99</f>
        <v>reasoning</v>
      </c>
      <c r="D99" s="16" t="str">
        <f>LOWER(TRIM('Data QWEN'!H99))</f>
        <v>major</v>
      </c>
      <c r="E99" s="23">
        <f>IF(ISNUMBER(SEARCH("move_legality",C99)),Parameters!$B$4,IF(ISNUMBER(SEARCH("piece_placement",C99)),Parameters!$B$5,IF(ISNUMBER(SEARCH("material",C99)),Parameters!$B$6,IF(ISNUMBER(SEARCH("piece_relations",C99)),Parameters!$B$7,IF(ISNUMBER(SEARCH("geometry",C99)),Parameters!$B$8,IF(ISNUMBER(SEARCH("reasoning",C99)),Parameters!$B$9,Parameters!$B$10))))))</f>
        <v>2</v>
      </c>
      <c r="F99" s="23">
        <f>IF(D99="major",Parameters!$B$14,IF(D99="medium",Parameters!$B$15,Parameters!$B$16))</f>
        <v>3</v>
      </c>
      <c r="G99" s="16">
        <f t="shared" si="5"/>
        <v>5</v>
      </c>
      <c r="H99" s="24">
        <f>Parameters!$B$20^(G99-1)</f>
        <v>0.24009999999999992</v>
      </c>
      <c r="I99" s="18">
        <f t="shared" si="4"/>
        <v>1.4405999999999994</v>
      </c>
    </row>
    <row r="100" spans="1:9" ht="13.15" x14ac:dyDescent="0.35">
      <c r="A100" s="21">
        <v>99</v>
      </c>
      <c r="B100" s="16">
        <f>'Data QWEN'!B100</f>
        <v>18</v>
      </c>
      <c r="C100" s="22" t="str">
        <f>'Data QWEN'!F100</f>
        <v>reasoning</v>
      </c>
      <c r="D100" s="16" t="str">
        <f>LOWER(TRIM('Data QWEN'!H100))</f>
        <v>major</v>
      </c>
      <c r="E100" s="23">
        <f>IF(ISNUMBER(SEARCH("move_legality",C100)),Parameters!$B$4,IF(ISNUMBER(SEARCH("piece_placement",C100)),Parameters!$B$5,IF(ISNUMBER(SEARCH("material",C100)),Parameters!$B$6,IF(ISNUMBER(SEARCH("piece_relations",C100)),Parameters!$B$7,IF(ISNUMBER(SEARCH("geometry",C100)),Parameters!$B$8,IF(ISNUMBER(SEARCH("reasoning",C100)),Parameters!$B$9,Parameters!$B$10))))))</f>
        <v>2</v>
      </c>
      <c r="F100" s="23">
        <f>IF(D100="major",Parameters!$B$14,IF(D100="medium",Parameters!$B$15,Parameters!$B$16))</f>
        <v>3</v>
      </c>
      <c r="G100" s="16">
        <f t="shared" si="5"/>
        <v>6</v>
      </c>
      <c r="H100" s="24">
        <f>Parameters!$B$20^(G100-1)</f>
        <v>0.16806999999999994</v>
      </c>
      <c r="I100" s="18">
        <f t="shared" si="4"/>
        <v>1.0084199999999996</v>
      </c>
    </row>
    <row r="101" spans="1:9" ht="13.15" x14ac:dyDescent="0.35">
      <c r="A101" s="21">
        <v>100</v>
      </c>
      <c r="B101" s="16">
        <f>'Data QWEN'!B101</f>
        <v>18</v>
      </c>
      <c r="C101" s="22" t="str">
        <f>'Data QWEN'!F101</f>
        <v>reasoning</v>
      </c>
      <c r="D101" s="16" t="str">
        <f>LOWER(TRIM('Data QWEN'!H101))</f>
        <v>major</v>
      </c>
      <c r="E101" s="23">
        <f>IF(ISNUMBER(SEARCH("move_legality",C101)),Parameters!$B$4,IF(ISNUMBER(SEARCH("piece_placement",C101)),Parameters!$B$5,IF(ISNUMBER(SEARCH("material",C101)),Parameters!$B$6,IF(ISNUMBER(SEARCH("piece_relations",C101)),Parameters!$B$7,IF(ISNUMBER(SEARCH("geometry",C101)),Parameters!$B$8,IF(ISNUMBER(SEARCH("reasoning",C101)),Parameters!$B$9,Parameters!$B$10))))))</f>
        <v>2</v>
      </c>
      <c r="F101" s="23">
        <f>IF(D101="major",Parameters!$B$14,IF(D101="medium",Parameters!$B$15,Parameters!$B$16))</f>
        <v>3</v>
      </c>
      <c r="G101" s="16">
        <f t="shared" si="5"/>
        <v>7</v>
      </c>
      <c r="H101" s="24">
        <f>Parameters!$B$20^(G101-1)</f>
        <v>0.11764899999999995</v>
      </c>
      <c r="I101" s="18">
        <f t="shared" si="4"/>
        <v>0.70589399999999969</v>
      </c>
    </row>
    <row r="102" spans="1:9" ht="13.15" x14ac:dyDescent="0.35">
      <c r="A102" s="21">
        <v>101</v>
      </c>
      <c r="B102" s="16">
        <f>'Data QWEN'!B102</f>
        <v>18</v>
      </c>
      <c r="C102" s="22" t="str">
        <f>'Data QWEN'!F102</f>
        <v>reasoning</v>
      </c>
      <c r="D102" s="16" t="str">
        <f>LOWER(TRIM('Data QWEN'!H102))</f>
        <v>major</v>
      </c>
      <c r="E102" s="23">
        <f>IF(ISNUMBER(SEARCH("move_legality",C102)),Parameters!$B$4,IF(ISNUMBER(SEARCH("piece_placement",C102)),Parameters!$B$5,IF(ISNUMBER(SEARCH("material",C102)),Parameters!$B$6,IF(ISNUMBER(SEARCH("piece_relations",C102)),Parameters!$B$7,IF(ISNUMBER(SEARCH("geometry",C102)),Parameters!$B$8,IF(ISNUMBER(SEARCH("reasoning",C102)),Parameters!$B$9,Parameters!$B$10))))))</f>
        <v>2</v>
      </c>
      <c r="F102" s="23">
        <f>IF(D102="major",Parameters!$B$14,IF(D102="medium",Parameters!$B$15,Parameters!$B$16))</f>
        <v>3</v>
      </c>
      <c r="G102" s="16">
        <f t="shared" si="5"/>
        <v>8</v>
      </c>
      <c r="H102" s="24">
        <f>Parameters!$B$20^(G102-1)</f>
        <v>8.235429999999995E-2</v>
      </c>
      <c r="I102" s="18">
        <f t="shared" si="4"/>
        <v>0.49412579999999973</v>
      </c>
    </row>
    <row r="103" spans="1:9" ht="13.15" x14ac:dyDescent="0.35">
      <c r="A103" s="21">
        <v>102</v>
      </c>
      <c r="B103" s="16">
        <f>'Data QWEN'!B103</f>
        <v>18</v>
      </c>
      <c r="C103" s="22" t="str">
        <f>'Data QWEN'!F103</f>
        <v>reasoning</v>
      </c>
      <c r="D103" s="16" t="str">
        <f>LOWER(TRIM('Data QWEN'!H103))</f>
        <v>major</v>
      </c>
      <c r="E103" s="23">
        <f>IF(ISNUMBER(SEARCH("move_legality",C103)),Parameters!$B$4,IF(ISNUMBER(SEARCH("piece_placement",C103)),Parameters!$B$5,IF(ISNUMBER(SEARCH("material",C103)),Parameters!$B$6,IF(ISNUMBER(SEARCH("piece_relations",C103)),Parameters!$B$7,IF(ISNUMBER(SEARCH("geometry",C103)),Parameters!$B$8,IF(ISNUMBER(SEARCH("reasoning",C103)),Parameters!$B$9,Parameters!$B$10))))))</f>
        <v>2</v>
      </c>
      <c r="F103" s="23">
        <f>IF(D103="major",Parameters!$B$14,IF(D103="medium",Parameters!$B$15,Parameters!$B$16))</f>
        <v>3</v>
      </c>
      <c r="G103" s="16">
        <f t="shared" si="5"/>
        <v>9</v>
      </c>
      <c r="H103" s="24">
        <f>Parameters!$B$20^(G103-1)</f>
        <v>5.7648009999999965E-2</v>
      </c>
      <c r="I103" s="18">
        <f t="shared" si="4"/>
        <v>0.34588805999999978</v>
      </c>
    </row>
    <row r="104" spans="1:9" ht="13.15" x14ac:dyDescent="0.35">
      <c r="A104" s="21">
        <v>103</v>
      </c>
      <c r="B104" s="16">
        <f>'Data QWEN'!B104</f>
        <v>18</v>
      </c>
      <c r="C104" s="22" t="str">
        <f>'Data QWEN'!F104</f>
        <v>reasoning</v>
      </c>
      <c r="D104" s="16" t="str">
        <f>LOWER(TRIM('Data QWEN'!H104))</f>
        <v>minor</v>
      </c>
      <c r="E104" s="23">
        <f>IF(ISNUMBER(SEARCH("move_legality",C104)),Parameters!$B$4,IF(ISNUMBER(SEARCH("piece_placement",C104)),Parameters!$B$5,IF(ISNUMBER(SEARCH("material",C104)),Parameters!$B$6,IF(ISNUMBER(SEARCH("piece_relations",C104)),Parameters!$B$7,IF(ISNUMBER(SEARCH("geometry",C104)),Parameters!$B$8,IF(ISNUMBER(SEARCH("reasoning",C104)),Parameters!$B$9,Parameters!$B$10))))))</f>
        <v>2</v>
      </c>
      <c r="F104" s="23">
        <f>IF(D104="major",Parameters!$B$14,IF(D104="medium",Parameters!$B$15,Parameters!$B$16))</f>
        <v>1</v>
      </c>
      <c r="G104" s="16">
        <f t="shared" si="5"/>
        <v>11</v>
      </c>
      <c r="H104" s="24">
        <f>Parameters!$B$20^(G104-1)</f>
        <v>2.824752489999998E-2</v>
      </c>
      <c r="I104" s="18">
        <f t="shared" si="4"/>
        <v>5.6495049799999961E-2</v>
      </c>
    </row>
    <row r="105" spans="1:9" ht="13.15" x14ac:dyDescent="0.35">
      <c r="A105" s="21">
        <v>104</v>
      </c>
      <c r="B105" s="16">
        <f>'Data QWEN'!B105</f>
        <v>18</v>
      </c>
      <c r="C105" s="22" t="str">
        <f>'Data QWEN'!F105</f>
        <v>reasoning</v>
      </c>
      <c r="D105" s="16" t="str">
        <f>LOWER(TRIM('Data QWEN'!H105))</f>
        <v>major</v>
      </c>
      <c r="E105" s="23">
        <f>IF(ISNUMBER(SEARCH("move_legality",C105)),Parameters!$B$4,IF(ISNUMBER(SEARCH("piece_placement",C105)),Parameters!$B$5,IF(ISNUMBER(SEARCH("material",C105)),Parameters!$B$6,IF(ISNUMBER(SEARCH("piece_relations",C105)),Parameters!$B$7,IF(ISNUMBER(SEARCH("geometry",C105)),Parameters!$B$8,IF(ISNUMBER(SEARCH("reasoning",C105)),Parameters!$B$9,Parameters!$B$10))))))</f>
        <v>2</v>
      </c>
      <c r="F105" s="23">
        <f>IF(D105="major",Parameters!$B$14,IF(D105="medium",Parameters!$B$15,Parameters!$B$16))</f>
        <v>3</v>
      </c>
      <c r="G105" s="16">
        <f t="shared" si="5"/>
        <v>10</v>
      </c>
      <c r="H105" s="24">
        <f>Parameters!$B$20^(G105-1)</f>
        <v>4.0353606999999972E-2</v>
      </c>
      <c r="I105" s="18">
        <f t="shared" si="4"/>
        <v>0.24212164199999983</v>
      </c>
    </row>
    <row r="106" spans="1:9" ht="13.15" x14ac:dyDescent="0.35">
      <c r="A106" s="21">
        <v>105</v>
      </c>
      <c r="B106" s="16">
        <f>'Data QWEN'!B106</f>
        <v>19</v>
      </c>
      <c r="C106" s="22" t="str">
        <f>'Data QWEN'!F106</f>
        <v>reasoning</v>
      </c>
      <c r="D106" s="16" t="str">
        <f>LOWER(TRIM('Data QWEN'!H106))</f>
        <v>medium</v>
      </c>
      <c r="E106" s="23">
        <f>IF(ISNUMBER(SEARCH("move_legality",C106)),Parameters!$B$4,IF(ISNUMBER(SEARCH("piece_placement",C106)),Parameters!$B$5,IF(ISNUMBER(SEARCH("material",C106)),Parameters!$B$6,IF(ISNUMBER(SEARCH("piece_relations",C106)),Parameters!$B$7,IF(ISNUMBER(SEARCH("geometry",C106)),Parameters!$B$8,IF(ISNUMBER(SEARCH("reasoning",C106)),Parameters!$B$9,Parameters!$B$10))))))</f>
        <v>2</v>
      </c>
      <c r="F106" s="23">
        <f>IF(D106="major",Parameters!$B$14,IF(D106="medium",Parameters!$B$15,Parameters!$B$16))</f>
        <v>2</v>
      </c>
      <c r="G106" s="16">
        <f t="shared" si="5"/>
        <v>1</v>
      </c>
      <c r="H106" s="24">
        <f>Parameters!$B$20^(G106-1)</f>
        <v>1</v>
      </c>
      <c r="I106" s="18">
        <f t="shared" si="4"/>
        <v>4</v>
      </c>
    </row>
    <row r="107" spans="1:9" ht="13.15" x14ac:dyDescent="0.35">
      <c r="A107" s="21">
        <v>106</v>
      </c>
      <c r="B107" s="16">
        <f>'Data QWEN'!B107</f>
        <v>19</v>
      </c>
      <c r="C107" s="22" t="str">
        <f>'Data QWEN'!F107</f>
        <v>piece_relations</v>
      </c>
      <c r="D107" s="16" t="str">
        <f>LOWER(TRIM('Data QWEN'!H107))</f>
        <v>medium</v>
      </c>
      <c r="E107" s="23">
        <f>IF(ISNUMBER(SEARCH("move_legality",C107)),Parameters!$B$4,IF(ISNUMBER(SEARCH("piece_placement",C107)),Parameters!$B$5,IF(ISNUMBER(SEARCH("material",C107)),Parameters!$B$6,IF(ISNUMBER(SEARCH("piece_relations",C107)),Parameters!$B$7,IF(ISNUMBER(SEARCH("geometry",C107)),Parameters!$B$8,IF(ISNUMBER(SEARCH("reasoning",C107)),Parameters!$B$9,Parameters!$B$10))))))</f>
        <v>4</v>
      </c>
      <c r="F107" s="23">
        <f>IF(D107="major",Parameters!$B$14,IF(D107="medium",Parameters!$B$15,Parameters!$B$16))</f>
        <v>2</v>
      </c>
      <c r="G107" s="16">
        <f t="shared" si="5"/>
        <v>1</v>
      </c>
      <c r="H107" s="24">
        <f>Parameters!$B$20^(G107-1)</f>
        <v>1</v>
      </c>
      <c r="I107" s="18">
        <f t="shared" si="4"/>
        <v>8</v>
      </c>
    </row>
    <row r="108" spans="1:9" ht="13.15" x14ac:dyDescent="0.35">
      <c r="A108" s="21">
        <v>107</v>
      </c>
      <c r="B108" s="16">
        <f>'Data QWEN'!B108</f>
        <v>20</v>
      </c>
      <c r="C108" s="22" t="str">
        <f>'Data QWEN'!F108</f>
        <v>reasoning</v>
      </c>
      <c r="D108" s="16" t="str">
        <f>LOWER(TRIM('Data QWEN'!H108))</f>
        <v>minor</v>
      </c>
      <c r="E108" s="23">
        <f>IF(ISNUMBER(SEARCH("move_legality",C108)),Parameters!$B$4,IF(ISNUMBER(SEARCH("piece_placement",C108)),Parameters!$B$5,IF(ISNUMBER(SEARCH("material",C108)),Parameters!$B$6,IF(ISNUMBER(SEARCH("piece_relations",C108)),Parameters!$B$7,IF(ISNUMBER(SEARCH("geometry",C108)),Parameters!$B$8,IF(ISNUMBER(SEARCH("reasoning",C108)),Parameters!$B$9,Parameters!$B$10))))))</f>
        <v>2</v>
      </c>
      <c r="F108" s="23">
        <f>IF(D108="major",Parameters!$B$14,IF(D108="medium",Parameters!$B$15,Parameters!$B$16))</f>
        <v>1</v>
      </c>
      <c r="G108" s="16">
        <f t="shared" si="5"/>
        <v>4</v>
      </c>
      <c r="H108" s="24">
        <f>Parameters!$B$20^(G108-1)</f>
        <v>0.34299999999999992</v>
      </c>
      <c r="I108" s="18">
        <f t="shared" si="4"/>
        <v>0.68599999999999983</v>
      </c>
    </row>
    <row r="109" spans="1:9" ht="13.15" x14ac:dyDescent="0.35">
      <c r="A109" s="21">
        <v>108</v>
      </c>
      <c r="B109" s="16">
        <f>'Data QWEN'!B109</f>
        <v>20</v>
      </c>
      <c r="C109" s="22" t="str">
        <f>'Data QWEN'!F109</f>
        <v>reasoning</v>
      </c>
      <c r="D109" s="16" t="str">
        <f>LOWER(TRIM('Data QWEN'!H109))</f>
        <v>major</v>
      </c>
      <c r="E109" s="23">
        <f>IF(ISNUMBER(SEARCH("move_legality",C109)),Parameters!$B$4,IF(ISNUMBER(SEARCH("piece_placement",C109)),Parameters!$B$5,IF(ISNUMBER(SEARCH("material",C109)),Parameters!$B$6,IF(ISNUMBER(SEARCH("piece_relations",C109)),Parameters!$B$7,IF(ISNUMBER(SEARCH("geometry",C109)),Parameters!$B$8,IF(ISNUMBER(SEARCH("reasoning",C109)),Parameters!$B$9,Parameters!$B$10))))))</f>
        <v>2</v>
      </c>
      <c r="F109" s="23">
        <f>IF(D109="major",Parameters!$B$14,IF(D109="medium",Parameters!$B$15,Parameters!$B$16))</f>
        <v>3</v>
      </c>
      <c r="G109" s="16">
        <f t="shared" si="5"/>
        <v>1</v>
      </c>
      <c r="H109" s="24">
        <f>Parameters!$B$20^(G109-1)</f>
        <v>1</v>
      </c>
      <c r="I109" s="18">
        <f t="shared" si="4"/>
        <v>6</v>
      </c>
    </row>
    <row r="110" spans="1:9" ht="13.15" x14ac:dyDescent="0.35">
      <c r="A110" s="21">
        <v>109</v>
      </c>
      <c r="B110" s="16">
        <f>'Data QWEN'!B110</f>
        <v>20</v>
      </c>
      <c r="C110" s="22" t="str">
        <f>'Data QWEN'!F110</f>
        <v>piece_relations</v>
      </c>
      <c r="D110" s="16" t="str">
        <f>LOWER(TRIM('Data QWEN'!H110))</f>
        <v>major</v>
      </c>
      <c r="E110" s="23">
        <f>IF(ISNUMBER(SEARCH("move_legality",C110)),Parameters!$B$4,IF(ISNUMBER(SEARCH("piece_placement",C110)),Parameters!$B$5,IF(ISNUMBER(SEARCH("material",C110)),Parameters!$B$6,IF(ISNUMBER(SEARCH("piece_relations",C110)),Parameters!$B$7,IF(ISNUMBER(SEARCH("geometry",C110)),Parameters!$B$8,IF(ISNUMBER(SEARCH("reasoning",C110)),Parameters!$B$9,Parameters!$B$10))))))</f>
        <v>4</v>
      </c>
      <c r="F110" s="23">
        <f>IF(D110="major",Parameters!$B$14,IF(D110="medium",Parameters!$B$15,Parameters!$B$16))</f>
        <v>3</v>
      </c>
      <c r="G110" s="16">
        <f t="shared" si="5"/>
        <v>1</v>
      </c>
      <c r="H110" s="24">
        <f>Parameters!$B$20^(G110-1)</f>
        <v>1</v>
      </c>
      <c r="I110" s="18">
        <f t="shared" si="4"/>
        <v>12</v>
      </c>
    </row>
    <row r="111" spans="1:9" ht="13.15" x14ac:dyDescent="0.35">
      <c r="A111" s="21">
        <v>110</v>
      </c>
      <c r="B111" s="16">
        <f>'Data QWEN'!B111</f>
        <v>20</v>
      </c>
      <c r="C111" s="22" t="str">
        <f>'Data QWEN'!F111</f>
        <v>reasoning</v>
      </c>
      <c r="D111" s="16" t="str">
        <f>LOWER(TRIM('Data QWEN'!H111))</f>
        <v>major</v>
      </c>
      <c r="E111" s="23">
        <f>IF(ISNUMBER(SEARCH("move_legality",C111)),Parameters!$B$4,IF(ISNUMBER(SEARCH("piece_placement",C111)),Parameters!$B$5,IF(ISNUMBER(SEARCH("material",C111)),Parameters!$B$6,IF(ISNUMBER(SEARCH("piece_relations",C111)),Parameters!$B$7,IF(ISNUMBER(SEARCH("geometry",C111)),Parameters!$B$8,IF(ISNUMBER(SEARCH("reasoning",C111)),Parameters!$B$9,Parameters!$B$10))))))</f>
        <v>2</v>
      </c>
      <c r="F111" s="23">
        <f>IF(D111="major",Parameters!$B$14,IF(D111="medium",Parameters!$B$15,Parameters!$B$16))</f>
        <v>3</v>
      </c>
      <c r="G111" s="16">
        <f t="shared" si="5"/>
        <v>2</v>
      </c>
      <c r="H111" s="24">
        <f>Parameters!$B$20^(G111-1)</f>
        <v>0.7</v>
      </c>
      <c r="I111" s="18">
        <f t="shared" si="4"/>
        <v>4.1999999999999993</v>
      </c>
    </row>
    <row r="112" spans="1:9" ht="13.15" x14ac:dyDescent="0.35">
      <c r="A112" s="21">
        <v>111</v>
      </c>
      <c r="B112" s="16">
        <f>'Data QWEN'!B112</f>
        <v>20</v>
      </c>
      <c r="C112" s="22" t="str">
        <f>'Data QWEN'!F112</f>
        <v>move_legality</v>
      </c>
      <c r="D112" s="16" t="str">
        <f>LOWER(TRIM('Data QWEN'!H112))</f>
        <v>major</v>
      </c>
      <c r="E112" s="23">
        <f>IF(ISNUMBER(SEARCH("move_legality",C112)),Parameters!$B$4,IF(ISNUMBER(SEARCH("piece_placement",C112)),Parameters!$B$5,IF(ISNUMBER(SEARCH("material",C112)),Parameters!$B$6,IF(ISNUMBER(SEARCH("piece_relations",C112)),Parameters!$B$7,IF(ISNUMBER(SEARCH("geometry",C112)),Parameters!$B$8,IF(ISNUMBER(SEARCH("reasoning",C112)),Parameters!$B$9,Parameters!$B$10))))))</f>
        <v>8</v>
      </c>
      <c r="F112" s="23">
        <f>IF(D112="major",Parameters!$B$14,IF(D112="medium",Parameters!$B$15,Parameters!$B$16))</f>
        <v>3</v>
      </c>
      <c r="G112" s="16">
        <f t="shared" si="5"/>
        <v>1</v>
      </c>
      <c r="H112" s="24">
        <f>Parameters!$B$20^(G112-1)</f>
        <v>1</v>
      </c>
      <c r="I112" s="18">
        <f t="shared" si="4"/>
        <v>24</v>
      </c>
    </row>
    <row r="113" spans="1:9" ht="13.15" x14ac:dyDescent="0.35">
      <c r="A113" s="21">
        <v>112</v>
      </c>
      <c r="B113" s="16">
        <f>'Data QWEN'!B113</f>
        <v>20</v>
      </c>
      <c r="C113" s="22" t="str">
        <f>'Data QWEN'!F113</f>
        <v>reasoning</v>
      </c>
      <c r="D113" s="16" t="str">
        <f>LOWER(TRIM('Data QWEN'!H113))</f>
        <v>minor</v>
      </c>
      <c r="E113" s="23">
        <f>IF(ISNUMBER(SEARCH("move_legality",C113)),Parameters!$B$4,IF(ISNUMBER(SEARCH("piece_placement",C113)),Parameters!$B$5,IF(ISNUMBER(SEARCH("material",C113)),Parameters!$B$6,IF(ISNUMBER(SEARCH("piece_relations",C113)),Parameters!$B$7,IF(ISNUMBER(SEARCH("geometry",C113)),Parameters!$B$8,IF(ISNUMBER(SEARCH("reasoning",C113)),Parameters!$B$9,Parameters!$B$10))))))</f>
        <v>2</v>
      </c>
      <c r="F113" s="23">
        <f>IF(D113="major",Parameters!$B$14,IF(D113="medium",Parameters!$B$15,Parameters!$B$16))</f>
        <v>1</v>
      </c>
      <c r="G113" s="16">
        <f t="shared" si="5"/>
        <v>5</v>
      </c>
      <c r="H113" s="24">
        <f>Parameters!$B$20^(G113-1)</f>
        <v>0.24009999999999992</v>
      </c>
      <c r="I113" s="18">
        <f t="shared" si="4"/>
        <v>0.48019999999999985</v>
      </c>
    </row>
    <row r="114" spans="1:9" ht="13.15" x14ac:dyDescent="0.35">
      <c r="A114" s="21">
        <v>113</v>
      </c>
      <c r="B114" s="16">
        <f>'Data QWEN'!B114</f>
        <v>20</v>
      </c>
      <c r="C114" s="22" t="str">
        <f>'Data QWEN'!F114</f>
        <v>material</v>
      </c>
      <c r="D114" s="16" t="str">
        <f>LOWER(TRIM('Data QWEN'!H114))</f>
        <v>major</v>
      </c>
      <c r="E114" s="23">
        <f>IF(ISNUMBER(SEARCH("move_legality",C114)),Parameters!$B$4,IF(ISNUMBER(SEARCH("piece_placement",C114)),Parameters!$B$5,IF(ISNUMBER(SEARCH("material",C114)),Parameters!$B$6,IF(ISNUMBER(SEARCH("piece_relations",C114)),Parameters!$B$7,IF(ISNUMBER(SEARCH("geometry",C114)),Parameters!$B$8,IF(ISNUMBER(SEARCH("reasoning",C114)),Parameters!$B$9,Parameters!$B$10))))))</f>
        <v>5</v>
      </c>
      <c r="F114" s="23">
        <f>IF(D114="major",Parameters!$B$14,IF(D114="medium",Parameters!$B$15,Parameters!$B$16))</f>
        <v>3</v>
      </c>
      <c r="G114" s="16">
        <f t="shared" si="5"/>
        <v>1</v>
      </c>
      <c r="H114" s="24">
        <f>Parameters!$B$20^(G114-1)</f>
        <v>1</v>
      </c>
      <c r="I114" s="18">
        <f t="shared" si="4"/>
        <v>15</v>
      </c>
    </row>
    <row r="115" spans="1:9" ht="13.15" x14ac:dyDescent="0.35">
      <c r="A115" s="21">
        <v>114</v>
      </c>
      <c r="B115" s="16">
        <f>'Data QWEN'!B115</f>
        <v>20</v>
      </c>
      <c r="C115" s="22" t="str">
        <f>'Data QWEN'!F115</f>
        <v>reasoning</v>
      </c>
      <c r="D115" s="16" t="str">
        <f>LOWER(TRIM('Data QWEN'!H115))</f>
        <v>major</v>
      </c>
      <c r="E115" s="23">
        <f>IF(ISNUMBER(SEARCH("move_legality",C115)),Parameters!$B$4,IF(ISNUMBER(SEARCH("piece_placement",C115)),Parameters!$B$5,IF(ISNUMBER(SEARCH("material",C115)),Parameters!$B$6,IF(ISNUMBER(SEARCH("piece_relations",C115)),Parameters!$B$7,IF(ISNUMBER(SEARCH("geometry",C115)),Parameters!$B$8,IF(ISNUMBER(SEARCH("reasoning",C115)),Parameters!$B$9,Parameters!$B$10))))))</f>
        <v>2</v>
      </c>
      <c r="F115" s="23">
        <f>IF(D115="major",Parameters!$B$14,IF(D115="medium",Parameters!$B$15,Parameters!$B$16))</f>
        <v>3</v>
      </c>
      <c r="G115" s="16">
        <f t="shared" si="5"/>
        <v>3</v>
      </c>
      <c r="H115" s="24">
        <f>Parameters!$B$20^(G115-1)</f>
        <v>0.48999999999999994</v>
      </c>
      <c r="I115" s="18">
        <f t="shared" si="4"/>
        <v>2.9399999999999995</v>
      </c>
    </row>
  </sheetData>
  <autoFilter ref="A1:I207" xr:uid="{00000000-0009-0000-0000-000002000000}">
    <sortState xmlns:xlrd2="http://schemas.microsoft.com/office/spreadsheetml/2017/richdata2" ref="A2:I207">
      <sortCondition ref="A1:A207"/>
    </sortState>
  </autoFilter>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C63F7-D174-496B-816E-39C62C070644}">
  <sheetPr>
    <tabColor theme="7"/>
  </sheetPr>
  <dimension ref="A1:E22"/>
  <sheetViews>
    <sheetView zoomScaleNormal="100" workbookViewId="0">
      <pane ySplit="1" topLeftCell="A2" activePane="bottomLeft" state="frozen"/>
      <selection pane="bottomLeft" activeCell="B2" sqref="B2:E21"/>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QWEN'!$B:$B, A2)</f>
        <v>9</v>
      </c>
      <c r="C2" s="13">
        <f>SUMIF('Calculations QWEN'!$B:$B, A2, 'Calculations QWEN'!$I:$I)</f>
        <v>53.808539999999994</v>
      </c>
      <c r="D2" s="14">
        <f t="shared" ref="D2" si="0">MAX(0,100-C2)</f>
        <v>46.191460000000006</v>
      </c>
      <c r="E2" s="12" t="str">
        <f>IF(D2&gt;=90,"Excellent",IF(D2&gt;=75,"Good",IF(D2&gt;=55,"Acceptable",IF(D2&gt;=35,"Weak","Critic"))))</f>
        <v>Weak</v>
      </c>
    </row>
    <row r="3" spans="1:5" ht="13.15" x14ac:dyDescent="0.35">
      <c r="A3" s="15">
        <v>2</v>
      </c>
      <c r="B3" s="16">
        <f>COUNTIF('Calculations QWEN'!$B:$B, A3)</f>
        <v>4</v>
      </c>
      <c r="C3" s="17">
        <f>SUMIF('Calculations QWEN'!$B:$B, A3, 'Calculations QWEN'!$I:$I)</f>
        <v>41.2</v>
      </c>
      <c r="D3" s="18">
        <f t="shared" ref="D3:D21" si="1">MAX(0,100-C3)</f>
        <v>58.8</v>
      </c>
      <c r="E3" s="16" t="str">
        <f t="shared" ref="E3:E21" si="2">IF(D3&gt;=90,"Excellent",IF(D3&gt;=75,"Good",IF(D3&gt;=55,"Acceptable",IF(D3&gt;=35,"Weak","Critic"))))</f>
        <v>Acceptable</v>
      </c>
    </row>
    <row r="4" spans="1:5" ht="13.15" x14ac:dyDescent="0.35">
      <c r="A4" s="11">
        <v>3</v>
      </c>
      <c r="B4" s="12">
        <f>COUNTIF('Calculations QWEN'!$B:$B, A4)</f>
        <v>2</v>
      </c>
      <c r="C4" s="13">
        <f>SUMIF('Calculations QWEN'!$B:$B, A4, 'Calculations QWEN'!$I:$I)</f>
        <v>31</v>
      </c>
      <c r="D4" s="14">
        <f t="shared" si="1"/>
        <v>69</v>
      </c>
      <c r="E4" s="12" t="str">
        <f t="shared" si="2"/>
        <v>Acceptable</v>
      </c>
    </row>
    <row r="5" spans="1:5" ht="13.15" x14ac:dyDescent="0.35">
      <c r="A5" s="15">
        <v>4</v>
      </c>
      <c r="B5" s="16">
        <f>COUNTIF('Calculations QWEN'!$B:$B, A5)</f>
        <v>7</v>
      </c>
      <c r="C5" s="17">
        <f>SUMIF('Calculations QWEN'!$B:$B, A5, 'Calculations QWEN'!$I:$I)</f>
        <v>54.68</v>
      </c>
      <c r="D5" s="18">
        <f t="shared" si="1"/>
        <v>45.32</v>
      </c>
      <c r="E5" s="16" t="str">
        <f t="shared" si="2"/>
        <v>Weak</v>
      </c>
    </row>
    <row r="6" spans="1:5" ht="13.15" x14ac:dyDescent="0.35">
      <c r="A6" s="11">
        <v>5</v>
      </c>
      <c r="B6" s="12">
        <f>COUNTIF('Calculations QWEN'!$B:$B, A6)</f>
        <v>3</v>
      </c>
      <c r="C6" s="13">
        <f>SUMIF('Calculations QWEN'!$B:$B, A6, 'Calculations QWEN'!$I:$I)</f>
        <v>50.2</v>
      </c>
      <c r="D6" s="14">
        <f t="shared" si="1"/>
        <v>49.8</v>
      </c>
      <c r="E6" s="12" t="str">
        <f t="shared" si="2"/>
        <v>Weak</v>
      </c>
    </row>
    <row r="7" spans="1:5" ht="13.15" x14ac:dyDescent="0.35">
      <c r="A7" s="15">
        <v>6</v>
      </c>
      <c r="B7" s="16">
        <f>COUNTIF('Calculations QWEN'!$B:$B, A7)</f>
        <v>5</v>
      </c>
      <c r="C7" s="17">
        <f>SUMIF('Calculations QWEN'!$B:$B, A7, 'Calculations QWEN'!$I:$I)</f>
        <v>16.158399999999997</v>
      </c>
      <c r="D7" s="18">
        <f t="shared" si="1"/>
        <v>83.8416</v>
      </c>
      <c r="E7" s="16" t="str">
        <f t="shared" si="2"/>
        <v>Good</v>
      </c>
    </row>
    <row r="8" spans="1:5" ht="13.15" x14ac:dyDescent="0.35">
      <c r="A8" s="11">
        <v>7</v>
      </c>
      <c r="B8" s="12">
        <f>COUNTIF('Calculations QWEN'!$B:$B, A8)</f>
        <v>2</v>
      </c>
      <c r="C8" s="13">
        <f>SUMIF('Calculations QWEN'!$B:$B, A8, 'Calculations QWEN'!$I:$I)</f>
        <v>5.4</v>
      </c>
      <c r="D8" s="14">
        <f t="shared" si="1"/>
        <v>94.6</v>
      </c>
      <c r="E8" s="12" t="str">
        <f t="shared" si="2"/>
        <v>Excellent</v>
      </c>
    </row>
    <row r="9" spans="1:5" ht="13.15" x14ac:dyDescent="0.35">
      <c r="A9" s="15">
        <v>8</v>
      </c>
      <c r="B9" s="16">
        <f>COUNTIF('Calculations QWEN'!$B:$B, A9)</f>
        <v>4</v>
      </c>
      <c r="C9" s="17">
        <f>SUMIF('Calculations QWEN'!$B:$B, A9, 'Calculations QWEN'!$I:$I)</f>
        <v>46.4</v>
      </c>
      <c r="D9" s="18">
        <f t="shared" si="1"/>
        <v>53.6</v>
      </c>
      <c r="E9" s="16" t="str">
        <f t="shared" si="2"/>
        <v>Weak</v>
      </c>
    </row>
    <row r="10" spans="1:5" ht="13.15" x14ac:dyDescent="0.35">
      <c r="A10" s="11">
        <v>9</v>
      </c>
      <c r="B10" s="12">
        <f>COUNTIF('Calculations QWEN'!$B:$B, A10)</f>
        <v>12</v>
      </c>
      <c r="C10" s="13">
        <f>SUMIF('Calculations QWEN'!$B:$B, A10, 'Calculations QWEN'!$I:$I)</f>
        <v>52.826182619999997</v>
      </c>
      <c r="D10" s="14">
        <f t="shared" si="1"/>
        <v>47.173817380000003</v>
      </c>
      <c r="E10" s="12" t="str">
        <f t="shared" si="2"/>
        <v>Weak</v>
      </c>
    </row>
    <row r="11" spans="1:5" ht="13.15" x14ac:dyDescent="0.35">
      <c r="A11" s="15">
        <v>10</v>
      </c>
      <c r="B11" s="16">
        <f>COUNTIF('Calculations QWEN'!$B:$B, A11)</f>
        <v>4</v>
      </c>
      <c r="C11" s="17">
        <f>SUMIF('Calculations QWEN'!$B:$B, A11, 'Calculations QWEN'!$I:$I)</f>
        <v>27.18</v>
      </c>
      <c r="D11" s="18">
        <f t="shared" si="1"/>
        <v>72.819999999999993</v>
      </c>
      <c r="E11" s="16" t="str">
        <f t="shared" si="2"/>
        <v>Acceptable</v>
      </c>
    </row>
    <row r="12" spans="1:5" ht="13.15" x14ac:dyDescent="0.35">
      <c r="A12" s="11">
        <v>11</v>
      </c>
      <c r="B12" s="12">
        <f>COUNTIF('Calculations QWEN'!$B:$B, A12)</f>
        <v>4</v>
      </c>
      <c r="C12" s="13">
        <f>SUMIF('Calculations QWEN'!$B:$B, A12, 'Calculations QWEN'!$I:$I)</f>
        <v>14.511999999999999</v>
      </c>
      <c r="D12" s="14">
        <f t="shared" si="1"/>
        <v>85.488</v>
      </c>
      <c r="E12" s="12" t="str">
        <f t="shared" si="2"/>
        <v>Good</v>
      </c>
    </row>
    <row r="13" spans="1:5" ht="13.15" x14ac:dyDescent="0.35">
      <c r="A13" s="15">
        <v>12</v>
      </c>
      <c r="B13" s="16">
        <f>COUNTIF('Calculations QWEN'!$B:$B, A13)</f>
        <v>7</v>
      </c>
      <c r="C13" s="17">
        <f>SUMIF('Calculations QWEN'!$B:$B, A13, 'Calculations QWEN'!$I:$I)</f>
        <v>30.328339999999997</v>
      </c>
      <c r="D13" s="18">
        <f t="shared" si="1"/>
        <v>69.671660000000003</v>
      </c>
      <c r="E13" s="16" t="str">
        <f t="shared" si="2"/>
        <v>Acceptable</v>
      </c>
    </row>
    <row r="14" spans="1:5" ht="13.15" x14ac:dyDescent="0.35">
      <c r="A14" s="11">
        <v>13</v>
      </c>
      <c r="B14" s="12">
        <f>COUNTIF('Calculations QWEN'!$B:$B, A14)</f>
        <v>6</v>
      </c>
      <c r="C14" s="13">
        <f>SUMIF('Calculations QWEN'!$B:$B, A14, 'Calculations QWEN'!$I:$I)</f>
        <v>57</v>
      </c>
      <c r="D14" s="14">
        <f t="shared" si="1"/>
        <v>43</v>
      </c>
      <c r="E14" s="12" t="str">
        <f t="shared" si="2"/>
        <v>Weak</v>
      </c>
    </row>
    <row r="15" spans="1:5" ht="13.15" x14ac:dyDescent="0.35">
      <c r="A15" s="15">
        <v>14</v>
      </c>
      <c r="B15" s="16">
        <f>COUNTIF('Calculations QWEN'!$B:$B, A15)</f>
        <v>4</v>
      </c>
      <c r="C15" s="17">
        <f>SUMIF('Calculations QWEN'!$B:$B, A15, 'Calculations QWEN'!$I:$I)</f>
        <v>30.38</v>
      </c>
      <c r="D15" s="18">
        <f t="shared" si="1"/>
        <v>69.62</v>
      </c>
      <c r="E15" s="16" t="str">
        <f t="shared" si="2"/>
        <v>Acceptable</v>
      </c>
    </row>
    <row r="16" spans="1:5" ht="13.15" x14ac:dyDescent="0.35">
      <c r="A16" s="11">
        <v>15</v>
      </c>
      <c r="B16" s="12">
        <f>COUNTIF('Calculations QWEN'!$B:$B, A16)</f>
        <v>9</v>
      </c>
      <c r="C16" s="13">
        <f>SUMIF('Calculations QWEN'!$B:$B, A16, 'Calculations QWEN'!$I:$I)</f>
        <v>44.106000000000002</v>
      </c>
      <c r="D16" s="14">
        <f t="shared" si="1"/>
        <v>55.893999999999998</v>
      </c>
      <c r="E16" s="12" t="str">
        <f t="shared" si="2"/>
        <v>Acceptable</v>
      </c>
    </row>
    <row r="17" spans="1:5" ht="13.15" x14ac:dyDescent="0.35">
      <c r="A17" s="15">
        <v>16</v>
      </c>
      <c r="B17" s="16">
        <f>COUNTIF('Calculations QWEN'!$B:$B, A17)</f>
        <v>6</v>
      </c>
      <c r="C17" s="17">
        <f>SUMIF('Calculations QWEN'!$B:$B, A17, 'Calculations QWEN'!$I:$I)</f>
        <v>59</v>
      </c>
      <c r="D17" s="18">
        <f t="shared" si="1"/>
        <v>41</v>
      </c>
      <c r="E17" s="16" t="str">
        <f t="shared" si="2"/>
        <v>Weak</v>
      </c>
    </row>
    <row r="18" spans="1:5" ht="13.15" x14ac:dyDescent="0.35">
      <c r="A18" s="11">
        <v>17</v>
      </c>
      <c r="B18" s="12">
        <f>COUNTIF('Calculations QWEN'!$B:$B, A18)</f>
        <v>3</v>
      </c>
      <c r="C18" s="13">
        <f>SUMIF('Calculations QWEN'!$B:$B, A18, 'Calculations QWEN'!$I:$I)</f>
        <v>19.399999999999999</v>
      </c>
      <c r="D18" s="14">
        <f t="shared" si="1"/>
        <v>80.599999999999994</v>
      </c>
      <c r="E18" s="12" t="str">
        <f t="shared" si="2"/>
        <v>Good</v>
      </c>
    </row>
    <row r="19" spans="1:5" ht="13.15" x14ac:dyDescent="0.35">
      <c r="A19" s="15">
        <v>18</v>
      </c>
      <c r="B19" s="16">
        <f>COUNTIF('Calculations QWEN'!$B:$B, A19)</f>
        <v>13</v>
      </c>
      <c r="C19" s="17">
        <f>SUMIF('Calculations QWEN'!$B:$B, A19, 'Calculations QWEN'!$I:$I)</f>
        <v>39.891544551799996</v>
      </c>
      <c r="D19" s="18">
        <f t="shared" si="1"/>
        <v>60.108455448200004</v>
      </c>
      <c r="E19" s="16" t="str">
        <f t="shared" si="2"/>
        <v>Acceptable</v>
      </c>
    </row>
    <row r="20" spans="1:5" ht="13.15" x14ac:dyDescent="0.35">
      <c r="A20" s="11">
        <v>19</v>
      </c>
      <c r="B20" s="12">
        <f>COUNTIF('Calculations QWEN'!$B:$B, A20)</f>
        <v>2</v>
      </c>
      <c r="C20" s="13">
        <f>SUMIF('Calculations QWEN'!$B:$B, A20, 'Calculations QWEN'!$I:$I)</f>
        <v>12</v>
      </c>
      <c r="D20" s="14">
        <f t="shared" si="1"/>
        <v>88</v>
      </c>
      <c r="E20" s="12" t="str">
        <f t="shared" si="2"/>
        <v>Good</v>
      </c>
    </row>
    <row r="21" spans="1:5" ht="13.15" x14ac:dyDescent="0.35">
      <c r="A21" s="15">
        <v>20</v>
      </c>
      <c r="B21" s="16">
        <f>COUNTIF('Calculations QWEN'!$B:$B, A21)</f>
        <v>8</v>
      </c>
      <c r="C21" s="17">
        <f>SUMIF('Calculations QWEN'!$B:$B, A21, 'Calculations QWEN'!$I:$I)</f>
        <v>65.30619999999999</v>
      </c>
      <c r="D21" s="18">
        <f t="shared" si="1"/>
        <v>34.69380000000001</v>
      </c>
      <c r="E21" s="16" t="str">
        <f t="shared" si="2"/>
        <v>Critic</v>
      </c>
    </row>
    <row r="22" spans="1:5" ht="15" x14ac:dyDescent="0.35">
      <c r="A22" s="56" t="s">
        <v>577</v>
      </c>
      <c r="B22" s="56"/>
      <c r="C22" s="19">
        <f>ROUND(AVERAGE(C2:C21),2)</f>
        <v>37.54</v>
      </c>
      <c r="D22" s="19">
        <f>ROUND(AVERAGE(D2:D21),2)</f>
        <v>62.46</v>
      </c>
      <c r="E22" s="20" t="str">
        <f t="shared" ref="E22" si="3">IF(D22&gt;=90,"Excellent",IF(D22&gt;=75,"Good",IF(D22&gt;=55,"Acceptable",IF(D22&gt;=35,"Weak","Critic"))))</f>
        <v>Acceptable</v>
      </c>
    </row>
  </sheetData>
  <mergeCells count="1">
    <mergeCell ref="A22:B22"/>
  </mergeCells>
  <conditionalFormatting sqref="C2:C21">
    <cfRule type="cellIs" dxfId="4" priority="1" operator="greaterThan">
      <formula>99</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2ACA-DA98-4C69-A4B8-9D71C4323789}">
  <sheetPr>
    <tabColor theme="8"/>
  </sheetPr>
  <dimension ref="A1:H49"/>
  <sheetViews>
    <sheetView zoomScaleNormal="100" workbookViewId="0">
      <pane ySplit="1" topLeftCell="A17" activePane="bottomLeft" state="frozen"/>
      <selection pane="bottomLeft" activeCell="A49" sqref="A49"/>
    </sheetView>
  </sheetViews>
  <sheetFormatPr defaultColWidth="12.59765625" defaultRowHeight="12.75" x14ac:dyDescent="0.35"/>
  <cols>
    <col min="1" max="1" width="11.3984375" bestFit="1" customWidth="1"/>
    <col min="2" max="2" width="13.46484375" bestFit="1" customWidth="1"/>
    <col min="3" max="3" width="49.53125" bestFit="1" customWidth="1"/>
    <col min="4" max="4" width="10" bestFit="1" customWidth="1"/>
    <col min="5" max="5" width="113.33203125" bestFit="1" customWidth="1"/>
    <col min="6" max="6" width="21.3984375" bestFit="1" customWidth="1"/>
    <col min="7" max="7" width="66.86328125"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572</v>
      </c>
      <c r="B2" s="31">
        <v>1</v>
      </c>
      <c r="C2" s="31" t="s">
        <v>52</v>
      </c>
      <c r="D2" s="31" t="s">
        <v>1309</v>
      </c>
      <c r="E2" s="31" t="s">
        <v>1310</v>
      </c>
      <c r="F2" s="31" t="s">
        <v>20</v>
      </c>
      <c r="G2" s="31" t="s">
        <v>1311</v>
      </c>
      <c r="H2" s="35" t="s">
        <v>60</v>
      </c>
    </row>
    <row r="3" spans="1:8" ht="23.25" x14ac:dyDescent="0.35">
      <c r="A3" s="32" t="s">
        <v>572</v>
      </c>
      <c r="B3" s="32">
        <v>2</v>
      </c>
      <c r="C3" s="32" t="s">
        <v>759</v>
      </c>
      <c r="D3" s="32" t="s">
        <v>1312</v>
      </c>
      <c r="E3" s="32" t="s">
        <v>1313</v>
      </c>
      <c r="F3" s="32" t="s">
        <v>25</v>
      </c>
      <c r="G3" s="32" t="s">
        <v>1314</v>
      </c>
      <c r="H3" s="36" t="s">
        <v>34</v>
      </c>
    </row>
    <row r="4" spans="1:8" x14ac:dyDescent="0.35">
      <c r="A4" s="31" t="s">
        <v>572</v>
      </c>
      <c r="B4" s="31">
        <v>2</v>
      </c>
      <c r="C4" s="31"/>
      <c r="D4" s="31" t="s">
        <v>86</v>
      </c>
      <c r="E4" s="31" t="s">
        <v>1315</v>
      </c>
      <c r="F4" s="31" t="s">
        <v>20</v>
      </c>
      <c r="G4" s="31" t="s">
        <v>1316</v>
      </c>
      <c r="H4" s="35" t="s">
        <v>60</v>
      </c>
    </row>
    <row r="5" spans="1:8" x14ac:dyDescent="0.35">
      <c r="A5" s="32" t="s">
        <v>572</v>
      </c>
      <c r="B5" s="32">
        <v>3</v>
      </c>
      <c r="C5" s="32" t="s">
        <v>92</v>
      </c>
      <c r="D5" s="32"/>
      <c r="E5" s="32" t="s">
        <v>1317</v>
      </c>
      <c r="F5" s="32" t="s">
        <v>25</v>
      </c>
      <c r="G5" s="32" t="s">
        <v>1318</v>
      </c>
      <c r="H5" s="36" t="s">
        <v>60</v>
      </c>
    </row>
    <row r="6" spans="1:8" ht="23.25" x14ac:dyDescent="0.35">
      <c r="A6" s="31" t="s">
        <v>572</v>
      </c>
      <c r="B6" s="31">
        <v>3</v>
      </c>
      <c r="C6" s="31"/>
      <c r="D6" s="31"/>
      <c r="E6" s="31" t="s">
        <v>1319</v>
      </c>
      <c r="F6" s="31" t="s">
        <v>25</v>
      </c>
      <c r="G6" s="31" t="s">
        <v>1320</v>
      </c>
      <c r="H6" s="35" t="s">
        <v>60</v>
      </c>
    </row>
    <row r="7" spans="1:8" ht="58.15" x14ac:dyDescent="0.35">
      <c r="A7" s="32" t="s">
        <v>572</v>
      </c>
      <c r="B7" s="32">
        <v>3</v>
      </c>
      <c r="C7" s="32"/>
      <c r="D7" s="32" t="s">
        <v>1129</v>
      </c>
      <c r="E7" s="32" t="s">
        <v>1321</v>
      </c>
      <c r="F7" s="32" t="s">
        <v>25</v>
      </c>
      <c r="G7" s="32" t="s">
        <v>1322</v>
      </c>
      <c r="H7" s="36" t="s">
        <v>60</v>
      </c>
    </row>
    <row r="8" spans="1:8" x14ac:dyDescent="0.35">
      <c r="A8" s="31" t="s">
        <v>572</v>
      </c>
      <c r="B8" s="31">
        <v>3</v>
      </c>
      <c r="C8" s="31"/>
      <c r="D8" s="31" t="s">
        <v>1129</v>
      </c>
      <c r="E8" s="31" t="s">
        <v>1323</v>
      </c>
      <c r="F8" s="31" t="s">
        <v>18</v>
      </c>
      <c r="G8" s="31" t="s">
        <v>1324</v>
      </c>
      <c r="H8" s="35" t="s">
        <v>34</v>
      </c>
    </row>
    <row r="9" spans="1:8" x14ac:dyDescent="0.35">
      <c r="A9" s="32" t="s">
        <v>572</v>
      </c>
      <c r="B9" s="32">
        <v>3</v>
      </c>
      <c r="C9" s="32"/>
      <c r="D9" s="32" t="s">
        <v>1325</v>
      </c>
      <c r="E9" s="32" t="s">
        <v>1326</v>
      </c>
      <c r="F9" s="32" t="s">
        <v>20</v>
      </c>
      <c r="G9" s="32" t="s">
        <v>1327</v>
      </c>
      <c r="H9" s="36" t="s">
        <v>34</v>
      </c>
    </row>
    <row r="10" spans="1:8" x14ac:dyDescent="0.35">
      <c r="A10" s="31" t="s">
        <v>572</v>
      </c>
      <c r="B10" s="31">
        <v>4</v>
      </c>
      <c r="C10" s="31" t="s">
        <v>535</v>
      </c>
      <c r="D10" s="31" t="s">
        <v>1328</v>
      </c>
      <c r="E10" s="31" t="s">
        <v>1329</v>
      </c>
      <c r="F10" s="31" t="s">
        <v>18</v>
      </c>
      <c r="G10" s="31" t="s">
        <v>870</v>
      </c>
      <c r="H10" s="35" t="s">
        <v>60</v>
      </c>
    </row>
    <row r="11" spans="1:8" x14ac:dyDescent="0.35">
      <c r="A11" s="32" t="s">
        <v>572</v>
      </c>
      <c r="B11" s="32">
        <v>5</v>
      </c>
      <c r="C11" s="32" t="s">
        <v>139</v>
      </c>
      <c r="D11" s="32"/>
      <c r="E11" s="32" t="s">
        <v>1330</v>
      </c>
      <c r="F11" s="32" t="s">
        <v>20</v>
      </c>
      <c r="G11" s="32" t="s">
        <v>1331</v>
      </c>
      <c r="H11" s="36" t="s">
        <v>34</v>
      </c>
    </row>
    <row r="12" spans="1:8" x14ac:dyDescent="0.35">
      <c r="A12" s="31" t="s">
        <v>572</v>
      </c>
      <c r="B12" s="31">
        <v>5</v>
      </c>
      <c r="C12" s="31"/>
      <c r="D12" s="31" t="s">
        <v>1332</v>
      </c>
      <c r="E12" s="31" t="s">
        <v>1333</v>
      </c>
      <c r="F12" s="31" t="s">
        <v>21</v>
      </c>
      <c r="G12" s="31" t="s">
        <v>1334</v>
      </c>
      <c r="H12" s="35" t="s">
        <v>34</v>
      </c>
    </row>
    <row r="13" spans="1:8" x14ac:dyDescent="0.35">
      <c r="A13" s="32" t="s">
        <v>572</v>
      </c>
      <c r="B13" s="32">
        <v>5</v>
      </c>
      <c r="C13" s="32"/>
      <c r="D13" s="32" t="s">
        <v>1335</v>
      </c>
      <c r="E13" s="32" t="s">
        <v>1336</v>
      </c>
      <c r="F13" s="32" t="s">
        <v>20</v>
      </c>
      <c r="G13" s="32" t="s">
        <v>1337</v>
      </c>
      <c r="H13" s="36" t="s">
        <v>34</v>
      </c>
    </row>
    <row r="14" spans="1:8" x14ac:dyDescent="0.35">
      <c r="A14" s="31" t="s">
        <v>572</v>
      </c>
      <c r="B14" s="31">
        <v>7</v>
      </c>
      <c r="C14" s="31" t="s">
        <v>198</v>
      </c>
      <c r="D14" s="31" t="s">
        <v>1168</v>
      </c>
      <c r="E14" s="31" t="s">
        <v>1338</v>
      </c>
      <c r="F14" s="31" t="s">
        <v>25</v>
      </c>
      <c r="G14" s="31" t="s">
        <v>1339</v>
      </c>
      <c r="H14" s="35" t="s">
        <v>60</v>
      </c>
    </row>
    <row r="15" spans="1:8" x14ac:dyDescent="0.35">
      <c r="A15" s="32" t="s">
        <v>572</v>
      </c>
      <c r="B15" s="32">
        <v>8</v>
      </c>
      <c r="C15" s="32" t="s">
        <v>210</v>
      </c>
      <c r="D15" s="32"/>
      <c r="E15" s="32" t="s">
        <v>1340</v>
      </c>
      <c r="F15" s="32" t="s">
        <v>20</v>
      </c>
      <c r="G15" s="32" t="s">
        <v>1341</v>
      </c>
      <c r="H15" s="36" t="s">
        <v>34</v>
      </c>
    </row>
    <row r="16" spans="1:8" x14ac:dyDescent="0.35">
      <c r="A16" s="31" t="s">
        <v>572</v>
      </c>
      <c r="B16" s="31">
        <v>8</v>
      </c>
      <c r="C16" s="31"/>
      <c r="D16" s="31" t="s">
        <v>1342</v>
      </c>
      <c r="E16" s="31" t="s">
        <v>1343</v>
      </c>
      <c r="F16" s="31" t="s">
        <v>25</v>
      </c>
      <c r="G16" s="31" t="s">
        <v>1344</v>
      </c>
      <c r="H16" s="35" t="s">
        <v>60</v>
      </c>
    </row>
    <row r="17" spans="1:8" x14ac:dyDescent="0.35">
      <c r="A17" s="32" t="s">
        <v>572</v>
      </c>
      <c r="B17" s="32">
        <v>8</v>
      </c>
      <c r="C17" s="32"/>
      <c r="D17" s="32" t="s">
        <v>1342</v>
      </c>
      <c r="E17" s="32" t="s">
        <v>1345</v>
      </c>
      <c r="F17" s="32" t="s">
        <v>25</v>
      </c>
      <c r="G17" s="32" t="s">
        <v>1346</v>
      </c>
      <c r="H17" s="36" t="s">
        <v>60</v>
      </c>
    </row>
    <row r="18" spans="1:8" x14ac:dyDescent="0.35">
      <c r="A18" s="31" t="s">
        <v>572</v>
      </c>
      <c r="B18" s="31">
        <v>8</v>
      </c>
      <c r="C18" s="31"/>
      <c r="D18" s="31" t="s">
        <v>576</v>
      </c>
      <c r="E18" s="31" t="s">
        <v>1347</v>
      </c>
      <c r="F18" s="31" t="s">
        <v>18</v>
      </c>
      <c r="G18" s="31" t="s">
        <v>870</v>
      </c>
      <c r="H18" s="35" t="s">
        <v>60</v>
      </c>
    </row>
    <row r="19" spans="1:8" x14ac:dyDescent="0.35">
      <c r="A19" s="32" t="s">
        <v>572</v>
      </c>
      <c r="B19" s="32">
        <v>8</v>
      </c>
      <c r="C19" s="32"/>
      <c r="D19" s="32" t="s">
        <v>576</v>
      </c>
      <c r="E19" s="32" t="s">
        <v>1348</v>
      </c>
      <c r="F19" s="32" t="s">
        <v>25</v>
      </c>
      <c r="G19" s="32" t="s">
        <v>1344</v>
      </c>
      <c r="H19" s="36" t="s">
        <v>60</v>
      </c>
    </row>
    <row r="20" spans="1:8" x14ac:dyDescent="0.35">
      <c r="A20" s="31" t="s">
        <v>572</v>
      </c>
      <c r="B20" s="31">
        <v>8</v>
      </c>
      <c r="C20" s="31"/>
      <c r="D20" s="31" t="s">
        <v>1349</v>
      </c>
      <c r="E20" s="31" t="s">
        <v>1350</v>
      </c>
      <c r="F20" s="31" t="s">
        <v>18</v>
      </c>
      <c r="G20" s="31" t="s">
        <v>1351</v>
      </c>
      <c r="H20" s="35" t="s">
        <v>33</v>
      </c>
    </row>
    <row r="21" spans="1:8" x14ac:dyDescent="0.35">
      <c r="A21" s="32" t="s">
        <v>572</v>
      </c>
      <c r="B21" s="32">
        <v>8</v>
      </c>
      <c r="C21" s="32"/>
      <c r="D21" s="32" t="s">
        <v>1349</v>
      </c>
      <c r="E21" s="32" t="s">
        <v>1352</v>
      </c>
      <c r="F21" s="32" t="s">
        <v>25</v>
      </c>
      <c r="G21" s="32" t="s">
        <v>1353</v>
      </c>
      <c r="H21" s="36" t="s">
        <v>34</v>
      </c>
    </row>
    <row r="22" spans="1:8" ht="23.25" x14ac:dyDescent="0.35">
      <c r="A22" s="31" t="s">
        <v>572</v>
      </c>
      <c r="B22" s="31">
        <v>9</v>
      </c>
      <c r="C22" s="31" t="s">
        <v>249</v>
      </c>
      <c r="D22" s="31" t="s">
        <v>1190</v>
      </c>
      <c r="E22" s="31" t="s">
        <v>1354</v>
      </c>
      <c r="F22" s="31" t="s">
        <v>25</v>
      </c>
      <c r="G22" s="31" t="s">
        <v>1355</v>
      </c>
      <c r="H22" s="35" t="s">
        <v>60</v>
      </c>
    </row>
    <row r="23" spans="1:8" x14ac:dyDescent="0.35">
      <c r="A23" s="32" t="s">
        <v>572</v>
      </c>
      <c r="B23" s="32">
        <v>9</v>
      </c>
      <c r="C23" s="32"/>
      <c r="D23" s="32" t="s">
        <v>1356</v>
      </c>
      <c r="E23" s="32" t="s">
        <v>1357</v>
      </c>
      <c r="F23" s="32" t="s">
        <v>21</v>
      </c>
      <c r="G23" s="32" t="s">
        <v>1358</v>
      </c>
      <c r="H23" s="36" t="s">
        <v>33</v>
      </c>
    </row>
    <row r="24" spans="1:8" x14ac:dyDescent="0.35">
      <c r="A24" s="31" t="s">
        <v>572</v>
      </c>
      <c r="B24" s="31">
        <v>9</v>
      </c>
      <c r="C24" s="31"/>
      <c r="D24" s="31" t="s">
        <v>1359</v>
      </c>
      <c r="E24" s="31" t="s">
        <v>1360</v>
      </c>
      <c r="F24" s="31" t="s">
        <v>25</v>
      </c>
      <c r="G24" s="31" t="s">
        <v>1361</v>
      </c>
      <c r="H24" s="35" t="s">
        <v>60</v>
      </c>
    </row>
    <row r="25" spans="1:8" x14ac:dyDescent="0.35">
      <c r="A25" s="32" t="s">
        <v>572</v>
      </c>
      <c r="B25" s="32">
        <v>9</v>
      </c>
      <c r="C25" s="32"/>
      <c r="D25" s="32" t="s">
        <v>1362</v>
      </c>
      <c r="E25" s="32" t="s">
        <v>1363</v>
      </c>
      <c r="F25" s="32" t="s">
        <v>20</v>
      </c>
      <c r="G25" s="32" t="s">
        <v>1364</v>
      </c>
      <c r="H25" s="36" t="s">
        <v>60</v>
      </c>
    </row>
    <row r="26" spans="1:8" x14ac:dyDescent="0.35">
      <c r="A26" s="31" t="s">
        <v>572</v>
      </c>
      <c r="B26" s="31">
        <v>10</v>
      </c>
      <c r="C26" s="31" t="s">
        <v>283</v>
      </c>
      <c r="D26" s="31" t="s">
        <v>1365</v>
      </c>
      <c r="E26" s="31" t="s">
        <v>1366</v>
      </c>
      <c r="F26" s="31" t="s">
        <v>23</v>
      </c>
      <c r="G26" s="31" t="s">
        <v>1367</v>
      </c>
      <c r="H26" s="35" t="s">
        <v>33</v>
      </c>
    </row>
    <row r="27" spans="1:8" x14ac:dyDescent="0.35">
      <c r="A27" s="32" t="s">
        <v>572</v>
      </c>
      <c r="B27" s="32">
        <v>10</v>
      </c>
      <c r="C27" s="32"/>
      <c r="D27" s="32" t="s">
        <v>1368</v>
      </c>
      <c r="E27" s="32" t="s">
        <v>1369</v>
      </c>
      <c r="F27" s="32" t="s">
        <v>18</v>
      </c>
      <c r="G27" s="32" t="s">
        <v>870</v>
      </c>
      <c r="H27" s="36" t="s">
        <v>60</v>
      </c>
    </row>
    <row r="28" spans="1:8" x14ac:dyDescent="0.35">
      <c r="A28" s="31" t="s">
        <v>572</v>
      </c>
      <c r="B28" s="31">
        <v>10</v>
      </c>
      <c r="C28" s="31"/>
      <c r="D28" s="31" t="s">
        <v>1368</v>
      </c>
      <c r="E28" s="31" t="s">
        <v>1370</v>
      </c>
      <c r="F28" s="31" t="s">
        <v>23</v>
      </c>
      <c r="G28" s="31" t="s">
        <v>1371</v>
      </c>
      <c r="H28" s="35" t="s">
        <v>33</v>
      </c>
    </row>
    <row r="29" spans="1:8" x14ac:dyDescent="0.35">
      <c r="A29" s="32" t="s">
        <v>572</v>
      </c>
      <c r="B29" s="32">
        <v>10</v>
      </c>
      <c r="C29" s="32"/>
      <c r="D29" s="32" t="s">
        <v>1372</v>
      </c>
      <c r="E29" s="32" t="s">
        <v>1373</v>
      </c>
      <c r="F29" s="32" t="s">
        <v>25</v>
      </c>
      <c r="G29" s="32" t="s">
        <v>1374</v>
      </c>
      <c r="H29" s="36" t="s">
        <v>34</v>
      </c>
    </row>
    <row r="30" spans="1:8" x14ac:dyDescent="0.35">
      <c r="A30" s="31" t="s">
        <v>572</v>
      </c>
      <c r="B30" s="31">
        <v>10</v>
      </c>
      <c r="C30" s="31"/>
      <c r="D30" s="31" t="s">
        <v>1372</v>
      </c>
      <c r="E30" s="31" t="s">
        <v>1375</v>
      </c>
      <c r="F30" s="31" t="s">
        <v>25</v>
      </c>
      <c r="G30" s="31" t="s">
        <v>1376</v>
      </c>
      <c r="H30" s="35" t="s">
        <v>33</v>
      </c>
    </row>
    <row r="31" spans="1:8" ht="23.25" x14ac:dyDescent="0.35">
      <c r="A31" s="32" t="s">
        <v>572</v>
      </c>
      <c r="B31" s="32">
        <v>11</v>
      </c>
      <c r="C31" s="32" t="s">
        <v>304</v>
      </c>
      <c r="D31" s="32" t="s">
        <v>1377</v>
      </c>
      <c r="E31" s="32" t="s">
        <v>1378</v>
      </c>
      <c r="F31" s="32" t="s">
        <v>25</v>
      </c>
      <c r="G31" s="32" t="s">
        <v>1379</v>
      </c>
      <c r="H31" s="36" t="s">
        <v>60</v>
      </c>
    </row>
    <row r="32" spans="1:8" ht="23.25" x14ac:dyDescent="0.35">
      <c r="A32" s="31" t="s">
        <v>572</v>
      </c>
      <c r="B32" s="31">
        <v>12</v>
      </c>
      <c r="C32" s="31" t="s">
        <v>313</v>
      </c>
      <c r="D32" s="31" t="s">
        <v>1219</v>
      </c>
      <c r="E32" s="31" t="s">
        <v>1380</v>
      </c>
      <c r="F32" s="31" t="s">
        <v>25</v>
      </c>
      <c r="G32" s="31" t="s">
        <v>1381</v>
      </c>
      <c r="H32" s="35" t="s">
        <v>34</v>
      </c>
    </row>
    <row r="33" spans="1:8" x14ac:dyDescent="0.35">
      <c r="A33" s="32" t="s">
        <v>572</v>
      </c>
      <c r="B33" s="32">
        <v>12</v>
      </c>
      <c r="C33" s="32"/>
      <c r="D33" s="32" t="s">
        <v>1382</v>
      </c>
      <c r="E33" s="32" t="s">
        <v>1383</v>
      </c>
      <c r="F33" s="32" t="s">
        <v>25</v>
      </c>
      <c r="G33" s="32" t="s">
        <v>575</v>
      </c>
      <c r="H33" s="36" t="s">
        <v>60</v>
      </c>
    </row>
    <row r="34" spans="1:8" x14ac:dyDescent="0.35">
      <c r="A34" s="31" t="s">
        <v>572</v>
      </c>
      <c r="B34" s="31">
        <v>13</v>
      </c>
      <c r="C34" s="31" t="s">
        <v>329</v>
      </c>
      <c r="D34" s="31" t="s">
        <v>1384</v>
      </c>
      <c r="E34" s="31" t="s">
        <v>1385</v>
      </c>
      <c r="F34" s="31" t="s">
        <v>18</v>
      </c>
      <c r="G34" s="31" t="s">
        <v>1386</v>
      </c>
      <c r="H34" s="35" t="s">
        <v>34</v>
      </c>
    </row>
    <row r="35" spans="1:8" x14ac:dyDescent="0.35">
      <c r="A35" s="32" t="s">
        <v>572</v>
      </c>
      <c r="B35" s="32">
        <v>13</v>
      </c>
      <c r="C35" s="32"/>
      <c r="D35" s="32" t="s">
        <v>1387</v>
      </c>
      <c r="E35" s="32" t="s">
        <v>1388</v>
      </c>
      <c r="F35" s="32" t="s">
        <v>21</v>
      </c>
      <c r="G35" s="32" t="s">
        <v>1389</v>
      </c>
      <c r="H35" s="36" t="s">
        <v>60</v>
      </c>
    </row>
    <row r="36" spans="1:8" ht="23.25" x14ac:dyDescent="0.35">
      <c r="A36" s="31" t="s">
        <v>572</v>
      </c>
      <c r="B36" s="31">
        <v>14</v>
      </c>
      <c r="C36" s="31" t="s">
        <v>367</v>
      </c>
      <c r="D36" s="31"/>
      <c r="E36" s="31" t="s">
        <v>1390</v>
      </c>
      <c r="F36" s="31" t="s">
        <v>23</v>
      </c>
      <c r="G36" s="31" t="s">
        <v>1391</v>
      </c>
      <c r="H36" s="35" t="s">
        <v>34</v>
      </c>
    </row>
    <row r="37" spans="1:8" ht="23.25" x14ac:dyDescent="0.35">
      <c r="A37" s="32" t="s">
        <v>572</v>
      </c>
      <c r="B37" s="32">
        <v>15</v>
      </c>
      <c r="C37" s="32" t="s">
        <v>387</v>
      </c>
      <c r="D37" s="32" t="s">
        <v>793</v>
      </c>
      <c r="E37" s="32" t="s">
        <v>1392</v>
      </c>
      <c r="F37" s="32" t="s">
        <v>25</v>
      </c>
      <c r="G37" s="32" t="s">
        <v>1393</v>
      </c>
      <c r="H37" s="36" t="s">
        <v>60</v>
      </c>
    </row>
    <row r="38" spans="1:8" x14ac:dyDescent="0.35">
      <c r="A38" s="31" t="s">
        <v>572</v>
      </c>
      <c r="B38" s="31">
        <v>15</v>
      </c>
      <c r="C38" s="31"/>
      <c r="D38" s="31" t="s">
        <v>394</v>
      </c>
      <c r="E38" s="31" t="s">
        <v>1394</v>
      </c>
      <c r="F38" s="31" t="s">
        <v>19</v>
      </c>
      <c r="G38" s="31" t="s">
        <v>1395</v>
      </c>
      <c r="H38" s="35" t="s">
        <v>33</v>
      </c>
    </row>
    <row r="39" spans="1:8" x14ac:dyDescent="0.35">
      <c r="A39" s="32" t="s">
        <v>572</v>
      </c>
      <c r="B39" s="32">
        <v>15</v>
      </c>
      <c r="C39" s="32"/>
      <c r="D39" s="32" t="s">
        <v>397</v>
      </c>
      <c r="E39" s="32" t="s">
        <v>1396</v>
      </c>
      <c r="F39" s="32" t="s">
        <v>25</v>
      </c>
      <c r="G39" s="32" t="s">
        <v>1397</v>
      </c>
      <c r="H39" s="36" t="s">
        <v>34</v>
      </c>
    </row>
    <row r="40" spans="1:8" x14ac:dyDescent="0.35">
      <c r="A40" s="31" t="s">
        <v>572</v>
      </c>
      <c r="B40" s="31">
        <v>15</v>
      </c>
      <c r="C40" s="31"/>
      <c r="D40" s="31" t="s">
        <v>403</v>
      </c>
      <c r="E40" s="31" t="s">
        <v>1398</v>
      </c>
      <c r="F40" s="31" t="s">
        <v>21</v>
      </c>
      <c r="G40" s="31" t="s">
        <v>1399</v>
      </c>
      <c r="H40" s="35" t="s">
        <v>60</v>
      </c>
    </row>
    <row r="41" spans="1:8" x14ac:dyDescent="0.35">
      <c r="A41" s="32" t="s">
        <v>572</v>
      </c>
      <c r="B41" s="32">
        <v>15</v>
      </c>
      <c r="C41" s="32"/>
      <c r="D41" s="32" t="s">
        <v>403</v>
      </c>
      <c r="E41" s="32" t="s">
        <v>1400</v>
      </c>
      <c r="F41" s="32" t="s">
        <v>25</v>
      </c>
      <c r="G41" s="32" t="s">
        <v>1401</v>
      </c>
      <c r="H41" s="36" t="s">
        <v>34</v>
      </c>
    </row>
    <row r="42" spans="1:8" ht="23.25" x14ac:dyDescent="0.35">
      <c r="A42" s="31" t="s">
        <v>572</v>
      </c>
      <c r="B42" s="31">
        <v>16</v>
      </c>
      <c r="C42" s="31" t="s">
        <v>417</v>
      </c>
      <c r="D42" s="31"/>
      <c r="E42" s="31" t="s">
        <v>1402</v>
      </c>
      <c r="F42" s="31" t="s">
        <v>25</v>
      </c>
      <c r="G42" s="31" t="s">
        <v>1403</v>
      </c>
      <c r="H42" s="35" t="s">
        <v>60</v>
      </c>
    </row>
    <row r="43" spans="1:8" x14ac:dyDescent="0.35">
      <c r="A43" s="32" t="s">
        <v>572</v>
      </c>
      <c r="B43" s="32">
        <v>16</v>
      </c>
      <c r="C43" s="32"/>
      <c r="D43" s="32" t="s">
        <v>1404</v>
      </c>
      <c r="E43" s="32" t="s">
        <v>1405</v>
      </c>
      <c r="F43" s="32" t="s">
        <v>25</v>
      </c>
      <c r="G43" s="32" t="s">
        <v>1406</v>
      </c>
      <c r="H43" s="36" t="s">
        <v>60</v>
      </c>
    </row>
    <row r="44" spans="1:8" x14ac:dyDescent="0.35">
      <c r="A44" s="31" t="s">
        <v>572</v>
      </c>
      <c r="B44" s="31">
        <v>16</v>
      </c>
      <c r="C44" s="31"/>
      <c r="D44" s="31" t="s">
        <v>1407</v>
      </c>
      <c r="E44" s="31" t="s">
        <v>1408</v>
      </c>
      <c r="F44" s="31" t="s">
        <v>18</v>
      </c>
      <c r="G44" s="31" t="s">
        <v>573</v>
      </c>
      <c r="H44" s="35" t="s">
        <v>33</v>
      </c>
    </row>
    <row r="45" spans="1:8" x14ac:dyDescent="0.35">
      <c r="A45" s="32" t="s">
        <v>572</v>
      </c>
      <c r="B45" s="32">
        <v>16</v>
      </c>
      <c r="C45" s="32"/>
      <c r="D45" s="32" t="s">
        <v>1409</v>
      </c>
      <c r="E45" s="32" t="s">
        <v>1410</v>
      </c>
      <c r="F45" s="32" t="s">
        <v>25</v>
      </c>
      <c r="G45" s="32" t="s">
        <v>1411</v>
      </c>
      <c r="H45" s="36" t="s">
        <v>33</v>
      </c>
    </row>
    <row r="46" spans="1:8" x14ac:dyDescent="0.35">
      <c r="A46" s="31" t="s">
        <v>572</v>
      </c>
      <c r="B46" s="31">
        <v>18</v>
      </c>
      <c r="C46" s="31" t="s">
        <v>472</v>
      </c>
      <c r="D46" s="31" t="s">
        <v>1269</v>
      </c>
      <c r="E46" s="31" t="s">
        <v>1412</v>
      </c>
      <c r="F46" s="31" t="s">
        <v>20</v>
      </c>
      <c r="G46" s="31" t="s">
        <v>1413</v>
      </c>
      <c r="H46" s="35" t="s">
        <v>34</v>
      </c>
    </row>
    <row r="47" spans="1:8" x14ac:dyDescent="0.35">
      <c r="A47" s="32" t="s">
        <v>572</v>
      </c>
      <c r="B47" s="32">
        <v>19</v>
      </c>
      <c r="C47" s="32" t="s">
        <v>496</v>
      </c>
      <c r="D47" s="32" t="s">
        <v>571</v>
      </c>
      <c r="E47" s="32" t="s">
        <v>1414</v>
      </c>
      <c r="F47" s="32" t="s">
        <v>21</v>
      </c>
      <c r="G47" s="32" t="s">
        <v>1415</v>
      </c>
      <c r="H47" s="36" t="s">
        <v>60</v>
      </c>
    </row>
    <row r="48" spans="1:8" x14ac:dyDescent="0.35">
      <c r="A48" s="31" t="s">
        <v>572</v>
      </c>
      <c r="B48" s="31">
        <v>20</v>
      </c>
      <c r="C48" s="31" t="s">
        <v>519</v>
      </c>
      <c r="D48" s="31" t="s">
        <v>1416</v>
      </c>
      <c r="E48" s="31" t="s">
        <v>1417</v>
      </c>
      <c r="F48" s="31" t="s">
        <v>25</v>
      </c>
      <c r="G48" s="31" t="s">
        <v>1418</v>
      </c>
      <c r="H48" s="35" t="s">
        <v>60</v>
      </c>
    </row>
    <row r="49" spans="1:8" x14ac:dyDescent="0.35">
      <c r="A49" s="32" t="s">
        <v>572</v>
      </c>
      <c r="B49" s="32">
        <v>20</v>
      </c>
      <c r="C49" s="32"/>
      <c r="D49" s="32" t="s">
        <v>835</v>
      </c>
      <c r="E49" s="32" t="s">
        <v>1419</v>
      </c>
      <c r="F49" s="32" t="s">
        <v>25</v>
      </c>
      <c r="G49" s="32" t="s">
        <v>1420</v>
      </c>
      <c r="H49" s="36" t="s">
        <v>34</v>
      </c>
    </row>
  </sheetData>
  <autoFilter ref="A1:H49" xr:uid="{A40E2ACA-DA98-4C69-A4B8-9D71C4323789}"/>
  <dataValidations count="2">
    <dataValidation type="list" allowBlank="1" showErrorMessage="1" sqref="F2:F3" xr:uid="{4D95343E-D3AB-490C-A90A-AD2C3203726C}">
      <formula1>"material,move_legality,piece_placement,piece_relations,geometry,reasoning,other/unsure"</formula1>
      <formula2>0</formula2>
    </dataValidation>
    <dataValidation type="list" allowBlank="1" showErrorMessage="1" sqref="A2:A3" xr:uid="{6BF3224F-B0BB-4BAF-8EDB-510682237AB1}">
      <formula1>"Deepseek V3.2,Kimi K2.5,Qwen 3.5 397B A17B,Llama 4 Maverick,Opus 4.6,GPT 5.4,Gemini 3.1 Pro"</formula1>
      <formula2>0</formula2>
    </dataValidation>
  </dataValidations>
  <pageMargins left="0.7" right="0.7" top="0.75" bottom="0.75" header="0.511811023622047" footer="0.511811023622047"/>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709B-CB64-42EB-97FB-8CAB0097E321}">
  <sheetPr>
    <tabColor theme="8"/>
  </sheetPr>
  <dimension ref="A1:I49"/>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37" t="s">
        <v>6</v>
      </c>
      <c r="B1" s="10" t="s">
        <v>7</v>
      </c>
      <c r="C1" s="10" t="s">
        <v>8</v>
      </c>
      <c r="D1" s="10" t="s">
        <v>9</v>
      </c>
      <c r="E1" s="10" t="s">
        <v>10</v>
      </c>
      <c r="F1" s="10" t="s">
        <v>11</v>
      </c>
      <c r="G1" s="10" t="s">
        <v>12</v>
      </c>
      <c r="H1" s="10" t="s">
        <v>13</v>
      </c>
      <c r="I1" s="10" t="s">
        <v>14</v>
      </c>
    </row>
    <row r="2" spans="1:9" ht="13.15" x14ac:dyDescent="0.35">
      <c r="A2" s="21">
        <v>1</v>
      </c>
      <c r="B2" s="16">
        <f>'Data GEMINI'!B2</f>
        <v>1</v>
      </c>
      <c r="C2" s="22" t="str">
        <f>'Data GEMINI'!F2</f>
        <v>material</v>
      </c>
      <c r="D2" s="16" t="str">
        <f>LOWER(TRIM('Data GEMINI'!H2))</f>
        <v>minor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5</v>
      </c>
      <c r="F2" s="23">
        <f>IF(D2="major",Parameters!$B$14,IF(D2="medium",Parameters!$B$15,Parameters!$B$16))</f>
        <v>1</v>
      </c>
      <c r="G2" s="16">
        <f t="shared" ref="G2" si="0">COUNTIFS($B$2:$B$12,B2,$C$2:$C$12,C2,$F$2:$F$12,"&gt;"&amp;F2)+COUNTIFS($B$2:$B$12,B2,$C$2:$C$12,C2,$F$2:$F$12,F2,$A$2:$A$12,"&lt;="&amp;A2)</f>
        <v>1</v>
      </c>
      <c r="H2" s="24">
        <f>Parameters!$B$20^(G2-1)</f>
        <v>1</v>
      </c>
      <c r="I2" s="18">
        <f>E2*F2*H2</f>
        <v>5</v>
      </c>
    </row>
    <row r="3" spans="1:9" ht="13.15" x14ac:dyDescent="0.35">
      <c r="A3" s="21">
        <v>2</v>
      </c>
      <c r="B3" s="16">
        <f>'Data GEMINI'!B3</f>
        <v>2</v>
      </c>
      <c r="C3" s="22" t="str">
        <f>'Data GEMINI'!F3</f>
        <v>reasoning</v>
      </c>
      <c r="D3" s="16" t="str">
        <f>LOWER(TRIM('Data GEMINI'!H3))</f>
        <v>medium</v>
      </c>
      <c r="E3" s="23">
        <f>IF(ISNUMBER(SEARCH("move_legality",C3)),Parameters!$B$4,IF(ISNUMBER(SEARCH("piece_placement",C3)),Parameters!$B$5,IF(ISNUMBER(SEARCH("material",C3)),Parameters!$B$6,IF(ISNUMBER(SEARCH("piece_relations",C3)),Parameters!$B$7,IF(ISNUMBER(SEARCH("geometry",C3)),Parameters!$B$8,IF(ISNUMBER(SEARCH("reasoning",C3)),Parameters!$B$9,Parameters!$B$10))))))</f>
        <v>2</v>
      </c>
      <c r="F3" s="23">
        <f>IF(D3="major",Parameters!$B$14,IF(D3="medium",Parameters!$B$15,Parameters!$B$16))</f>
        <v>2</v>
      </c>
      <c r="G3" s="16">
        <f t="shared" ref="G3:G49" si="1">COUNTIFS($B$2:$B$12,B3,$C$2:$C$12,C3,$F$2:$F$12,"&gt;"&amp;F3)+COUNTIFS($B$2:$B$12,B3,$C$2:$C$12,C3,$F$2:$F$12,F3,$A$2:$A$12,"&lt;="&amp;A3)</f>
        <v>1</v>
      </c>
      <c r="H3" s="24">
        <f>Parameters!$B$20^(G3-1)</f>
        <v>1</v>
      </c>
      <c r="I3" s="18">
        <f t="shared" ref="I3:I49" si="2">E3*F3*H3</f>
        <v>4</v>
      </c>
    </row>
    <row r="4" spans="1:9" ht="13.15" x14ac:dyDescent="0.35">
      <c r="A4" s="21">
        <v>3</v>
      </c>
      <c r="B4" s="16">
        <f>'Data GEMINI'!B4</f>
        <v>2</v>
      </c>
      <c r="C4" s="22" t="str">
        <f>'Data GEMINI'!F4</f>
        <v>material</v>
      </c>
      <c r="D4" s="16" t="str">
        <f>LOWER(TRIM('Data GEMINI'!H4))</f>
        <v>minor</v>
      </c>
      <c r="E4" s="23">
        <f>IF(ISNUMBER(SEARCH("move_legality",C4)),Parameters!$B$4,IF(ISNUMBER(SEARCH("piece_placement",C4)),Parameters!$B$5,IF(ISNUMBER(SEARCH("material",C4)),Parameters!$B$6,IF(ISNUMBER(SEARCH("piece_relations",C4)),Parameters!$B$7,IF(ISNUMBER(SEARCH("geometry",C4)),Parameters!$B$8,IF(ISNUMBER(SEARCH("reasoning",C4)),Parameters!$B$9,Parameters!$B$10))))))</f>
        <v>5</v>
      </c>
      <c r="F4" s="23">
        <f>IF(D4="major",Parameters!$B$14,IF(D4="medium",Parameters!$B$15,Parameters!$B$16))</f>
        <v>1</v>
      </c>
      <c r="G4" s="16">
        <f t="shared" si="1"/>
        <v>1</v>
      </c>
      <c r="H4" s="24">
        <f>Parameters!$B$20^(G4-1)</f>
        <v>1</v>
      </c>
      <c r="I4" s="18">
        <f t="shared" si="2"/>
        <v>5</v>
      </c>
    </row>
    <row r="5" spans="1:9" ht="13.15" x14ac:dyDescent="0.35">
      <c r="A5" s="21">
        <v>4</v>
      </c>
      <c r="B5" s="16">
        <f>'Data GEMINI'!B5</f>
        <v>3</v>
      </c>
      <c r="C5" s="22" t="str">
        <f>'Data GEMINI'!F5</f>
        <v>reasoning</v>
      </c>
      <c r="D5" s="16" t="str">
        <f>LOWER(TRIM('Data GEMINI'!H5))</f>
        <v>minor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2</v>
      </c>
      <c r="F5" s="23">
        <f>IF(D5="major",Parameters!$B$14,IF(D5="medium",Parameters!$B$15,Parameters!$B$16))</f>
        <v>1</v>
      </c>
      <c r="G5" s="16">
        <f t="shared" si="1"/>
        <v>1</v>
      </c>
      <c r="H5" s="24">
        <f>Parameters!$B$20^(G5-1)</f>
        <v>1</v>
      </c>
      <c r="I5" s="18">
        <f t="shared" si="2"/>
        <v>2</v>
      </c>
    </row>
    <row r="6" spans="1:9" ht="13.15" x14ac:dyDescent="0.35">
      <c r="A6" s="21">
        <v>5</v>
      </c>
      <c r="B6" s="16">
        <f>'Data GEMINI'!B6</f>
        <v>3</v>
      </c>
      <c r="C6" s="22" t="str">
        <f>'Data GEMINI'!F6</f>
        <v>reasoning</v>
      </c>
      <c r="D6" s="16" t="str">
        <f>LOWER(TRIM('Data GEMINI'!H6))</f>
        <v>minor</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1</v>
      </c>
      <c r="G6" s="16">
        <f t="shared" si="1"/>
        <v>2</v>
      </c>
      <c r="H6" s="24">
        <f>Parameters!$B$20^(G6-1)</f>
        <v>0.7</v>
      </c>
      <c r="I6" s="18">
        <f t="shared" si="2"/>
        <v>1.4</v>
      </c>
    </row>
    <row r="7" spans="1:9" ht="13.15" x14ac:dyDescent="0.35">
      <c r="A7" s="21">
        <v>6</v>
      </c>
      <c r="B7" s="16">
        <f>'Data GEMINI'!B7</f>
        <v>3</v>
      </c>
      <c r="C7" s="22" t="str">
        <f>'Data GEMINI'!F7</f>
        <v>reasoning</v>
      </c>
      <c r="D7" s="16" t="str">
        <f>LOWER(TRIM('Data GEMINI'!H7))</f>
        <v>minor</v>
      </c>
      <c r="E7" s="23">
        <f>IF(ISNUMBER(SEARCH("move_legality",C7)),Parameters!$B$4,IF(ISNUMBER(SEARCH("piece_placement",C7)),Parameters!$B$5,IF(ISNUMBER(SEARCH("material",C7)),Parameters!$B$6,IF(ISNUMBER(SEARCH("piece_relations",C7)),Parameters!$B$7,IF(ISNUMBER(SEARCH("geometry",C7)),Parameters!$B$8,IF(ISNUMBER(SEARCH("reasoning",C7)),Parameters!$B$9,Parameters!$B$10))))))</f>
        <v>2</v>
      </c>
      <c r="F7" s="23">
        <f>IF(D7="major",Parameters!$B$14,IF(D7="medium",Parameters!$B$15,Parameters!$B$16))</f>
        <v>1</v>
      </c>
      <c r="G7" s="16">
        <f t="shared" si="1"/>
        <v>3</v>
      </c>
      <c r="H7" s="24">
        <f>Parameters!$B$20^(G7-1)</f>
        <v>0.48999999999999994</v>
      </c>
      <c r="I7" s="18">
        <f t="shared" si="2"/>
        <v>0.97999999999999987</v>
      </c>
    </row>
    <row r="8" spans="1:9" ht="13.15" x14ac:dyDescent="0.35">
      <c r="A8" s="21">
        <v>7</v>
      </c>
      <c r="B8" s="16">
        <f>'Data GEMINI'!B8</f>
        <v>3</v>
      </c>
      <c r="C8" s="22" t="str">
        <f>'Data GEMINI'!F8</f>
        <v>move_legality</v>
      </c>
      <c r="D8" s="16" t="str">
        <f>LOWER(TRIM('Data GEMINI'!H8))</f>
        <v>medium</v>
      </c>
      <c r="E8" s="23">
        <f>IF(ISNUMBER(SEARCH("move_legality",C8)),Parameters!$B$4,IF(ISNUMBER(SEARCH("piece_placement",C8)),Parameters!$B$5,IF(ISNUMBER(SEARCH("material",C8)),Parameters!$B$6,IF(ISNUMBER(SEARCH("piece_relations",C8)),Parameters!$B$7,IF(ISNUMBER(SEARCH("geometry",C8)),Parameters!$B$8,IF(ISNUMBER(SEARCH("reasoning",C8)),Parameters!$B$9,Parameters!$B$10))))))</f>
        <v>8</v>
      </c>
      <c r="F8" s="23">
        <f>IF(D8="major",Parameters!$B$14,IF(D8="medium",Parameters!$B$15,Parameters!$B$16))</f>
        <v>2</v>
      </c>
      <c r="G8" s="16">
        <f t="shared" si="1"/>
        <v>1</v>
      </c>
      <c r="H8" s="24">
        <f>Parameters!$B$20^(G8-1)</f>
        <v>1</v>
      </c>
      <c r="I8" s="18">
        <f t="shared" si="2"/>
        <v>16</v>
      </c>
    </row>
    <row r="9" spans="1:9" ht="13.15" x14ac:dyDescent="0.35">
      <c r="A9" s="21">
        <v>8</v>
      </c>
      <c r="B9" s="16">
        <f>'Data GEMINI'!B9</f>
        <v>3</v>
      </c>
      <c r="C9" s="22" t="str">
        <f>'Data GEMINI'!F9</f>
        <v>material</v>
      </c>
      <c r="D9" s="16" t="str">
        <f>LOWER(TRIM('Data GEMINI'!H9))</f>
        <v>medium</v>
      </c>
      <c r="E9" s="23">
        <f>IF(ISNUMBER(SEARCH("move_legality",C9)),Parameters!$B$4,IF(ISNUMBER(SEARCH("piece_placement",C9)),Parameters!$B$5,IF(ISNUMBER(SEARCH("material",C9)),Parameters!$B$6,IF(ISNUMBER(SEARCH("piece_relations",C9)),Parameters!$B$7,IF(ISNUMBER(SEARCH("geometry",C9)),Parameters!$B$8,IF(ISNUMBER(SEARCH("reasoning",C9)),Parameters!$B$9,Parameters!$B$10))))))</f>
        <v>5</v>
      </c>
      <c r="F9" s="23">
        <f>IF(D9="major",Parameters!$B$14,IF(D9="medium",Parameters!$B$15,Parameters!$B$16))</f>
        <v>2</v>
      </c>
      <c r="G9" s="16">
        <f t="shared" si="1"/>
        <v>1</v>
      </c>
      <c r="H9" s="24">
        <f>Parameters!$B$20^(G9-1)</f>
        <v>1</v>
      </c>
      <c r="I9" s="18">
        <f t="shared" si="2"/>
        <v>10</v>
      </c>
    </row>
    <row r="10" spans="1:9" ht="13.15" x14ac:dyDescent="0.35">
      <c r="A10" s="21">
        <v>9</v>
      </c>
      <c r="B10" s="16">
        <f>'Data GEMINI'!B10</f>
        <v>4</v>
      </c>
      <c r="C10" s="22" t="str">
        <f>'Data GEMINI'!F10</f>
        <v>move_legality</v>
      </c>
      <c r="D10" s="16" t="str">
        <f>LOWER(TRIM('Data GEMINI'!H10))</f>
        <v>minor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8</v>
      </c>
      <c r="F10" s="23">
        <f>IF(D10="major",Parameters!$B$14,IF(D10="medium",Parameters!$B$15,Parameters!$B$16))</f>
        <v>1</v>
      </c>
      <c r="G10" s="16">
        <f t="shared" si="1"/>
        <v>1</v>
      </c>
      <c r="H10" s="24">
        <f>Parameters!$B$20^(G10-1)</f>
        <v>1</v>
      </c>
      <c r="I10" s="18">
        <f t="shared" si="2"/>
        <v>8</v>
      </c>
    </row>
    <row r="11" spans="1:9" ht="13.15" x14ac:dyDescent="0.35">
      <c r="A11" s="21">
        <v>10</v>
      </c>
      <c r="B11" s="16">
        <f>'Data GEMINI'!B11</f>
        <v>5</v>
      </c>
      <c r="C11" s="22" t="str">
        <f>'Data GEMINI'!F11</f>
        <v>material</v>
      </c>
      <c r="D11" s="16" t="str">
        <f>LOWER(TRIM('Data GEMINI'!H11))</f>
        <v>medium</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5</v>
      </c>
      <c r="F11" s="23">
        <f>IF(D11="major",Parameters!$B$14,IF(D11="medium",Parameters!$B$15,Parameters!$B$16))</f>
        <v>2</v>
      </c>
      <c r="G11" s="16">
        <f t="shared" si="1"/>
        <v>1</v>
      </c>
      <c r="H11" s="24">
        <f>Parameters!$B$20^(G11-1)</f>
        <v>1</v>
      </c>
      <c r="I11" s="18">
        <f t="shared" si="2"/>
        <v>10</v>
      </c>
    </row>
    <row r="12" spans="1:9" ht="13.15" x14ac:dyDescent="0.35">
      <c r="A12" s="21">
        <v>11</v>
      </c>
      <c r="B12" s="16">
        <f>'Data GEMINI'!B12</f>
        <v>5</v>
      </c>
      <c r="C12" s="22" t="str">
        <f>'Data GEMINI'!F12</f>
        <v>piece_relations</v>
      </c>
      <c r="D12" s="16" t="str">
        <f>LOWER(TRIM('Data GEMINI'!H12))</f>
        <v>medium</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4</v>
      </c>
      <c r="F12" s="23">
        <f>IF(D12="major",Parameters!$B$14,IF(D12="medium",Parameters!$B$15,Parameters!$B$16))</f>
        <v>2</v>
      </c>
      <c r="G12" s="16">
        <f t="shared" si="1"/>
        <v>1</v>
      </c>
      <c r="H12" s="24">
        <f>Parameters!$B$20^(G12-1)</f>
        <v>1</v>
      </c>
      <c r="I12" s="18">
        <f t="shared" si="2"/>
        <v>8</v>
      </c>
    </row>
    <row r="13" spans="1:9" ht="13.15" x14ac:dyDescent="0.35">
      <c r="A13" s="21">
        <v>12</v>
      </c>
      <c r="B13" s="16">
        <f>'Data GEMINI'!B13</f>
        <v>5</v>
      </c>
      <c r="C13" s="22" t="str">
        <f>'Data GEMINI'!F13</f>
        <v>material</v>
      </c>
      <c r="D13" s="16" t="str">
        <f>LOWER(TRIM('Data GEMINI'!H13))</f>
        <v>medium</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5</v>
      </c>
      <c r="F13" s="23">
        <f>IF(D13="major",Parameters!$B$14,IF(D13="medium",Parameters!$B$15,Parameters!$B$16))</f>
        <v>2</v>
      </c>
      <c r="G13" s="16">
        <f t="shared" si="1"/>
        <v>1</v>
      </c>
      <c r="H13" s="24">
        <f>Parameters!$B$20^(G13-1)</f>
        <v>1</v>
      </c>
      <c r="I13" s="18">
        <f t="shared" si="2"/>
        <v>10</v>
      </c>
    </row>
    <row r="14" spans="1:9" ht="13.15" x14ac:dyDescent="0.35">
      <c r="A14" s="21">
        <v>13</v>
      </c>
      <c r="B14" s="16">
        <f>'Data GEMINI'!B14</f>
        <v>7</v>
      </c>
      <c r="C14" s="22" t="str">
        <f>'Data GEMINI'!F14</f>
        <v>reasoning</v>
      </c>
      <c r="D14" s="16" t="str">
        <f>LOWER(TRIM('Data GEMINI'!H14))</f>
        <v>minor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2</v>
      </c>
      <c r="F14" s="23">
        <f>IF(D14="major",Parameters!$B$14,IF(D14="medium",Parameters!$B$15,Parameters!$B$16))</f>
        <v>1</v>
      </c>
      <c r="G14" s="16">
        <f t="shared" si="1"/>
        <v>0</v>
      </c>
      <c r="H14" s="24">
        <f>Parameters!$B$20^(G14-1)</f>
        <v>1.4285714285714286</v>
      </c>
      <c r="I14" s="18">
        <f t="shared" si="2"/>
        <v>2.8571428571428572</v>
      </c>
    </row>
    <row r="15" spans="1:9" ht="13.15" x14ac:dyDescent="0.35">
      <c r="A15" s="21">
        <v>14</v>
      </c>
      <c r="B15" s="16">
        <f>'Data GEMINI'!B15</f>
        <v>8</v>
      </c>
      <c r="C15" s="22" t="str">
        <f>'Data GEMINI'!F15</f>
        <v>material</v>
      </c>
      <c r="D15" s="16" t="str">
        <f>LOWER(TRIM('Data GEMINI'!H15))</f>
        <v>medium</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5</v>
      </c>
      <c r="F15" s="23">
        <f>IF(D15="major",Parameters!$B$14,IF(D15="medium",Parameters!$B$15,Parameters!$B$16))</f>
        <v>2</v>
      </c>
      <c r="G15" s="16">
        <f t="shared" si="1"/>
        <v>0</v>
      </c>
      <c r="H15" s="24">
        <f>Parameters!$B$20^(G15-1)</f>
        <v>1.4285714285714286</v>
      </c>
      <c r="I15" s="18">
        <f t="shared" si="2"/>
        <v>14.285714285714286</v>
      </c>
    </row>
    <row r="16" spans="1:9" ht="13.15" x14ac:dyDescent="0.35">
      <c r="A16" s="21">
        <v>15</v>
      </c>
      <c r="B16" s="16">
        <f>'Data GEMINI'!B16</f>
        <v>8</v>
      </c>
      <c r="C16" s="22" t="str">
        <f>'Data GEMINI'!F16</f>
        <v>reasoning</v>
      </c>
      <c r="D16" s="16" t="str">
        <f>LOWER(TRIM('Data GEMINI'!H16))</f>
        <v>minor</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2</v>
      </c>
      <c r="F16" s="23">
        <f>IF(D16="major",Parameters!$B$14,IF(D16="medium",Parameters!$B$15,Parameters!$B$16))</f>
        <v>1</v>
      </c>
      <c r="G16" s="16">
        <f t="shared" si="1"/>
        <v>0</v>
      </c>
      <c r="H16" s="24">
        <f>Parameters!$B$20^(G16-1)</f>
        <v>1.4285714285714286</v>
      </c>
      <c r="I16" s="18">
        <f t="shared" si="2"/>
        <v>2.8571428571428572</v>
      </c>
    </row>
    <row r="17" spans="1:9" ht="13.15" x14ac:dyDescent="0.35">
      <c r="A17" s="21">
        <v>16</v>
      </c>
      <c r="B17" s="16">
        <f>'Data GEMINI'!B17</f>
        <v>8</v>
      </c>
      <c r="C17" s="22" t="str">
        <f>'Data GEMINI'!F17</f>
        <v>reasoning</v>
      </c>
      <c r="D17" s="16" t="str">
        <f>LOWER(TRIM('Data GEMINI'!H17))</f>
        <v>minor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2</v>
      </c>
      <c r="F17" s="23">
        <f>IF(D17="major",Parameters!$B$14,IF(D17="medium",Parameters!$B$15,Parameters!$B$16))</f>
        <v>1</v>
      </c>
      <c r="G17" s="16">
        <f t="shared" si="1"/>
        <v>0</v>
      </c>
      <c r="H17" s="24">
        <f>Parameters!$B$20^(G17-1)</f>
        <v>1.4285714285714286</v>
      </c>
      <c r="I17" s="18">
        <f t="shared" si="2"/>
        <v>2.8571428571428572</v>
      </c>
    </row>
    <row r="18" spans="1:9" ht="13.15" x14ac:dyDescent="0.35">
      <c r="A18" s="21">
        <v>17</v>
      </c>
      <c r="B18" s="16">
        <f>'Data GEMINI'!B18</f>
        <v>8</v>
      </c>
      <c r="C18" s="22" t="str">
        <f>'Data GEMINI'!F18</f>
        <v>move_legality</v>
      </c>
      <c r="D18" s="16" t="str">
        <f>LOWER(TRIM('Data GEMINI'!H18))</f>
        <v>minor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8</v>
      </c>
      <c r="F18" s="23">
        <f>IF(D18="major",Parameters!$B$14,IF(D18="medium",Parameters!$B$15,Parameters!$B$16))</f>
        <v>1</v>
      </c>
      <c r="G18" s="16">
        <f t="shared" si="1"/>
        <v>0</v>
      </c>
      <c r="H18" s="24">
        <f>Parameters!$B$20^(G18-1)</f>
        <v>1.4285714285714286</v>
      </c>
      <c r="I18" s="18">
        <f t="shared" si="2"/>
        <v>11.428571428571429</v>
      </c>
    </row>
    <row r="19" spans="1:9" ht="13.15" x14ac:dyDescent="0.35">
      <c r="A19" s="21">
        <v>18</v>
      </c>
      <c r="B19" s="16">
        <f>'Data GEMINI'!B19</f>
        <v>8</v>
      </c>
      <c r="C19" s="22" t="str">
        <f>'Data GEMINI'!F19</f>
        <v>reasoning</v>
      </c>
      <c r="D19" s="16" t="str">
        <f>LOWER(TRIM('Data GEMINI'!H19))</f>
        <v>minor</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2</v>
      </c>
      <c r="F19" s="23">
        <f>IF(D19="major",Parameters!$B$14,IF(D19="medium",Parameters!$B$15,Parameters!$B$16))</f>
        <v>1</v>
      </c>
      <c r="G19" s="16">
        <f t="shared" si="1"/>
        <v>0</v>
      </c>
      <c r="H19" s="24">
        <f>Parameters!$B$20^(G19-1)</f>
        <v>1.4285714285714286</v>
      </c>
      <c r="I19" s="18">
        <f t="shared" si="2"/>
        <v>2.8571428571428572</v>
      </c>
    </row>
    <row r="20" spans="1:9" ht="13.15" x14ac:dyDescent="0.35">
      <c r="A20" s="21">
        <v>19</v>
      </c>
      <c r="B20" s="16">
        <f>'Data GEMINI'!B20</f>
        <v>8</v>
      </c>
      <c r="C20" s="22" t="str">
        <f>'Data GEMINI'!F20</f>
        <v>move_legality</v>
      </c>
      <c r="D20" s="16" t="str">
        <f>LOWER(TRIM('Data GEMINI'!H20))</f>
        <v>major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8</v>
      </c>
      <c r="F20" s="23">
        <f>IF(D20="major",Parameters!$B$14,IF(D20="medium",Parameters!$B$15,Parameters!$B$16))</f>
        <v>3</v>
      </c>
      <c r="G20" s="16">
        <f t="shared" si="1"/>
        <v>0</v>
      </c>
      <c r="H20" s="24">
        <f>Parameters!$B$20^(G20-1)</f>
        <v>1.4285714285714286</v>
      </c>
      <c r="I20" s="18">
        <f t="shared" si="2"/>
        <v>34.285714285714285</v>
      </c>
    </row>
    <row r="21" spans="1:9" ht="13.15" x14ac:dyDescent="0.35">
      <c r="A21" s="21">
        <v>20</v>
      </c>
      <c r="B21" s="16">
        <f>'Data GEMINI'!B21</f>
        <v>8</v>
      </c>
      <c r="C21" s="22" t="str">
        <f>'Data GEMINI'!F21</f>
        <v>reasoning</v>
      </c>
      <c r="D21" s="16" t="str">
        <f>LOWER(TRIM('Data GEMINI'!H21))</f>
        <v>medium</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2</v>
      </c>
      <c r="F21" s="23">
        <f>IF(D21="major",Parameters!$B$14,IF(D21="medium",Parameters!$B$15,Parameters!$B$16))</f>
        <v>2</v>
      </c>
      <c r="G21" s="16">
        <f t="shared" si="1"/>
        <v>0</v>
      </c>
      <c r="H21" s="24">
        <f>Parameters!$B$20^(G21-1)</f>
        <v>1.4285714285714286</v>
      </c>
      <c r="I21" s="18">
        <f t="shared" si="2"/>
        <v>5.7142857142857144</v>
      </c>
    </row>
    <row r="22" spans="1:9" ht="13.15" x14ac:dyDescent="0.35">
      <c r="A22" s="21">
        <v>21</v>
      </c>
      <c r="B22" s="16">
        <f>'Data GEMINI'!B22</f>
        <v>9</v>
      </c>
      <c r="C22" s="22" t="str">
        <f>'Data GEMINI'!F22</f>
        <v>reasoning</v>
      </c>
      <c r="D22" s="16" t="str">
        <f>LOWER(TRIM('Data GEMINI'!H22))</f>
        <v>minor</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2</v>
      </c>
      <c r="F22" s="23">
        <f>IF(D22="major",Parameters!$B$14,IF(D22="medium",Parameters!$B$15,Parameters!$B$16))</f>
        <v>1</v>
      </c>
      <c r="G22" s="16">
        <f t="shared" si="1"/>
        <v>0</v>
      </c>
      <c r="H22" s="24">
        <f>Parameters!$B$20^(G22-1)</f>
        <v>1.4285714285714286</v>
      </c>
      <c r="I22" s="18">
        <f t="shared" si="2"/>
        <v>2.8571428571428572</v>
      </c>
    </row>
    <row r="23" spans="1:9" ht="13.15" x14ac:dyDescent="0.35">
      <c r="A23" s="21">
        <v>22</v>
      </c>
      <c r="B23" s="16">
        <f>'Data GEMINI'!B23</f>
        <v>9</v>
      </c>
      <c r="C23" s="22" t="str">
        <f>'Data GEMINI'!F23</f>
        <v>piece_relations</v>
      </c>
      <c r="D23" s="16" t="str">
        <f>LOWER(TRIM('Data GEMINI'!H23))</f>
        <v>major</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4</v>
      </c>
      <c r="F23" s="23">
        <f>IF(D23="major",Parameters!$B$14,IF(D23="medium",Parameters!$B$15,Parameters!$B$16))</f>
        <v>3</v>
      </c>
      <c r="G23" s="16">
        <f t="shared" si="1"/>
        <v>0</v>
      </c>
      <c r="H23" s="24">
        <f>Parameters!$B$20^(G23-1)</f>
        <v>1.4285714285714286</v>
      </c>
      <c r="I23" s="18">
        <f t="shared" si="2"/>
        <v>17.142857142857142</v>
      </c>
    </row>
    <row r="24" spans="1:9" ht="13.15" x14ac:dyDescent="0.35">
      <c r="A24" s="21">
        <v>23</v>
      </c>
      <c r="B24" s="16">
        <f>'Data GEMINI'!B24</f>
        <v>9</v>
      </c>
      <c r="C24" s="22" t="str">
        <f>'Data GEMINI'!F24</f>
        <v>reasoning</v>
      </c>
      <c r="D24" s="16" t="str">
        <f>LOWER(TRIM('Data GEMINI'!H24))</f>
        <v>minor</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2</v>
      </c>
      <c r="F24" s="23">
        <f>IF(D24="major",Parameters!$B$14,IF(D24="medium",Parameters!$B$15,Parameters!$B$16))</f>
        <v>1</v>
      </c>
      <c r="G24" s="16">
        <f t="shared" si="1"/>
        <v>0</v>
      </c>
      <c r="H24" s="24">
        <f>Parameters!$B$20^(G24-1)</f>
        <v>1.4285714285714286</v>
      </c>
      <c r="I24" s="18">
        <f t="shared" si="2"/>
        <v>2.8571428571428572</v>
      </c>
    </row>
    <row r="25" spans="1:9" ht="13.15" x14ac:dyDescent="0.35">
      <c r="A25" s="21">
        <v>24</v>
      </c>
      <c r="B25" s="16">
        <f>'Data GEMINI'!B25</f>
        <v>9</v>
      </c>
      <c r="C25" s="22" t="str">
        <f>'Data GEMINI'!F25</f>
        <v>material</v>
      </c>
      <c r="D25" s="16" t="str">
        <f>LOWER(TRIM('Data GEMINI'!H25))</f>
        <v>minor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5</v>
      </c>
      <c r="F25" s="23">
        <f>IF(D25="major",Parameters!$B$14,IF(D25="medium",Parameters!$B$15,Parameters!$B$16))</f>
        <v>1</v>
      </c>
      <c r="G25" s="16">
        <f t="shared" si="1"/>
        <v>0</v>
      </c>
      <c r="H25" s="24">
        <f>Parameters!$B$20^(G25-1)</f>
        <v>1.4285714285714286</v>
      </c>
      <c r="I25" s="18">
        <f t="shared" si="2"/>
        <v>7.1428571428571432</v>
      </c>
    </row>
    <row r="26" spans="1:9" ht="13.15" x14ac:dyDescent="0.35">
      <c r="A26" s="21">
        <v>25</v>
      </c>
      <c r="B26" s="16">
        <f>'Data GEMINI'!B26</f>
        <v>10</v>
      </c>
      <c r="C26" s="22" t="str">
        <f>'Data GEMINI'!F26</f>
        <v>geometry</v>
      </c>
      <c r="D26" s="16" t="str">
        <f>LOWER(TRIM('Data GEMINI'!H26))</f>
        <v>major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3</v>
      </c>
      <c r="F26" s="23">
        <f>IF(D26="major",Parameters!$B$14,IF(D26="medium",Parameters!$B$15,Parameters!$B$16))</f>
        <v>3</v>
      </c>
      <c r="G26" s="16">
        <f t="shared" si="1"/>
        <v>0</v>
      </c>
      <c r="H26" s="24">
        <f>Parameters!$B$20^(G26-1)</f>
        <v>1.4285714285714286</v>
      </c>
      <c r="I26" s="18">
        <f t="shared" si="2"/>
        <v>12.857142857142858</v>
      </c>
    </row>
    <row r="27" spans="1:9" ht="13.15" x14ac:dyDescent="0.35">
      <c r="A27" s="21">
        <v>26</v>
      </c>
      <c r="B27" s="16">
        <f>'Data GEMINI'!B27</f>
        <v>10</v>
      </c>
      <c r="C27" s="22" t="str">
        <f>'Data GEMINI'!F27</f>
        <v>move_legality</v>
      </c>
      <c r="D27" s="16" t="str">
        <f>LOWER(TRIM('Data GEMINI'!H27))</f>
        <v>minor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8</v>
      </c>
      <c r="F27" s="23">
        <f>IF(D27="major",Parameters!$B$14,IF(D27="medium",Parameters!$B$15,Parameters!$B$16))</f>
        <v>1</v>
      </c>
      <c r="G27" s="16">
        <f t="shared" si="1"/>
        <v>0</v>
      </c>
      <c r="H27" s="24">
        <f>Parameters!$B$20^(G27-1)</f>
        <v>1.4285714285714286</v>
      </c>
      <c r="I27" s="18">
        <f t="shared" si="2"/>
        <v>11.428571428571429</v>
      </c>
    </row>
    <row r="28" spans="1:9" ht="13.15" x14ac:dyDescent="0.35">
      <c r="A28" s="21">
        <v>27</v>
      </c>
      <c r="B28" s="16">
        <f>'Data GEMINI'!B28</f>
        <v>10</v>
      </c>
      <c r="C28" s="22" t="str">
        <f>'Data GEMINI'!F28</f>
        <v>geometry</v>
      </c>
      <c r="D28" s="16" t="str">
        <f>LOWER(TRIM('Data GEMINI'!H28))</f>
        <v>major</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3</v>
      </c>
      <c r="F28" s="23">
        <f>IF(D28="major",Parameters!$B$14,IF(D28="medium",Parameters!$B$15,Parameters!$B$16))</f>
        <v>3</v>
      </c>
      <c r="G28" s="16">
        <f t="shared" si="1"/>
        <v>0</v>
      </c>
      <c r="H28" s="24">
        <f>Parameters!$B$20^(G28-1)</f>
        <v>1.4285714285714286</v>
      </c>
      <c r="I28" s="18">
        <f t="shared" si="2"/>
        <v>12.857142857142858</v>
      </c>
    </row>
    <row r="29" spans="1:9" ht="13.15" x14ac:dyDescent="0.35">
      <c r="A29" s="21">
        <v>28</v>
      </c>
      <c r="B29" s="16">
        <f>'Data GEMINI'!B29</f>
        <v>10</v>
      </c>
      <c r="C29" s="22" t="str">
        <f>'Data GEMINI'!F29</f>
        <v>reasoning</v>
      </c>
      <c r="D29" s="16" t="str">
        <f>LOWER(TRIM('Data GEMINI'!H29))</f>
        <v>medium</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2</v>
      </c>
      <c r="G29" s="16">
        <f t="shared" si="1"/>
        <v>0</v>
      </c>
      <c r="H29" s="24">
        <f>Parameters!$B$20^(G29-1)</f>
        <v>1.4285714285714286</v>
      </c>
      <c r="I29" s="18">
        <f t="shared" si="2"/>
        <v>5.7142857142857144</v>
      </c>
    </row>
    <row r="30" spans="1:9" ht="13.15" x14ac:dyDescent="0.35">
      <c r="A30" s="21">
        <v>29</v>
      </c>
      <c r="B30" s="16">
        <f>'Data GEMINI'!B30</f>
        <v>10</v>
      </c>
      <c r="C30" s="22" t="str">
        <f>'Data GEMINI'!F30</f>
        <v>reasoning</v>
      </c>
      <c r="D30" s="16" t="str">
        <f>LOWER(TRIM('Data GEMINI'!H30))</f>
        <v>major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2</v>
      </c>
      <c r="F30" s="23">
        <f>IF(D30="major",Parameters!$B$14,IF(D30="medium",Parameters!$B$15,Parameters!$B$16))</f>
        <v>3</v>
      </c>
      <c r="G30" s="16">
        <f t="shared" si="1"/>
        <v>0</v>
      </c>
      <c r="H30" s="24">
        <f>Parameters!$B$20^(G30-1)</f>
        <v>1.4285714285714286</v>
      </c>
      <c r="I30" s="18">
        <f t="shared" si="2"/>
        <v>8.5714285714285712</v>
      </c>
    </row>
    <row r="31" spans="1:9" ht="13.15" x14ac:dyDescent="0.35">
      <c r="A31" s="21">
        <v>30</v>
      </c>
      <c r="B31" s="16">
        <f>'Data GEMINI'!B31</f>
        <v>11</v>
      </c>
      <c r="C31" s="22" t="str">
        <f>'Data GEMINI'!F31</f>
        <v>reasoning</v>
      </c>
      <c r="D31" s="16" t="str">
        <f>LOWER(TRIM('Data GEMINI'!H31))</f>
        <v>minor</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1</v>
      </c>
      <c r="G31" s="16">
        <f t="shared" si="1"/>
        <v>0</v>
      </c>
      <c r="H31" s="24">
        <f>Parameters!$B$20^(G31-1)</f>
        <v>1.4285714285714286</v>
      </c>
      <c r="I31" s="18">
        <f t="shared" si="2"/>
        <v>2.8571428571428572</v>
      </c>
    </row>
    <row r="32" spans="1:9" ht="13.15" x14ac:dyDescent="0.35">
      <c r="A32" s="21">
        <v>31</v>
      </c>
      <c r="B32" s="16">
        <f>'Data GEMINI'!B32</f>
        <v>12</v>
      </c>
      <c r="C32" s="22" t="str">
        <f>'Data GEMINI'!F32</f>
        <v>reasoning</v>
      </c>
      <c r="D32" s="16" t="str">
        <f>LOWER(TRIM('Data GEMINI'!H32))</f>
        <v>medium</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2</v>
      </c>
      <c r="G32" s="16">
        <f t="shared" si="1"/>
        <v>0</v>
      </c>
      <c r="H32" s="24">
        <f>Parameters!$B$20^(G32-1)</f>
        <v>1.4285714285714286</v>
      </c>
      <c r="I32" s="18">
        <f t="shared" si="2"/>
        <v>5.7142857142857144</v>
      </c>
    </row>
    <row r="33" spans="1:9" ht="13.15" x14ac:dyDescent="0.35">
      <c r="A33" s="21">
        <v>32</v>
      </c>
      <c r="B33" s="16">
        <f>'Data GEMINI'!B33</f>
        <v>12</v>
      </c>
      <c r="C33" s="22" t="str">
        <f>'Data GEMINI'!F33</f>
        <v>reasoning</v>
      </c>
      <c r="D33" s="16" t="str">
        <f>LOWER(TRIM('Data GEMINI'!H33))</f>
        <v>minor</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2</v>
      </c>
      <c r="F33" s="23">
        <f>IF(D33="major",Parameters!$B$14,IF(D33="medium",Parameters!$B$15,Parameters!$B$16))</f>
        <v>1</v>
      </c>
      <c r="G33" s="16">
        <f t="shared" si="1"/>
        <v>0</v>
      </c>
      <c r="H33" s="24">
        <f>Parameters!$B$20^(G33-1)</f>
        <v>1.4285714285714286</v>
      </c>
      <c r="I33" s="18">
        <f t="shared" si="2"/>
        <v>2.8571428571428572</v>
      </c>
    </row>
    <row r="34" spans="1:9" ht="13.15" x14ac:dyDescent="0.35">
      <c r="A34" s="21">
        <v>33</v>
      </c>
      <c r="B34" s="16">
        <f>'Data GEMINI'!B34</f>
        <v>13</v>
      </c>
      <c r="C34" s="22" t="str">
        <f>'Data GEMINI'!F34</f>
        <v>move_legality</v>
      </c>
      <c r="D34" s="16" t="str">
        <f>LOWER(TRIM('Data GEMINI'!H34))</f>
        <v>medium</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8</v>
      </c>
      <c r="F34" s="23">
        <f>IF(D34="major",Parameters!$B$14,IF(D34="medium",Parameters!$B$15,Parameters!$B$16))</f>
        <v>2</v>
      </c>
      <c r="G34" s="16">
        <f t="shared" si="1"/>
        <v>0</v>
      </c>
      <c r="H34" s="24">
        <f>Parameters!$B$20^(G34-1)</f>
        <v>1.4285714285714286</v>
      </c>
      <c r="I34" s="18">
        <f t="shared" si="2"/>
        <v>22.857142857142858</v>
      </c>
    </row>
    <row r="35" spans="1:9" ht="13.15" x14ac:dyDescent="0.35">
      <c r="A35" s="21">
        <v>34</v>
      </c>
      <c r="B35" s="16">
        <f>'Data GEMINI'!B35</f>
        <v>13</v>
      </c>
      <c r="C35" s="22" t="str">
        <f>'Data GEMINI'!F35</f>
        <v>piece_relations</v>
      </c>
      <c r="D35" s="16" t="str">
        <f>LOWER(TRIM('Data GEMINI'!H35))</f>
        <v>minor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4</v>
      </c>
      <c r="F35" s="23">
        <f>IF(D35="major",Parameters!$B$14,IF(D35="medium",Parameters!$B$15,Parameters!$B$16))</f>
        <v>1</v>
      </c>
      <c r="G35" s="16">
        <f t="shared" si="1"/>
        <v>0</v>
      </c>
      <c r="H35" s="24">
        <f>Parameters!$B$20^(G35-1)</f>
        <v>1.4285714285714286</v>
      </c>
      <c r="I35" s="18">
        <f t="shared" si="2"/>
        <v>5.7142857142857144</v>
      </c>
    </row>
    <row r="36" spans="1:9" ht="13.15" x14ac:dyDescent="0.35">
      <c r="A36" s="21">
        <v>35</v>
      </c>
      <c r="B36" s="16">
        <f>'Data GEMINI'!B36</f>
        <v>14</v>
      </c>
      <c r="C36" s="22" t="str">
        <f>'Data GEMINI'!F36</f>
        <v>geometry</v>
      </c>
      <c r="D36" s="16" t="str">
        <f>LOWER(TRIM('Data GEMINI'!H36))</f>
        <v>medium</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3</v>
      </c>
      <c r="F36" s="23">
        <f>IF(D36="major",Parameters!$B$14,IF(D36="medium",Parameters!$B$15,Parameters!$B$16))</f>
        <v>2</v>
      </c>
      <c r="G36" s="16">
        <f t="shared" si="1"/>
        <v>0</v>
      </c>
      <c r="H36" s="24">
        <f>Parameters!$B$20^(G36-1)</f>
        <v>1.4285714285714286</v>
      </c>
      <c r="I36" s="18">
        <f t="shared" si="2"/>
        <v>8.5714285714285712</v>
      </c>
    </row>
    <row r="37" spans="1:9" ht="13.15" x14ac:dyDescent="0.35">
      <c r="A37" s="21">
        <v>36</v>
      </c>
      <c r="B37" s="16">
        <f>'Data GEMINI'!B37</f>
        <v>15</v>
      </c>
      <c r="C37" s="22" t="str">
        <f>'Data GEMINI'!F37</f>
        <v>reasoning</v>
      </c>
      <c r="D37" s="16" t="str">
        <f>LOWER(TRIM('Data GEMINI'!H37))</f>
        <v>minor</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2</v>
      </c>
      <c r="F37" s="23">
        <f>IF(D37="major",Parameters!$B$14,IF(D37="medium",Parameters!$B$15,Parameters!$B$16))</f>
        <v>1</v>
      </c>
      <c r="G37" s="16">
        <f t="shared" si="1"/>
        <v>0</v>
      </c>
      <c r="H37" s="24">
        <f>Parameters!$B$20^(G37-1)</f>
        <v>1.4285714285714286</v>
      </c>
      <c r="I37" s="18">
        <f t="shared" si="2"/>
        <v>2.8571428571428572</v>
      </c>
    </row>
    <row r="38" spans="1:9" ht="13.15" x14ac:dyDescent="0.35">
      <c r="A38" s="21">
        <v>37</v>
      </c>
      <c r="B38" s="16">
        <f>'Data GEMINI'!B38</f>
        <v>15</v>
      </c>
      <c r="C38" s="22" t="str">
        <f>'Data GEMINI'!F38</f>
        <v>piece_placement</v>
      </c>
      <c r="D38" s="16" t="str">
        <f>LOWER(TRIM('Data GEMINI'!H38))</f>
        <v>major</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6</v>
      </c>
      <c r="F38" s="23">
        <f>IF(D38="major",Parameters!$B$14,IF(D38="medium",Parameters!$B$15,Parameters!$B$16))</f>
        <v>3</v>
      </c>
      <c r="G38" s="16">
        <f t="shared" si="1"/>
        <v>0</v>
      </c>
      <c r="H38" s="24">
        <f>Parameters!$B$20^(G38-1)</f>
        <v>1.4285714285714286</v>
      </c>
      <c r="I38" s="18">
        <f t="shared" si="2"/>
        <v>25.714285714285715</v>
      </c>
    </row>
    <row r="39" spans="1:9" ht="13.15" x14ac:dyDescent="0.35">
      <c r="A39" s="21">
        <v>38</v>
      </c>
      <c r="B39" s="16">
        <f>'Data GEMINI'!B39</f>
        <v>15</v>
      </c>
      <c r="C39" s="22" t="str">
        <f>'Data GEMINI'!F39</f>
        <v>reasoning</v>
      </c>
      <c r="D39" s="16" t="str">
        <f>LOWER(TRIM('Data GEMINI'!H39))</f>
        <v>medium</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2</v>
      </c>
      <c r="F39" s="23">
        <f>IF(D39="major",Parameters!$B$14,IF(D39="medium",Parameters!$B$15,Parameters!$B$16))</f>
        <v>2</v>
      </c>
      <c r="G39" s="16">
        <f t="shared" si="1"/>
        <v>0</v>
      </c>
      <c r="H39" s="24">
        <f>Parameters!$B$20^(G39-1)</f>
        <v>1.4285714285714286</v>
      </c>
      <c r="I39" s="18">
        <f t="shared" si="2"/>
        <v>5.7142857142857144</v>
      </c>
    </row>
    <row r="40" spans="1:9" ht="13.15" x14ac:dyDescent="0.35">
      <c r="A40" s="21">
        <v>39</v>
      </c>
      <c r="B40" s="16">
        <f>'Data GEMINI'!B40</f>
        <v>15</v>
      </c>
      <c r="C40" s="22" t="str">
        <f>'Data GEMINI'!F40</f>
        <v>piece_relations</v>
      </c>
      <c r="D40" s="16" t="str">
        <f>LOWER(TRIM('Data GEMINI'!H40))</f>
        <v>minor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4</v>
      </c>
      <c r="F40" s="23">
        <f>IF(D40="major",Parameters!$B$14,IF(D40="medium",Parameters!$B$15,Parameters!$B$16))</f>
        <v>1</v>
      </c>
      <c r="G40" s="16">
        <f t="shared" si="1"/>
        <v>0</v>
      </c>
      <c r="H40" s="24">
        <f>Parameters!$B$20^(G40-1)</f>
        <v>1.4285714285714286</v>
      </c>
      <c r="I40" s="18">
        <f t="shared" si="2"/>
        <v>5.7142857142857144</v>
      </c>
    </row>
    <row r="41" spans="1:9" ht="13.15" x14ac:dyDescent="0.35">
      <c r="A41" s="21">
        <v>40</v>
      </c>
      <c r="B41" s="16">
        <f>'Data GEMINI'!B41</f>
        <v>15</v>
      </c>
      <c r="C41" s="22" t="str">
        <f>'Data GEMINI'!F41</f>
        <v>reasoning</v>
      </c>
      <c r="D41" s="16" t="str">
        <f>LOWER(TRIM('Data GEMINI'!H41))</f>
        <v>medium</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2</v>
      </c>
      <c r="F41" s="23">
        <f>IF(D41="major",Parameters!$B$14,IF(D41="medium",Parameters!$B$15,Parameters!$B$16))</f>
        <v>2</v>
      </c>
      <c r="G41" s="16">
        <f t="shared" si="1"/>
        <v>0</v>
      </c>
      <c r="H41" s="24">
        <f>Parameters!$B$20^(G41-1)</f>
        <v>1.4285714285714286</v>
      </c>
      <c r="I41" s="18">
        <f t="shared" si="2"/>
        <v>5.7142857142857144</v>
      </c>
    </row>
    <row r="42" spans="1:9" ht="13.15" x14ac:dyDescent="0.35">
      <c r="A42" s="21">
        <v>41</v>
      </c>
      <c r="B42" s="16">
        <f>'Data GEMINI'!B42</f>
        <v>16</v>
      </c>
      <c r="C42" s="22" t="str">
        <f>'Data GEMINI'!F42</f>
        <v>reasoning</v>
      </c>
      <c r="D42" s="16" t="str">
        <f>LOWER(TRIM('Data GEMINI'!H42))</f>
        <v>minor</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2</v>
      </c>
      <c r="F42" s="23">
        <f>IF(D42="major",Parameters!$B$14,IF(D42="medium",Parameters!$B$15,Parameters!$B$16))</f>
        <v>1</v>
      </c>
      <c r="G42" s="16">
        <f t="shared" si="1"/>
        <v>0</v>
      </c>
      <c r="H42" s="24">
        <f>Parameters!$B$20^(G42-1)</f>
        <v>1.4285714285714286</v>
      </c>
      <c r="I42" s="18">
        <f t="shared" si="2"/>
        <v>2.8571428571428572</v>
      </c>
    </row>
    <row r="43" spans="1:9" ht="13.15" x14ac:dyDescent="0.35">
      <c r="A43" s="21">
        <v>42</v>
      </c>
      <c r="B43" s="16">
        <f>'Data GEMINI'!B43</f>
        <v>16</v>
      </c>
      <c r="C43" s="22" t="str">
        <f>'Data GEMINI'!F43</f>
        <v>reasoning</v>
      </c>
      <c r="D43" s="16" t="str">
        <f>LOWER(TRIM('Data GEMINI'!H43))</f>
        <v>minor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2</v>
      </c>
      <c r="F43" s="23">
        <f>IF(D43="major",Parameters!$B$14,IF(D43="medium",Parameters!$B$15,Parameters!$B$16))</f>
        <v>1</v>
      </c>
      <c r="G43" s="16">
        <f t="shared" si="1"/>
        <v>0</v>
      </c>
      <c r="H43" s="24">
        <f>Parameters!$B$20^(G43-1)</f>
        <v>1.4285714285714286</v>
      </c>
      <c r="I43" s="18">
        <f t="shared" si="2"/>
        <v>2.8571428571428572</v>
      </c>
    </row>
    <row r="44" spans="1:9" ht="13.15" x14ac:dyDescent="0.35">
      <c r="A44" s="21">
        <v>43</v>
      </c>
      <c r="B44" s="16">
        <f>'Data GEMINI'!B44</f>
        <v>16</v>
      </c>
      <c r="C44" s="22" t="str">
        <f>'Data GEMINI'!F44</f>
        <v>move_legality</v>
      </c>
      <c r="D44" s="16" t="str">
        <f>LOWER(TRIM('Data GEMINI'!H44))</f>
        <v>major</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8</v>
      </c>
      <c r="F44" s="23">
        <f>IF(D44="major",Parameters!$B$14,IF(D44="medium",Parameters!$B$15,Parameters!$B$16))</f>
        <v>3</v>
      </c>
      <c r="G44" s="16">
        <f t="shared" si="1"/>
        <v>0</v>
      </c>
      <c r="H44" s="24">
        <f>Parameters!$B$20^(G44-1)</f>
        <v>1.4285714285714286</v>
      </c>
      <c r="I44" s="18">
        <f t="shared" si="2"/>
        <v>34.285714285714285</v>
      </c>
    </row>
    <row r="45" spans="1:9" ht="13.15" x14ac:dyDescent="0.35">
      <c r="A45" s="21">
        <v>44</v>
      </c>
      <c r="B45" s="16">
        <f>'Data GEMINI'!B45</f>
        <v>16</v>
      </c>
      <c r="C45" s="22" t="str">
        <f>'Data GEMINI'!F45</f>
        <v>reasoning</v>
      </c>
      <c r="D45" s="16" t="str">
        <f>LOWER(TRIM('Data GEMINI'!H45))</f>
        <v>major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2</v>
      </c>
      <c r="F45" s="23">
        <f>IF(D45="major",Parameters!$B$14,IF(D45="medium",Parameters!$B$15,Parameters!$B$16))</f>
        <v>3</v>
      </c>
      <c r="G45" s="16">
        <f t="shared" si="1"/>
        <v>0</v>
      </c>
      <c r="H45" s="24">
        <f>Parameters!$B$20^(G45-1)</f>
        <v>1.4285714285714286</v>
      </c>
      <c r="I45" s="18">
        <f t="shared" si="2"/>
        <v>8.5714285714285712</v>
      </c>
    </row>
    <row r="46" spans="1:9" ht="13.15" x14ac:dyDescent="0.35">
      <c r="A46" s="21">
        <v>45</v>
      </c>
      <c r="B46" s="16">
        <f>'Data GEMINI'!B46</f>
        <v>18</v>
      </c>
      <c r="C46" s="22" t="str">
        <f>'Data GEMINI'!F46</f>
        <v>material</v>
      </c>
      <c r="D46" s="16" t="str">
        <f>LOWER(TRIM('Data GEMINI'!H46))</f>
        <v>medium</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5</v>
      </c>
      <c r="F46" s="23">
        <f>IF(D46="major",Parameters!$B$14,IF(D46="medium",Parameters!$B$15,Parameters!$B$16))</f>
        <v>2</v>
      </c>
      <c r="G46" s="16">
        <f t="shared" si="1"/>
        <v>0</v>
      </c>
      <c r="H46" s="24">
        <f>Parameters!$B$20^(G46-1)</f>
        <v>1.4285714285714286</v>
      </c>
      <c r="I46" s="18">
        <f t="shared" si="2"/>
        <v>14.285714285714286</v>
      </c>
    </row>
    <row r="47" spans="1:9" ht="13.15" x14ac:dyDescent="0.35">
      <c r="A47" s="21">
        <v>46</v>
      </c>
      <c r="B47" s="16">
        <f>'Data GEMINI'!B47</f>
        <v>19</v>
      </c>
      <c r="C47" s="22" t="str">
        <f>'Data GEMINI'!F47</f>
        <v>piece_relations</v>
      </c>
      <c r="D47" s="16" t="str">
        <f>LOWER(TRIM('Data GEMINI'!H47))</f>
        <v>minor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4</v>
      </c>
      <c r="F47" s="23">
        <f>IF(D47="major",Parameters!$B$14,IF(D47="medium",Parameters!$B$15,Parameters!$B$16))</f>
        <v>1</v>
      </c>
      <c r="G47" s="16">
        <f t="shared" si="1"/>
        <v>0</v>
      </c>
      <c r="H47" s="24">
        <f>Parameters!$B$20^(G47-1)</f>
        <v>1.4285714285714286</v>
      </c>
      <c r="I47" s="18">
        <f t="shared" si="2"/>
        <v>5.7142857142857144</v>
      </c>
    </row>
    <row r="48" spans="1:9" ht="13.15" x14ac:dyDescent="0.35">
      <c r="A48" s="21">
        <v>47</v>
      </c>
      <c r="B48" s="16">
        <f>'Data GEMINI'!B48</f>
        <v>20</v>
      </c>
      <c r="C48" s="22" t="str">
        <f>'Data GEMINI'!F48</f>
        <v>reasoning</v>
      </c>
      <c r="D48" s="16" t="str">
        <f>LOWER(TRIM('Data GEMINI'!H48))</f>
        <v>minor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1</v>
      </c>
      <c r="G48" s="16">
        <f t="shared" si="1"/>
        <v>0</v>
      </c>
      <c r="H48" s="24">
        <f>Parameters!$B$20^(G48-1)</f>
        <v>1.4285714285714286</v>
      </c>
      <c r="I48" s="18">
        <f t="shared" si="2"/>
        <v>2.8571428571428572</v>
      </c>
    </row>
    <row r="49" spans="1:9" ht="13.15" x14ac:dyDescent="0.35">
      <c r="A49" s="21">
        <v>48</v>
      </c>
      <c r="B49" s="16">
        <f>'Data GEMINI'!B49</f>
        <v>20</v>
      </c>
      <c r="C49" s="22" t="str">
        <f>'Data GEMINI'!F49</f>
        <v>reasoning</v>
      </c>
      <c r="D49" s="16" t="str">
        <f>LOWER(TRIM('Data GEMINI'!H49))</f>
        <v>medium</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2</v>
      </c>
      <c r="F49" s="23">
        <f>IF(D49="major",Parameters!$B$14,IF(D49="medium",Parameters!$B$15,Parameters!$B$16))</f>
        <v>2</v>
      </c>
      <c r="G49" s="16">
        <f t="shared" si="1"/>
        <v>0</v>
      </c>
      <c r="H49" s="24">
        <f>Parameters!$B$20^(G49-1)</f>
        <v>1.4285714285714286</v>
      </c>
      <c r="I49" s="18">
        <f t="shared" si="2"/>
        <v>5.7142857142857144</v>
      </c>
    </row>
  </sheetData>
  <autoFilter ref="A1:I207" xr:uid="{00000000-0009-0000-0000-000002000000}">
    <sortState xmlns:xlrd2="http://schemas.microsoft.com/office/spreadsheetml/2017/richdata2" ref="A2:I207">
      <sortCondition ref="A1:A207"/>
    </sortState>
  </autoFilter>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07A99-7B9A-41CE-A156-CE61227D61D3}">
  <sheetPr>
    <tabColor theme="8"/>
  </sheetPr>
  <dimension ref="A1:E22"/>
  <sheetViews>
    <sheetView zoomScaleNormal="100" workbookViewId="0">
      <pane ySplit="1" topLeftCell="A2" activePane="bottomLeft" state="frozen"/>
      <selection pane="bottomLeft" activeCell="B2" sqref="B2:E21"/>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GEMINI'!$B:$B, A2)</f>
        <v>1</v>
      </c>
      <c r="C2" s="13">
        <f>SUMIF('Calculations GEMINI'!$B:$B, A2, 'Calculations GEMINI'!$I:$I)</f>
        <v>5</v>
      </c>
      <c r="D2" s="14">
        <f t="shared" ref="D2" si="0">MAX(0,100-C2)</f>
        <v>95</v>
      </c>
      <c r="E2" s="12" t="str">
        <f>IF(D2&gt;=90,"Excellent",IF(D2&gt;=75,"Good",IF(D2&gt;=55,"Acceptable",IF(D2&gt;=35,"Weak","Critic"))))</f>
        <v>Excellent</v>
      </c>
    </row>
    <row r="3" spans="1:5" ht="13.15" x14ac:dyDescent="0.35">
      <c r="A3" s="15">
        <v>2</v>
      </c>
      <c r="B3" s="16">
        <f>COUNTIF('Calculations GEMINI'!$B:$B, A3)</f>
        <v>2</v>
      </c>
      <c r="C3" s="17">
        <f>SUMIF('Calculations GEMINI'!$B:$B, A3, 'Calculations GEMINI'!$I:$I)</f>
        <v>9</v>
      </c>
      <c r="D3" s="18">
        <f t="shared" ref="D3:D21" si="1">MAX(0,100-C3)</f>
        <v>91</v>
      </c>
      <c r="E3" s="16" t="str">
        <f t="shared" ref="E3:E21" si="2">IF(D3&gt;=90,"Excellent",IF(D3&gt;=75,"Good",IF(D3&gt;=55,"Acceptable",IF(D3&gt;=35,"Weak","Critic"))))</f>
        <v>Excellent</v>
      </c>
    </row>
    <row r="4" spans="1:5" ht="13.15" x14ac:dyDescent="0.35">
      <c r="A4" s="11">
        <v>3</v>
      </c>
      <c r="B4" s="12">
        <f>COUNTIF('Calculations GEMINI'!$B:$B, A4)</f>
        <v>5</v>
      </c>
      <c r="C4" s="13">
        <f>SUMIF('Calculations GEMINI'!$B:$B, A4, 'Calculations GEMINI'!$I:$I)</f>
        <v>30.38</v>
      </c>
      <c r="D4" s="14">
        <f t="shared" si="1"/>
        <v>69.62</v>
      </c>
      <c r="E4" s="12" t="str">
        <f t="shared" si="2"/>
        <v>Acceptable</v>
      </c>
    </row>
    <row r="5" spans="1:5" ht="13.15" x14ac:dyDescent="0.35">
      <c r="A5" s="15">
        <v>4</v>
      </c>
      <c r="B5" s="16">
        <f>COUNTIF('Calculations GEMINI'!$B:$B, A5)</f>
        <v>1</v>
      </c>
      <c r="C5" s="17">
        <f>SUMIF('Calculations GEMINI'!$B:$B, A5, 'Calculations GEMINI'!$I:$I)</f>
        <v>8</v>
      </c>
      <c r="D5" s="18">
        <f t="shared" si="1"/>
        <v>92</v>
      </c>
      <c r="E5" s="16" t="str">
        <f t="shared" si="2"/>
        <v>Excellent</v>
      </c>
    </row>
    <row r="6" spans="1:5" ht="13.15" x14ac:dyDescent="0.35">
      <c r="A6" s="11">
        <v>5</v>
      </c>
      <c r="B6" s="12">
        <f>COUNTIF('Calculations GEMINI'!$B:$B, A6)</f>
        <v>3</v>
      </c>
      <c r="C6" s="13">
        <f>SUMIF('Calculations GEMINI'!$B:$B, A6, 'Calculations GEMINI'!$I:$I)</f>
        <v>28</v>
      </c>
      <c r="D6" s="14">
        <f t="shared" si="1"/>
        <v>72</v>
      </c>
      <c r="E6" s="12" t="str">
        <f t="shared" si="2"/>
        <v>Acceptable</v>
      </c>
    </row>
    <row r="7" spans="1:5" ht="13.15" x14ac:dyDescent="0.35">
      <c r="A7" s="15">
        <v>6</v>
      </c>
      <c r="B7" s="16">
        <f>COUNTIF('Calculations GEMINI'!$B:$B, A7)</f>
        <v>0</v>
      </c>
      <c r="C7" s="17">
        <f>SUMIF('Calculations GEMINI'!$B:$B, A7, 'Calculations GEMINI'!$I:$I)</f>
        <v>0</v>
      </c>
      <c r="D7" s="18">
        <f t="shared" si="1"/>
        <v>100</v>
      </c>
      <c r="E7" s="16" t="str">
        <f t="shared" si="2"/>
        <v>Excellent</v>
      </c>
    </row>
    <row r="8" spans="1:5" ht="13.15" x14ac:dyDescent="0.35">
      <c r="A8" s="11">
        <v>7</v>
      </c>
      <c r="B8" s="12">
        <f>COUNTIF('Calculations GEMINI'!$B:$B, A8)</f>
        <v>1</v>
      </c>
      <c r="C8" s="13">
        <f>SUMIF('Calculations GEMINI'!$B:$B, A8, 'Calculations GEMINI'!$I:$I)</f>
        <v>2.8571428571428572</v>
      </c>
      <c r="D8" s="14">
        <f t="shared" si="1"/>
        <v>97.142857142857139</v>
      </c>
      <c r="E8" s="12" t="str">
        <f t="shared" si="2"/>
        <v>Excellent</v>
      </c>
    </row>
    <row r="9" spans="1:5" ht="13.15" x14ac:dyDescent="0.35">
      <c r="A9" s="15">
        <v>8</v>
      </c>
      <c r="B9" s="16">
        <f>COUNTIF('Calculations GEMINI'!$B:$B, A9)</f>
        <v>7</v>
      </c>
      <c r="C9" s="17">
        <f>SUMIF('Calculations GEMINI'!$B:$B, A9, 'Calculations GEMINI'!$I:$I)</f>
        <v>74.285714285714278</v>
      </c>
      <c r="D9" s="18">
        <f t="shared" si="1"/>
        <v>25.714285714285722</v>
      </c>
      <c r="E9" s="16" t="str">
        <f t="shared" si="2"/>
        <v>Critic</v>
      </c>
    </row>
    <row r="10" spans="1:5" ht="13.15" x14ac:dyDescent="0.35">
      <c r="A10" s="11">
        <v>9</v>
      </c>
      <c r="B10" s="12">
        <f>COUNTIF('Calculations GEMINI'!$B:$B, A10)</f>
        <v>4</v>
      </c>
      <c r="C10" s="13">
        <f>SUMIF('Calculations GEMINI'!$B:$B, A10, 'Calculations GEMINI'!$I:$I)</f>
        <v>30</v>
      </c>
      <c r="D10" s="14">
        <f t="shared" si="1"/>
        <v>70</v>
      </c>
      <c r="E10" s="12" t="str">
        <f t="shared" si="2"/>
        <v>Acceptable</v>
      </c>
    </row>
    <row r="11" spans="1:5" ht="13.15" x14ac:dyDescent="0.35">
      <c r="A11" s="15">
        <v>10</v>
      </c>
      <c r="B11" s="16">
        <f>COUNTIF('Calculations GEMINI'!$B:$B, A11)</f>
        <v>5</v>
      </c>
      <c r="C11" s="17">
        <f>SUMIF('Calculations GEMINI'!$B:$B, A11, 'Calculations GEMINI'!$I:$I)</f>
        <v>51.428571428571423</v>
      </c>
      <c r="D11" s="18">
        <f t="shared" si="1"/>
        <v>48.571428571428577</v>
      </c>
      <c r="E11" s="16" t="str">
        <f t="shared" si="2"/>
        <v>Weak</v>
      </c>
    </row>
    <row r="12" spans="1:5" ht="13.15" x14ac:dyDescent="0.35">
      <c r="A12" s="11">
        <v>11</v>
      </c>
      <c r="B12" s="12">
        <f>COUNTIF('Calculations GEMINI'!$B:$B, A12)</f>
        <v>1</v>
      </c>
      <c r="C12" s="13">
        <f>SUMIF('Calculations GEMINI'!$B:$B, A12, 'Calculations GEMINI'!$I:$I)</f>
        <v>2.8571428571428572</v>
      </c>
      <c r="D12" s="14">
        <f t="shared" si="1"/>
        <v>97.142857142857139</v>
      </c>
      <c r="E12" s="12" t="str">
        <f t="shared" si="2"/>
        <v>Excellent</v>
      </c>
    </row>
    <row r="13" spans="1:5" ht="13.15" x14ac:dyDescent="0.35">
      <c r="A13" s="15">
        <v>12</v>
      </c>
      <c r="B13" s="16">
        <f>COUNTIF('Calculations GEMINI'!$B:$B, A13)</f>
        <v>2</v>
      </c>
      <c r="C13" s="17">
        <f>SUMIF('Calculations GEMINI'!$B:$B, A13, 'Calculations GEMINI'!$I:$I)</f>
        <v>8.5714285714285712</v>
      </c>
      <c r="D13" s="18">
        <f t="shared" si="1"/>
        <v>91.428571428571431</v>
      </c>
      <c r="E13" s="16" t="str">
        <f t="shared" si="2"/>
        <v>Excellent</v>
      </c>
    </row>
    <row r="14" spans="1:5" ht="13.15" x14ac:dyDescent="0.35">
      <c r="A14" s="11">
        <v>13</v>
      </c>
      <c r="B14" s="12">
        <f>COUNTIF('Calculations GEMINI'!$B:$B, A14)</f>
        <v>2</v>
      </c>
      <c r="C14" s="13">
        <f>SUMIF('Calculations GEMINI'!$B:$B, A14, 'Calculations GEMINI'!$I:$I)</f>
        <v>28.571428571428573</v>
      </c>
      <c r="D14" s="14">
        <f t="shared" si="1"/>
        <v>71.428571428571431</v>
      </c>
      <c r="E14" s="12" t="str">
        <f t="shared" si="2"/>
        <v>Acceptable</v>
      </c>
    </row>
    <row r="15" spans="1:5" ht="13.15" x14ac:dyDescent="0.35">
      <c r="A15" s="15">
        <v>14</v>
      </c>
      <c r="B15" s="16">
        <f>COUNTIF('Calculations GEMINI'!$B:$B, A15)</f>
        <v>1</v>
      </c>
      <c r="C15" s="17">
        <f>SUMIF('Calculations GEMINI'!$B:$B, A15, 'Calculations GEMINI'!$I:$I)</f>
        <v>8.5714285714285712</v>
      </c>
      <c r="D15" s="18">
        <f t="shared" si="1"/>
        <v>91.428571428571431</v>
      </c>
      <c r="E15" s="16" t="str">
        <f t="shared" si="2"/>
        <v>Excellent</v>
      </c>
    </row>
    <row r="16" spans="1:5" ht="13.15" x14ac:dyDescent="0.35">
      <c r="A16" s="11">
        <v>15</v>
      </c>
      <c r="B16" s="12">
        <f>COUNTIF('Calculations GEMINI'!$B:$B, A16)</f>
        <v>5</v>
      </c>
      <c r="C16" s="13">
        <f>SUMIF('Calculations GEMINI'!$B:$B, A16, 'Calculations GEMINI'!$I:$I)</f>
        <v>45.714285714285715</v>
      </c>
      <c r="D16" s="14">
        <f t="shared" si="1"/>
        <v>54.285714285714285</v>
      </c>
      <c r="E16" s="12" t="str">
        <f t="shared" si="2"/>
        <v>Weak</v>
      </c>
    </row>
    <row r="17" spans="1:5" ht="13.15" x14ac:dyDescent="0.35">
      <c r="A17" s="15">
        <v>16</v>
      </c>
      <c r="B17" s="16">
        <f>COUNTIF('Calculations GEMINI'!$B:$B, A17)</f>
        <v>4</v>
      </c>
      <c r="C17" s="17">
        <f>SUMIF('Calculations GEMINI'!$B:$B, A17, 'Calculations GEMINI'!$I:$I)</f>
        <v>48.571428571428569</v>
      </c>
      <c r="D17" s="18">
        <f t="shared" si="1"/>
        <v>51.428571428571431</v>
      </c>
      <c r="E17" s="16" t="str">
        <f t="shared" si="2"/>
        <v>Weak</v>
      </c>
    </row>
    <row r="18" spans="1:5" ht="13.15" x14ac:dyDescent="0.35">
      <c r="A18" s="11">
        <v>17</v>
      </c>
      <c r="B18" s="12">
        <f>COUNTIF('Calculations GEMINI'!$B:$B, A18)</f>
        <v>0</v>
      </c>
      <c r="C18" s="13">
        <f>SUMIF('Calculations GEMINI'!$B:$B, A18, 'Calculations GEMINI'!$I:$I)</f>
        <v>0</v>
      </c>
      <c r="D18" s="14">
        <f t="shared" si="1"/>
        <v>100</v>
      </c>
      <c r="E18" s="12" t="str">
        <f t="shared" si="2"/>
        <v>Excellent</v>
      </c>
    </row>
    <row r="19" spans="1:5" ht="13.15" x14ac:dyDescent="0.35">
      <c r="A19" s="15">
        <v>18</v>
      </c>
      <c r="B19" s="16">
        <f>COUNTIF('Calculations GEMINI'!$B:$B, A19)</f>
        <v>1</v>
      </c>
      <c r="C19" s="17">
        <f>SUMIF('Calculations GEMINI'!$B:$B, A19, 'Calculations GEMINI'!$I:$I)</f>
        <v>14.285714285714286</v>
      </c>
      <c r="D19" s="18">
        <f t="shared" si="1"/>
        <v>85.714285714285708</v>
      </c>
      <c r="E19" s="16" t="str">
        <f t="shared" si="2"/>
        <v>Good</v>
      </c>
    </row>
    <row r="20" spans="1:5" ht="13.15" x14ac:dyDescent="0.35">
      <c r="A20" s="11">
        <v>19</v>
      </c>
      <c r="B20" s="12">
        <f>COUNTIF('Calculations GEMINI'!$B:$B, A20)</f>
        <v>1</v>
      </c>
      <c r="C20" s="13">
        <f>SUMIF('Calculations GEMINI'!$B:$B, A20, 'Calculations GEMINI'!$I:$I)</f>
        <v>5.7142857142857144</v>
      </c>
      <c r="D20" s="14">
        <f t="shared" si="1"/>
        <v>94.285714285714292</v>
      </c>
      <c r="E20" s="12" t="str">
        <f t="shared" si="2"/>
        <v>Excellent</v>
      </c>
    </row>
    <row r="21" spans="1:5" ht="13.15" x14ac:dyDescent="0.35">
      <c r="A21" s="15">
        <v>20</v>
      </c>
      <c r="B21" s="16">
        <f>COUNTIF('Calculations GEMINI'!$B:$B, A21)</f>
        <v>2</v>
      </c>
      <c r="C21" s="17">
        <f>SUMIF('Calculations GEMINI'!$B:$B, A21, 'Calculations GEMINI'!$I:$I)</f>
        <v>8.5714285714285712</v>
      </c>
      <c r="D21" s="18">
        <f t="shared" si="1"/>
        <v>91.428571428571431</v>
      </c>
      <c r="E21" s="16" t="str">
        <f t="shared" si="2"/>
        <v>Excellent</v>
      </c>
    </row>
    <row r="22" spans="1:5" ht="15" x14ac:dyDescent="0.35">
      <c r="A22" s="56" t="s">
        <v>577</v>
      </c>
      <c r="B22" s="56"/>
      <c r="C22" s="19">
        <f>ROUND(AVERAGE(C2:C21),2)</f>
        <v>20.52</v>
      </c>
      <c r="D22" s="19">
        <f>ROUND(AVERAGE(D2:D21),2)</f>
        <v>79.48</v>
      </c>
      <c r="E22" s="20" t="str">
        <f t="shared" ref="E22" si="3">IF(D22&gt;=90,"Excellent",IF(D22&gt;=75,"Good",IF(D22&gt;=55,"Acceptable",IF(D22&gt;=35,"Weak","Critic"))))</f>
        <v>Good</v>
      </c>
    </row>
  </sheetData>
  <mergeCells count="1">
    <mergeCell ref="A22:B22"/>
  </mergeCells>
  <conditionalFormatting sqref="C2:C21">
    <cfRule type="cellIs" dxfId="3" priority="1" operator="greaterThan">
      <formula>99</formula>
    </cfRule>
  </conditionalFormatting>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B043-9058-4AEB-8FA5-30B3B99E7D14}">
  <sheetPr>
    <tabColor theme="9"/>
  </sheetPr>
  <dimension ref="A1:H77"/>
  <sheetViews>
    <sheetView zoomScaleNormal="100" workbookViewId="0">
      <pane ySplit="1" topLeftCell="A2" activePane="bottomLeft" state="frozen"/>
      <selection pane="bottomLeft"/>
    </sheetView>
  </sheetViews>
  <sheetFormatPr defaultColWidth="12.59765625" defaultRowHeight="12.75" x14ac:dyDescent="0.35"/>
  <cols>
    <col min="1" max="1" width="10.6640625" bestFit="1" customWidth="1"/>
    <col min="2" max="2" width="13.46484375" bestFit="1" customWidth="1"/>
    <col min="3" max="3" width="49.53125" bestFit="1" customWidth="1"/>
    <col min="4" max="4" width="10" bestFit="1" customWidth="1"/>
    <col min="5" max="5" width="111.3984375" bestFit="1" customWidth="1"/>
    <col min="6" max="6" width="21.3984375" bestFit="1" customWidth="1"/>
    <col min="7" max="7" width="67"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1083</v>
      </c>
      <c r="B2" s="31">
        <v>1</v>
      </c>
      <c r="C2" s="31" t="s">
        <v>52</v>
      </c>
      <c r="D2" s="31" t="s">
        <v>1084</v>
      </c>
      <c r="E2" s="31" t="s">
        <v>1085</v>
      </c>
      <c r="F2" s="31" t="s">
        <v>27</v>
      </c>
      <c r="G2" s="31" t="s">
        <v>1086</v>
      </c>
      <c r="H2" s="35" t="s">
        <v>60</v>
      </c>
    </row>
    <row r="3" spans="1:8" ht="23.25" x14ac:dyDescent="0.35">
      <c r="A3" s="32" t="s">
        <v>1083</v>
      </c>
      <c r="B3" s="32">
        <v>1</v>
      </c>
      <c r="C3" s="32" t="s">
        <v>1087</v>
      </c>
      <c r="D3" s="32" t="s">
        <v>1084</v>
      </c>
      <c r="E3" s="32" t="s">
        <v>1088</v>
      </c>
      <c r="F3" s="32" t="s">
        <v>21</v>
      </c>
      <c r="G3" s="32" t="s">
        <v>1089</v>
      </c>
      <c r="H3" s="36" t="s">
        <v>34</v>
      </c>
    </row>
    <row r="4" spans="1:8" ht="23.25" x14ac:dyDescent="0.35">
      <c r="A4" s="31" t="s">
        <v>1083</v>
      </c>
      <c r="B4" s="31">
        <v>1</v>
      </c>
      <c r="C4" s="31" t="s">
        <v>1090</v>
      </c>
      <c r="D4" s="31" t="s">
        <v>1084</v>
      </c>
      <c r="E4" s="31" t="s">
        <v>1091</v>
      </c>
      <c r="F4" s="31" t="s">
        <v>25</v>
      </c>
      <c r="G4" s="31" t="s">
        <v>1092</v>
      </c>
      <c r="H4" s="35" t="s">
        <v>60</v>
      </c>
    </row>
    <row r="5" spans="1:8" ht="23.25" x14ac:dyDescent="0.35">
      <c r="A5" s="32" t="s">
        <v>1083</v>
      </c>
      <c r="B5" s="32">
        <v>1</v>
      </c>
      <c r="C5" s="32" t="s">
        <v>1093</v>
      </c>
      <c r="D5" s="32" t="s">
        <v>1084</v>
      </c>
      <c r="E5" s="32" t="s">
        <v>1094</v>
      </c>
      <c r="F5" s="32" t="s">
        <v>25</v>
      </c>
      <c r="G5" s="32" t="s">
        <v>1095</v>
      </c>
      <c r="H5" s="36" t="s">
        <v>60</v>
      </c>
    </row>
    <row r="6" spans="1:8" ht="23.25" x14ac:dyDescent="0.35">
      <c r="A6" s="31" t="s">
        <v>1083</v>
      </c>
      <c r="B6" s="31">
        <v>1</v>
      </c>
      <c r="C6" s="31" t="s">
        <v>1096</v>
      </c>
      <c r="D6" s="31" t="s">
        <v>1084</v>
      </c>
      <c r="E6" s="31" t="s">
        <v>1097</v>
      </c>
      <c r="F6" s="31" t="s">
        <v>25</v>
      </c>
      <c r="G6" s="31" t="s">
        <v>1098</v>
      </c>
      <c r="H6" s="35" t="s">
        <v>34</v>
      </c>
    </row>
    <row r="7" spans="1:8" ht="23.25" x14ac:dyDescent="0.35">
      <c r="A7" s="32" t="s">
        <v>1083</v>
      </c>
      <c r="B7" s="32">
        <v>1</v>
      </c>
      <c r="C7" s="32" t="s">
        <v>1099</v>
      </c>
      <c r="D7" s="32" t="s">
        <v>1100</v>
      </c>
      <c r="E7" s="32" t="s">
        <v>1101</v>
      </c>
      <c r="F7" s="32" t="s">
        <v>18</v>
      </c>
      <c r="G7" s="32" t="s">
        <v>1102</v>
      </c>
      <c r="H7" s="36" t="s">
        <v>33</v>
      </c>
    </row>
    <row r="8" spans="1:8" ht="23.25" x14ac:dyDescent="0.35">
      <c r="A8" s="31" t="s">
        <v>1083</v>
      </c>
      <c r="B8" s="31">
        <v>1</v>
      </c>
      <c r="C8" s="31" t="s">
        <v>1103</v>
      </c>
      <c r="D8" s="31" t="s">
        <v>1100</v>
      </c>
      <c r="E8" s="31" t="s">
        <v>1104</v>
      </c>
      <c r="F8" s="31" t="s">
        <v>25</v>
      </c>
      <c r="G8" s="31" t="s">
        <v>1105</v>
      </c>
      <c r="H8" s="35" t="s">
        <v>60</v>
      </c>
    </row>
    <row r="9" spans="1:8" ht="23.25" x14ac:dyDescent="0.35">
      <c r="A9" s="32" t="s">
        <v>1083</v>
      </c>
      <c r="B9" s="32">
        <v>2</v>
      </c>
      <c r="C9" s="32" t="s">
        <v>61</v>
      </c>
      <c r="D9" s="32" t="s">
        <v>1106</v>
      </c>
      <c r="E9" s="32" t="s">
        <v>1107</v>
      </c>
      <c r="F9" s="32" t="s">
        <v>25</v>
      </c>
      <c r="G9" s="32" t="s">
        <v>1108</v>
      </c>
      <c r="H9" s="36" t="s">
        <v>34</v>
      </c>
    </row>
    <row r="10" spans="1:8" ht="23.25" x14ac:dyDescent="0.35">
      <c r="A10" s="31" t="s">
        <v>1083</v>
      </c>
      <c r="B10" s="31">
        <v>2</v>
      </c>
      <c r="C10" s="31" t="s">
        <v>61</v>
      </c>
      <c r="D10" s="31" t="s">
        <v>1106</v>
      </c>
      <c r="E10" s="31" t="s">
        <v>1109</v>
      </c>
      <c r="F10" s="31" t="s">
        <v>25</v>
      </c>
      <c r="G10" s="31" t="s">
        <v>1110</v>
      </c>
      <c r="H10" s="35" t="s">
        <v>60</v>
      </c>
    </row>
    <row r="11" spans="1:8" ht="23.25" x14ac:dyDescent="0.35">
      <c r="A11" s="32" t="s">
        <v>1083</v>
      </c>
      <c r="B11" s="32">
        <v>2</v>
      </c>
      <c r="C11" s="32" t="s">
        <v>61</v>
      </c>
      <c r="D11" s="32" t="s">
        <v>1111</v>
      </c>
      <c r="E11" s="32" t="s">
        <v>1112</v>
      </c>
      <c r="F11" s="32" t="s">
        <v>25</v>
      </c>
      <c r="G11" s="32" t="s">
        <v>1113</v>
      </c>
      <c r="H11" s="36" t="s">
        <v>60</v>
      </c>
    </row>
    <row r="12" spans="1:8" ht="23.25" x14ac:dyDescent="0.35">
      <c r="A12" s="31" t="s">
        <v>1083</v>
      </c>
      <c r="B12" s="31">
        <v>2</v>
      </c>
      <c r="C12" s="31" t="s">
        <v>61</v>
      </c>
      <c r="D12" s="31" t="s">
        <v>1111</v>
      </c>
      <c r="E12" s="31" t="s">
        <v>1114</v>
      </c>
      <c r="F12" s="31" t="s">
        <v>25</v>
      </c>
      <c r="G12" s="31" t="s">
        <v>1115</v>
      </c>
      <c r="H12" s="35" t="s">
        <v>60</v>
      </c>
    </row>
    <row r="13" spans="1:8" ht="23.25" x14ac:dyDescent="0.35">
      <c r="A13" s="32" t="s">
        <v>1083</v>
      </c>
      <c r="B13" s="32">
        <v>2</v>
      </c>
      <c r="C13" s="32" t="s">
        <v>61</v>
      </c>
      <c r="D13" s="32" t="s">
        <v>1116</v>
      </c>
      <c r="E13" s="32" t="s">
        <v>1117</v>
      </c>
      <c r="F13" s="32" t="s">
        <v>25</v>
      </c>
      <c r="G13" s="32" t="s">
        <v>1118</v>
      </c>
      <c r="H13" s="36" t="s">
        <v>34</v>
      </c>
    </row>
    <row r="14" spans="1:8" ht="23.25" x14ac:dyDescent="0.35">
      <c r="A14" s="31" t="s">
        <v>1083</v>
      </c>
      <c r="B14" s="31">
        <v>2</v>
      </c>
      <c r="C14" s="31" t="s">
        <v>61</v>
      </c>
      <c r="D14" s="31" t="s">
        <v>1119</v>
      </c>
      <c r="E14" s="31" t="s">
        <v>1120</v>
      </c>
      <c r="F14" s="31" t="s">
        <v>25</v>
      </c>
      <c r="G14" s="31" t="s">
        <v>1121</v>
      </c>
      <c r="H14" s="35" t="s">
        <v>34</v>
      </c>
    </row>
    <row r="15" spans="1:8" ht="23.25" x14ac:dyDescent="0.35">
      <c r="A15" s="32" t="s">
        <v>1083</v>
      </c>
      <c r="B15" s="32">
        <v>2</v>
      </c>
      <c r="C15" s="32" t="s">
        <v>61</v>
      </c>
      <c r="D15" s="32" t="s">
        <v>1122</v>
      </c>
      <c r="E15" s="32" t="s">
        <v>1123</v>
      </c>
      <c r="F15" s="32" t="s">
        <v>25</v>
      </c>
      <c r="G15" s="32" t="s">
        <v>1124</v>
      </c>
      <c r="H15" s="36" t="s">
        <v>60</v>
      </c>
    </row>
    <row r="16" spans="1:8" ht="23.25" x14ac:dyDescent="0.35">
      <c r="A16" s="31" t="s">
        <v>1083</v>
      </c>
      <c r="B16" s="31">
        <v>2</v>
      </c>
      <c r="C16" s="31" t="s">
        <v>61</v>
      </c>
      <c r="D16" s="31" t="s">
        <v>1122</v>
      </c>
      <c r="E16" s="31" t="s">
        <v>1125</v>
      </c>
      <c r="F16" s="31" t="s">
        <v>20</v>
      </c>
      <c r="G16" s="31" t="s">
        <v>1126</v>
      </c>
      <c r="H16" s="35" t="s">
        <v>34</v>
      </c>
    </row>
    <row r="17" spans="1:8" ht="23.25" x14ac:dyDescent="0.35">
      <c r="A17" s="32" t="s">
        <v>1083</v>
      </c>
      <c r="B17" s="32">
        <v>2</v>
      </c>
      <c r="C17" s="32" t="s">
        <v>61</v>
      </c>
      <c r="D17" s="32" t="s">
        <v>1122</v>
      </c>
      <c r="E17" s="32" t="s">
        <v>1127</v>
      </c>
      <c r="F17" s="32" t="s">
        <v>25</v>
      </c>
      <c r="G17" s="32" t="s">
        <v>1128</v>
      </c>
      <c r="H17" s="36" t="s">
        <v>60</v>
      </c>
    </row>
    <row r="18" spans="1:8" x14ac:dyDescent="0.35">
      <c r="A18" s="31" t="s">
        <v>1083</v>
      </c>
      <c r="B18" s="31">
        <v>3</v>
      </c>
      <c r="C18" s="31" t="s">
        <v>92</v>
      </c>
      <c r="D18" s="31" t="s">
        <v>1129</v>
      </c>
      <c r="E18" s="31" t="s">
        <v>1130</v>
      </c>
      <c r="F18" s="31" t="s">
        <v>25</v>
      </c>
      <c r="G18" s="31" t="s">
        <v>1131</v>
      </c>
      <c r="H18" s="35" t="s">
        <v>33</v>
      </c>
    </row>
    <row r="19" spans="1:8" x14ac:dyDescent="0.35">
      <c r="A19" s="32" t="s">
        <v>1083</v>
      </c>
      <c r="B19" s="32">
        <v>3</v>
      </c>
      <c r="C19" s="32" t="s">
        <v>92</v>
      </c>
      <c r="D19" s="32" t="s">
        <v>1129</v>
      </c>
      <c r="E19" s="32" t="s">
        <v>1132</v>
      </c>
      <c r="F19" s="32" t="s">
        <v>25</v>
      </c>
      <c r="G19" s="32" t="s">
        <v>1133</v>
      </c>
      <c r="H19" s="36" t="s">
        <v>34</v>
      </c>
    </row>
    <row r="20" spans="1:8" x14ac:dyDescent="0.35">
      <c r="A20" s="31" t="s">
        <v>1083</v>
      </c>
      <c r="B20" s="31">
        <v>3</v>
      </c>
      <c r="C20" s="31" t="s">
        <v>92</v>
      </c>
      <c r="D20" s="31" t="s">
        <v>1129</v>
      </c>
      <c r="E20" s="31" t="s">
        <v>1134</v>
      </c>
      <c r="F20" s="31" t="s">
        <v>25</v>
      </c>
      <c r="G20" s="31" t="s">
        <v>1135</v>
      </c>
      <c r="H20" s="35" t="s">
        <v>60</v>
      </c>
    </row>
    <row r="21" spans="1:8" x14ac:dyDescent="0.35">
      <c r="A21" s="32" t="s">
        <v>1083</v>
      </c>
      <c r="B21" s="32">
        <v>3</v>
      </c>
      <c r="C21" s="32" t="s">
        <v>92</v>
      </c>
      <c r="D21" s="32" t="s">
        <v>1129</v>
      </c>
      <c r="E21" s="32" t="s">
        <v>1136</v>
      </c>
      <c r="F21" s="32" t="s">
        <v>25</v>
      </c>
      <c r="G21" s="32" t="s">
        <v>1137</v>
      </c>
      <c r="H21" s="36" t="s">
        <v>33</v>
      </c>
    </row>
    <row r="22" spans="1:8" x14ac:dyDescent="0.35">
      <c r="A22" s="31" t="s">
        <v>1083</v>
      </c>
      <c r="B22" s="31">
        <v>3</v>
      </c>
      <c r="C22" s="31" t="s">
        <v>92</v>
      </c>
      <c r="D22" s="31" t="s">
        <v>1129</v>
      </c>
      <c r="E22" s="31" t="s">
        <v>1138</v>
      </c>
      <c r="F22" s="31" t="s">
        <v>25</v>
      </c>
      <c r="G22" s="31" t="s">
        <v>1139</v>
      </c>
      <c r="H22" s="35" t="s">
        <v>34</v>
      </c>
    </row>
    <row r="23" spans="1:8" x14ac:dyDescent="0.35">
      <c r="A23" s="32" t="s">
        <v>1083</v>
      </c>
      <c r="B23" s="32">
        <v>3</v>
      </c>
      <c r="C23" s="32" t="s">
        <v>92</v>
      </c>
      <c r="D23" s="32" t="s">
        <v>1140</v>
      </c>
      <c r="E23" s="32" t="s">
        <v>1141</v>
      </c>
      <c r="F23" s="32" t="s">
        <v>25</v>
      </c>
      <c r="G23" s="32" t="s">
        <v>1142</v>
      </c>
      <c r="H23" s="36" t="s">
        <v>34</v>
      </c>
    </row>
    <row r="24" spans="1:8" x14ac:dyDescent="0.35">
      <c r="A24" s="31" t="s">
        <v>1083</v>
      </c>
      <c r="B24" s="31">
        <v>4</v>
      </c>
      <c r="C24" s="31" t="s">
        <v>535</v>
      </c>
      <c r="D24" s="31" t="s">
        <v>1143</v>
      </c>
      <c r="E24" s="31" t="s">
        <v>1144</v>
      </c>
      <c r="F24" s="31" t="s">
        <v>25</v>
      </c>
      <c r="G24" s="31" t="s">
        <v>1145</v>
      </c>
      <c r="H24" s="35" t="s">
        <v>33</v>
      </c>
    </row>
    <row r="25" spans="1:8" x14ac:dyDescent="0.35">
      <c r="A25" s="32" t="s">
        <v>1083</v>
      </c>
      <c r="B25" s="32">
        <v>4</v>
      </c>
      <c r="C25" s="32" t="s">
        <v>535</v>
      </c>
      <c r="D25" s="32" t="s">
        <v>1143</v>
      </c>
      <c r="E25" s="32" t="s">
        <v>1146</v>
      </c>
      <c r="F25" s="32" t="s">
        <v>25</v>
      </c>
      <c r="G25" s="32" t="s">
        <v>1147</v>
      </c>
      <c r="H25" s="36" t="s">
        <v>60</v>
      </c>
    </row>
    <row r="26" spans="1:8" x14ac:dyDescent="0.35">
      <c r="A26" s="31" t="s">
        <v>1083</v>
      </c>
      <c r="B26" s="31">
        <v>4</v>
      </c>
      <c r="C26" s="31" t="s">
        <v>535</v>
      </c>
      <c r="D26" s="31" t="s">
        <v>1143</v>
      </c>
      <c r="E26" s="31" t="s">
        <v>1148</v>
      </c>
      <c r="F26" s="31" t="s">
        <v>25</v>
      </c>
      <c r="G26" s="31" t="s">
        <v>1149</v>
      </c>
      <c r="H26" s="35" t="s">
        <v>34</v>
      </c>
    </row>
    <row r="27" spans="1:8" x14ac:dyDescent="0.35">
      <c r="A27" s="32" t="s">
        <v>1083</v>
      </c>
      <c r="B27" s="32">
        <v>4</v>
      </c>
      <c r="C27" s="32" t="s">
        <v>535</v>
      </c>
      <c r="D27" s="32" t="s">
        <v>1150</v>
      </c>
      <c r="E27" s="32" t="s">
        <v>1151</v>
      </c>
      <c r="F27" s="32" t="s">
        <v>25</v>
      </c>
      <c r="G27" s="32" t="s">
        <v>1152</v>
      </c>
      <c r="H27" s="36" t="s">
        <v>60</v>
      </c>
    </row>
    <row r="28" spans="1:8" x14ac:dyDescent="0.35">
      <c r="A28" s="31" t="s">
        <v>1083</v>
      </c>
      <c r="B28" s="31">
        <v>4</v>
      </c>
      <c r="C28" s="31" t="s">
        <v>535</v>
      </c>
      <c r="D28" s="31" t="s">
        <v>1153</v>
      </c>
      <c r="E28" s="31" t="s">
        <v>1154</v>
      </c>
      <c r="F28" s="31" t="s">
        <v>25</v>
      </c>
      <c r="G28" s="31" t="s">
        <v>1155</v>
      </c>
      <c r="H28" s="35" t="s">
        <v>34</v>
      </c>
    </row>
    <row r="29" spans="1:8" x14ac:dyDescent="0.35">
      <c r="A29" s="32" t="s">
        <v>1083</v>
      </c>
      <c r="B29" s="32">
        <v>5</v>
      </c>
      <c r="C29" s="32" t="s">
        <v>139</v>
      </c>
      <c r="D29" s="32" t="s">
        <v>1156</v>
      </c>
      <c r="E29" s="32" t="s">
        <v>1157</v>
      </c>
      <c r="F29" s="32" t="s">
        <v>25</v>
      </c>
      <c r="G29" s="32" t="s">
        <v>1158</v>
      </c>
      <c r="H29" s="36" t="s">
        <v>34</v>
      </c>
    </row>
    <row r="30" spans="1:8" x14ac:dyDescent="0.35">
      <c r="A30" s="31" t="s">
        <v>1083</v>
      </c>
      <c r="B30" s="31">
        <v>5</v>
      </c>
      <c r="C30" s="31" t="s">
        <v>139</v>
      </c>
      <c r="D30" s="31" t="s">
        <v>1159</v>
      </c>
      <c r="E30" s="31" t="s">
        <v>1160</v>
      </c>
      <c r="F30" s="31" t="s">
        <v>18</v>
      </c>
      <c r="G30" s="31" t="s">
        <v>1161</v>
      </c>
      <c r="H30" s="35" t="s">
        <v>33</v>
      </c>
    </row>
    <row r="31" spans="1:8" ht="23.25" x14ac:dyDescent="0.35">
      <c r="A31" s="32" t="s">
        <v>1083</v>
      </c>
      <c r="B31" s="32">
        <v>6</v>
      </c>
      <c r="C31" s="32" t="s">
        <v>161</v>
      </c>
      <c r="D31" s="32" t="s">
        <v>1162</v>
      </c>
      <c r="E31" s="32" t="s">
        <v>1163</v>
      </c>
      <c r="F31" s="32" t="s">
        <v>25</v>
      </c>
      <c r="G31" s="32" t="s">
        <v>1164</v>
      </c>
      <c r="H31" s="36" t="s">
        <v>34</v>
      </c>
    </row>
    <row r="32" spans="1:8" ht="23.25" x14ac:dyDescent="0.35">
      <c r="A32" s="31" t="s">
        <v>1083</v>
      </c>
      <c r="B32" s="31">
        <v>6</v>
      </c>
      <c r="C32" s="31" t="s">
        <v>161</v>
      </c>
      <c r="D32" s="31" t="s">
        <v>1165</v>
      </c>
      <c r="E32" s="31" t="s">
        <v>1166</v>
      </c>
      <c r="F32" s="31" t="s">
        <v>25</v>
      </c>
      <c r="G32" s="31" t="s">
        <v>1167</v>
      </c>
      <c r="H32" s="35" t="s">
        <v>34</v>
      </c>
    </row>
    <row r="33" spans="1:8" x14ac:dyDescent="0.35">
      <c r="A33" s="32" t="s">
        <v>1083</v>
      </c>
      <c r="B33" s="32">
        <v>7</v>
      </c>
      <c r="C33" s="32" t="s">
        <v>198</v>
      </c>
      <c r="D33" s="32" t="s">
        <v>1168</v>
      </c>
      <c r="E33" s="32" t="s">
        <v>1169</v>
      </c>
      <c r="F33" s="32" t="s">
        <v>25</v>
      </c>
      <c r="G33" s="32" t="s">
        <v>1170</v>
      </c>
      <c r="H33" s="36" t="s">
        <v>34</v>
      </c>
    </row>
    <row r="34" spans="1:8" x14ac:dyDescent="0.35">
      <c r="A34" s="31" t="s">
        <v>1083</v>
      </c>
      <c r="B34" s="31">
        <v>7</v>
      </c>
      <c r="C34" s="31" t="s">
        <v>198</v>
      </c>
      <c r="D34" s="31" t="s">
        <v>1171</v>
      </c>
      <c r="E34" s="31" t="s">
        <v>1172</v>
      </c>
      <c r="F34" s="31" t="s">
        <v>25</v>
      </c>
      <c r="G34" s="31" t="s">
        <v>1173</v>
      </c>
      <c r="H34" s="35" t="s">
        <v>33</v>
      </c>
    </row>
    <row r="35" spans="1:8" x14ac:dyDescent="0.35">
      <c r="A35" s="32" t="s">
        <v>1083</v>
      </c>
      <c r="B35" s="32">
        <v>7</v>
      </c>
      <c r="C35" s="32" t="s">
        <v>198</v>
      </c>
      <c r="D35" s="32" t="s">
        <v>1174</v>
      </c>
      <c r="E35" s="32" t="s">
        <v>1175</v>
      </c>
      <c r="F35" s="32" t="s">
        <v>25</v>
      </c>
      <c r="G35" s="32" t="s">
        <v>1176</v>
      </c>
      <c r="H35" s="36" t="s">
        <v>33</v>
      </c>
    </row>
    <row r="36" spans="1:8" x14ac:dyDescent="0.35">
      <c r="A36" s="31" t="s">
        <v>1083</v>
      </c>
      <c r="B36" s="31">
        <v>7</v>
      </c>
      <c r="C36" s="31" t="s">
        <v>198</v>
      </c>
      <c r="D36" s="31" t="s">
        <v>1177</v>
      </c>
      <c r="E36" s="31" t="s">
        <v>1178</v>
      </c>
      <c r="F36" s="31" t="s">
        <v>25</v>
      </c>
      <c r="G36" s="31" t="s">
        <v>1179</v>
      </c>
      <c r="H36" s="35" t="s">
        <v>60</v>
      </c>
    </row>
    <row r="37" spans="1:8" x14ac:dyDescent="0.35">
      <c r="A37" s="32" t="s">
        <v>1083</v>
      </c>
      <c r="B37" s="32">
        <v>8</v>
      </c>
      <c r="C37" s="32" t="s">
        <v>210</v>
      </c>
      <c r="D37" s="32" t="s">
        <v>1180</v>
      </c>
      <c r="E37" s="32" t="s">
        <v>1181</v>
      </c>
      <c r="F37" s="32" t="s">
        <v>25</v>
      </c>
      <c r="G37" s="32" t="s">
        <v>1182</v>
      </c>
      <c r="H37" s="36" t="s">
        <v>34</v>
      </c>
    </row>
    <row r="38" spans="1:8" ht="23.25" x14ac:dyDescent="0.35">
      <c r="A38" s="31" t="s">
        <v>1083</v>
      </c>
      <c r="B38" s="31">
        <v>9</v>
      </c>
      <c r="C38" s="31" t="s">
        <v>249</v>
      </c>
      <c r="D38" s="31" t="s">
        <v>1183</v>
      </c>
      <c r="E38" s="31" t="s">
        <v>1184</v>
      </c>
      <c r="F38" s="31" t="s">
        <v>25</v>
      </c>
      <c r="G38" s="31" t="s">
        <v>1185</v>
      </c>
      <c r="H38" s="35" t="s">
        <v>34</v>
      </c>
    </row>
    <row r="39" spans="1:8" ht="23.25" x14ac:dyDescent="0.35">
      <c r="A39" s="32" t="s">
        <v>1083</v>
      </c>
      <c r="B39" s="32">
        <v>9</v>
      </c>
      <c r="C39" s="32" t="s">
        <v>249</v>
      </c>
      <c r="D39" s="32" t="s">
        <v>1183</v>
      </c>
      <c r="E39" s="32" t="s">
        <v>1186</v>
      </c>
      <c r="F39" s="32" t="s">
        <v>25</v>
      </c>
      <c r="G39" s="32" t="s">
        <v>1187</v>
      </c>
      <c r="H39" s="36" t="s">
        <v>33</v>
      </c>
    </row>
    <row r="40" spans="1:8" ht="23.25" x14ac:dyDescent="0.35">
      <c r="A40" s="31" t="s">
        <v>1083</v>
      </c>
      <c r="B40" s="31">
        <v>9</v>
      </c>
      <c r="C40" s="31" t="s">
        <v>249</v>
      </c>
      <c r="D40" s="31" t="s">
        <v>1183</v>
      </c>
      <c r="E40" s="31" t="s">
        <v>1188</v>
      </c>
      <c r="F40" s="31" t="s">
        <v>23</v>
      </c>
      <c r="G40" s="31" t="s">
        <v>1189</v>
      </c>
      <c r="H40" s="35" t="s">
        <v>33</v>
      </c>
    </row>
    <row r="41" spans="1:8" ht="23.25" x14ac:dyDescent="0.35">
      <c r="A41" s="32" t="s">
        <v>1083</v>
      </c>
      <c r="B41" s="32">
        <v>9</v>
      </c>
      <c r="C41" s="32" t="s">
        <v>249</v>
      </c>
      <c r="D41" s="32" t="s">
        <v>1190</v>
      </c>
      <c r="E41" s="32" t="s">
        <v>1191</v>
      </c>
      <c r="F41" s="32" t="s">
        <v>23</v>
      </c>
      <c r="G41" s="32" t="s">
        <v>1192</v>
      </c>
      <c r="H41" s="36" t="s">
        <v>33</v>
      </c>
    </row>
    <row r="42" spans="1:8" ht="23.25" x14ac:dyDescent="0.35">
      <c r="A42" s="31" t="s">
        <v>1083</v>
      </c>
      <c r="B42" s="31">
        <v>9</v>
      </c>
      <c r="C42" s="31" t="s">
        <v>249</v>
      </c>
      <c r="D42" s="31" t="s">
        <v>1193</v>
      </c>
      <c r="E42" s="31" t="s">
        <v>1194</v>
      </c>
      <c r="F42" s="31" t="s">
        <v>25</v>
      </c>
      <c r="G42" s="31" t="s">
        <v>1195</v>
      </c>
      <c r="H42" s="35" t="s">
        <v>34</v>
      </c>
    </row>
    <row r="43" spans="1:8" ht="23.25" x14ac:dyDescent="0.35">
      <c r="A43" s="32" t="s">
        <v>1083</v>
      </c>
      <c r="B43" s="32">
        <v>9</v>
      </c>
      <c r="C43" s="32" t="s">
        <v>249</v>
      </c>
      <c r="D43" s="32" t="s">
        <v>1196</v>
      </c>
      <c r="E43" s="32" t="s">
        <v>1197</v>
      </c>
      <c r="F43" s="32" t="s">
        <v>23</v>
      </c>
      <c r="G43" s="32" t="s">
        <v>1189</v>
      </c>
      <c r="H43" s="36" t="s">
        <v>33</v>
      </c>
    </row>
    <row r="44" spans="1:8" ht="23.25" x14ac:dyDescent="0.35">
      <c r="A44" s="31" t="s">
        <v>1083</v>
      </c>
      <c r="B44" s="31">
        <v>9</v>
      </c>
      <c r="C44" s="31" t="s">
        <v>249</v>
      </c>
      <c r="D44" s="31" t="s">
        <v>1196</v>
      </c>
      <c r="E44" s="31" t="s">
        <v>1198</v>
      </c>
      <c r="F44" s="31" t="s">
        <v>23</v>
      </c>
      <c r="G44" s="31" t="s">
        <v>1199</v>
      </c>
      <c r="H44" s="35" t="s">
        <v>33</v>
      </c>
    </row>
    <row r="45" spans="1:8" ht="23.25" x14ac:dyDescent="0.35">
      <c r="A45" s="32" t="s">
        <v>1083</v>
      </c>
      <c r="B45" s="32">
        <v>9</v>
      </c>
      <c r="C45" s="32" t="s">
        <v>249</v>
      </c>
      <c r="D45" s="32" t="s">
        <v>1196</v>
      </c>
      <c r="E45" s="32" t="s">
        <v>1200</v>
      </c>
      <c r="F45" s="32" t="s">
        <v>23</v>
      </c>
      <c r="G45" s="32" t="s">
        <v>1201</v>
      </c>
      <c r="H45" s="36" t="s">
        <v>33</v>
      </c>
    </row>
    <row r="46" spans="1:8" ht="23.25" x14ac:dyDescent="0.35">
      <c r="A46" s="31" t="s">
        <v>1083</v>
      </c>
      <c r="B46" s="31">
        <v>9</v>
      </c>
      <c r="C46" s="31" t="s">
        <v>249</v>
      </c>
      <c r="D46" s="31" t="s">
        <v>1202</v>
      </c>
      <c r="E46" s="31" t="s">
        <v>1203</v>
      </c>
      <c r="F46" s="31" t="s">
        <v>23</v>
      </c>
      <c r="G46" s="31" t="s">
        <v>1204</v>
      </c>
      <c r="H46" s="35" t="s">
        <v>34</v>
      </c>
    </row>
    <row r="47" spans="1:8" ht="23.25" x14ac:dyDescent="0.35">
      <c r="A47" s="32" t="s">
        <v>1083</v>
      </c>
      <c r="B47" s="32">
        <v>9</v>
      </c>
      <c r="C47" s="32" t="s">
        <v>249</v>
      </c>
      <c r="D47" s="32" t="s">
        <v>1205</v>
      </c>
      <c r="E47" s="32" t="s">
        <v>1206</v>
      </c>
      <c r="F47" s="32" t="s">
        <v>25</v>
      </c>
      <c r="G47" s="32" t="s">
        <v>1207</v>
      </c>
      <c r="H47" s="36" t="s">
        <v>33</v>
      </c>
    </row>
    <row r="48" spans="1:8" x14ac:dyDescent="0.35">
      <c r="A48" s="31" t="s">
        <v>1083</v>
      </c>
      <c r="B48" s="31">
        <v>10</v>
      </c>
      <c r="C48" s="31" t="s">
        <v>283</v>
      </c>
      <c r="D48" s="31" t="s">
        <v>1208</v>
      </c>
      <c r="E48" s="31" t="s">
        <v>1209</v>
      </c>
      <c r="F48" s="31" t="s">
        <v>25</v>
      </c>
      <c r="G48" s="31" t="s">
        <v>1210</v>
      </c>
      <c r="H48" s="35" t="s">
        <v>34</v>
      </c>
    </row>
    <row r="49" spans="1:8" x14ac:dyDescent="0.35">
      <c r="A49" s="32" t="s">
        <v>1083</v>
      </c>
      <c r="B49" s="32">
        <v>10</v>
      </c>
      <c r="C49" s="32" t="s">
        <v>283</v>
      </c>
      <c r="D49" s="32" t="s">
        <v>1211</v>
      </c>
      <c r="E49" s="32" t="s">
        <v>1212</v>
      </c>
      <c r="F49" s="32" t="s">
        <v>25</v>
      </c>
      <c r="G49" s="32" t="s">
        <v>1213</v>
      </c>
      <c r="H49" s="36" t="s">
        <v>60</v>
      </c>
    </row>
    <row r="50" spans="1:8" x14ac:dyDescent="0.35">
      <c r="A50" s="31" t="s">
        <v>1083</v>
      </c>
      <c r="B50" s="31">
        <v>10</v>
      </c>
      <c r="C50" s="31" t="s">
        <v>283</v>
      </c>
      <c r="D50" s="31" t="s">
        <v>1211</v>
      </c>
      <c r="E50" s="31" t="s">
        <v>1214</v>
      </c>
      <c r="F50" s="31" t="s">
        <v>25</v>
      </c>
      <c r="G50" s="31" t="s">
        <v>1215</v>
      </c>
      <c r="H50" s="35" t="s">
        <v>60</v>
      </c>
    </row>
    <row r="51" spans="1:8" ht="23.25" x14ac:dyDescent="0.35">
      <c r="A51" s="32" t="s">
        <v>1083</v>
      </c>
      <c r="B51" s="32">
        <v>11</v>
      </c>
      <c r="C51" s="32" t="s">
        <v>304</v>
      </c>
      <c r="D51" s="32" t="s">
        <v>1216</v>
      </c>
      <c r="E51" s="32" t="s">
        <v>1217</v>
      </c>
      <c r="F51" s="32" t="s">
        <v>23</v>
      </c>
      <c r="G51" s="32" t="s">
        <v>1218</v>
      </c>
      <c r="H51" s="36" t="s">
        <v>33</v>
      </c>
    </row>
    <row r="52" spans="1:8" ht="23.25" x14ac:dyDescent="0.35">
      <c r="A52" s="31" t="s">
        <v>1083</v>
      </c>
      <c r="B52" s="31">
        <v>12</v>
      </c>
      <c r="C52" s="31" t="s">
        <v>313</v>
      </c>
      <c r="D52" s="31" t="s">
        <v>1219</v>
      </c>
      <c r="E52" s="31" t="s">
        <v>1220</v>
      </c>
      <c r="F52" s="31" t="s">
        <v>25</v>
      </c>
      <c r="G52" s="31" t="s">
        <v>1221</v>
      </c>
      <c r="H52" s="35" t="s">
        <v>34</v>
      </c>
    </row>
    <row r="53" spans="1:8" ht="23.25" x14ac:dyDescent="0.35">
      <c r="A53" s="32" t="s">
        <v>1083</v>
      </c>
      <c r="B53" s="32">
        <v>12</v>
      </c>
      <c r="C53" s="32" t="s">
        <v>313</v>
      </c>
      <c r="D53" s="32" t="s">
        <v>1219</v>
      </c>
      <c r="E53" s="32" t="s">
        <v>1222</v>
      </c>
      <c r="F53" s="32" t="s">
        <v>19</v>
      </c>
      <c r="G53" s="32" t="s">
        <v>1223</v>
      </c>
      <c r="H53" s="36" t="s">
        <v>33</v>
      </c>
    </row>
    <row r="54" spans="1:8" ht="23.25" x14ac:dyDescent="0.35">
      <c r="A54" s="31" t="s">
        <v>1083</v>
      </c>
      <c r="B54" s="31">
        <v>12</v>
      </c>
      <c r="C54" s="31" t="s">
        <v>313</v>
      </c>
      <c r="D54" s="31" t="s">
        <v>1224</v>
      </c>
      <c r="E54" s="31" t="s">
        <v>1225</v>
      </c>
      <c r="F54" s="31" t="s">
        <v>25</v>
      </c>
      <c r="G54" s="31" t="s">
        <v>1226</v>
      </c>
      <c r="H54" s="35" t="s">
        <v>34</v>
      </c>
    </row>
    <row r="55" spans="1:8" ht="23.25" x14ac:dyDescent="0.35">
      <c r="A55" s="32" t="s">
        <v>1083</v>
      </c>
      <c r="B55" s="32">
        <v>12</v>
      </c>
      <c r="C55" s="32" t="s">
        <v>313</v>
      </c>
      <c r="D55" s="32" t="s">
        <v>1227</v>
      </c>
      <c r="E55" s="32" t="s">
        <v>1228</v>
      </c>
      <c r="F55" s="32" t="s">
        <v>18</v>
      </c>
      <c r="G55" s="32" t="s">
        <v>1229</v>
      </c>
      <c r="H55" s="36" t="s">
        <v>33</v>
      </c>
    </row>
    <row r="56" spans="1:8" ht="23.25" x14ac:dyDescent="0.35">
      <c r="A56" s="31" t="s">
        <v>1083</v>
      </c>
      <c r="B56" s="31">
        <v>12</v>
      </c>
      <c r="C56" s="31" t="s">
        <v>313</v>
      </c>
      <c r="D56" s="31" t="s">
        <v>1230</v>
      </c>
      <c r="E56" s="31" t="s">
        <v>1231</v>
      </c>
      <c r="F56" s="31" t="s">
        <v>23</v>
      </c>
      <c r="G56" s="31" t="s">
        <v>1232</v>
      </c>
      <c r="H56" s="35" t="s">
        <v>34</v>
      </c>
    </row>
    <row r="57" spans="1:8" x14ac:dyDescent="0.35">
      <c r="A57" s="32" t="s">
        <v>1083</v>
      </c>
      <c r="B57" s="32">
        <v>13</v>
      </c>
      <c r="C57" s="32" t="s">
        <v>329</v>
      </c>
      <c r="D57" s="32" t="s">
        <v>1233</v>
      </c>
      <c r="E57" s="32" t="s">
        <v>1234</v>
      </c>
      <c r="F57" s="32" t="s">
        <v>23</v>
      </c>
      <c r="G57" s="32" t="s">
        <v>1235</v>
      </c>
      <c r="H57" s="36" t="s">
        <v>34</v>
      </c>
    </row>
    <row r="58" spans="1:8" x14ac:dyDescent="0.35">
      <c r="A58" s="31" t="s">
        <v>1083</v>
      </c>
      <c r="B58" s="31">
        <v>13</v>
      </c>
      <c r="C58" s="31" t="s">
        <v>329</v>
      </c>
      <c r="D58" s="31" t="s">
        <v>1236</v>
      </c>
      <c r="E58" s="31" t="s">
        <v>1237</v>
      </c>
      <c r="F58" s="35" t="s">
        <v>25</v>
      </c>
      <c r="G58" s="31" t="s">
        <v>1238</v>
      </c>
      <c r="H58" s="35" t="s">
        <v>34</v>
      </c>
    </row>
    <row r="59" spans="1:8" x14ac:dyDescent="0.35">
      <c r="A59" s="32" t="s">
        <v>1083</v>
      </c>
      <c r="B59" s="32">
        <v>13</v>
      </c>
      <c r="C59" s="32" t="s">
        <v>329</v>
      </c>
      <c r="D59" s="32" t="s">
        <v>1239</v>
      </c>
      <c r="E59" s="32" t="s">
        <v>1240</v>
      </c>
      <c r="F59" s="32" t="s">
        <v>25</v>
      </c>
      <c r="G59" s="32" t="s">
        <v>1241</v>
      </c>
      <c r="H59" s="36" t="s">
        <v>34</v>
      </c>
    </row>
    <row r="60" spans="1:8" x14ac:dyDescent="0.35">
      <c r="A60" s="31" t="s">
        <v>1083</v>
      </c>
      <c r="B60" s="31">
        <v>13</v>
      </c>
      <c r="C60" s="31" t="s">
        <v>329</v>
      </c>
      <c r="D60" s="31" t="s">
        <v>1242</v>
      </c>
      <c r="E60" s="31" t="s">
        <v>1243</v>
      </c>
      <c r="F60" s="31" t="s">
        <v>25</v>
      </c>
      <c r="G60" s="31" t="s">
        <v>1244</v>
      </c>
      <c r="H60" s="35" t="s">
        <v>33</v>
      </c>
    </row>
    <row r="61" spans="1:8" ht="23.25" x14ac:dyDescent="0.35">
      <c r="A61" s="32" t="s">
        <v>1083</v>
      </c>
      <c r="B61" s="32">
        <v>14</v>
      </c>
      <c r="C61" s="32" t="s">
        <v>367</v>
      </c>
      <c r="D61" s="32" t="s">
        <v>1245</v>
      </c>
      <c r="E61" s="32" t="s">
        <v>1246</v>
      </c>
      <c r="F61" s="32" t="s">
        <v>25</v>
      </c>
      <c r="G61" s="32" t="s">
        <v>1247</v>
      </c>
      <c r="H61" s="36" t="s">
        <v>60</v>
      </c>
    </row>
    <row r="62" spans="1:8" ht="23.25" x14ac:dyDescent="0.35">
      <c r="A62" s="31" t="s">
        <v>1083</v>
      </c>
      <c r="B62" s="31">
        <v>14</v>
      </c>
      <c r="C62" s="31" t="s">
        <v>367</v>
      </c>
      <c r="D62" s="31" t="s">
        <v>1248</v>
      </c>
      <c r="E62" s="31" t="s">
        <v>1249</v>
      </c>
      <c r="F62" s="31" t="s">
        <v>25</v>
      </c>
      <c r="G62" s="31" t="s">
        <v>1250</v>
      </c>
      <c r="H62" s="35" t="s">
        <v>60</v>
      </c>
    </row>
    <row r="63" spans="1:8" ht="23.25" x14ac:dyDescent="0.35">
      <c r="A63" s="32" t="s">
        <v>1083</v>
      </c>
      <c r="B63" s="32">
        <v>15</v>
      </c>
      <c r="C63" s="32" t="s">
        <v>387</v>
      </c>
      <c r="D63" s="32" t="s">
        <v>1251</v>
      </c>
      <c r="E63" s="32" t="s">
        <v>1252</v>
      </c>
      <c r="F63" s="32" t="s">
        <v>23</v>
      </c>
      <c r="G63" s="32" t="s">
        <v>1253</v>
      </c>
      <c r="H63" s="36" t="s">
        <v>33</v>
      </c>
    </row>
    <row r="64" spans="1:8" ht="23.25" x14ac:dyDescent="0.35">
      <c r="A64" s="31" t="s">
        <v>1083</v>
      </c>
      <c r="B64" s="31">
        <v>15</v>
      </c>
      <c r="C64" s="31" t="s">
        <v>387</v>
      </c>
      <c r="D64" s="31" t="s">
        <v>574</v>
      </c>
      <c r="E64" s="31" t="s">
        <v>1254</v>
      </c>
      <c r="F64" s="31" t="s">
        <v>23</v>
      </c>
      <c r="G64" s="31" t="s">
        <v>1255</v>
      </c>
      <c r="H64" s="35" t="s">
        <v>33</v>
      </c>
    </row>
    <row r="65" spans="1:8" ht="23.25" x14ac:dyDescent="0.35">
      <c r="A65" s="32" t="s">
        <v>1083</v>
      </c>
      <c r="B65" s="32">
        <v>15</v>
      </c>
      <c r="C65" s="32" t="s">
        <v>387</v>
      </c>
      <c r="D65" s="32" t="s">
        <v>574</v>
      </c>
      <c r="E65" s="32" t="s">
        <v>1256</v>
      </c>
      <c r="F65" s="32" t="s">
        <v>23</v>
      </c>
      <c r="G65" s="32" t="s">
        <v>1257</v>
      </c>
      <c r="H65" s="36" t="s">
        <v>33</v>
      </c>
    </row>
    <row r="66" spans="1:8" ht="23.25" x14ac:dyDescent="0.35">
      <c r="A66" s="31" t="s">
        <v>1083</v>
      </c>
      <c r="B66" s="31">
        <v>16</v>
      </c>
      <c r="C66" s="31" t="s">
        <v>417</v>
      </c>
      <c r="D66" s="31" t="s">
        <v>1258</v>
      </c>
      <c r="E66" s="31" t="s">
        <v>1259</v>
      </c>
      <c r="F66" s="31" t="s">
        <v>25</v>
      </c>
      <c r="G66" s="31" t="s">
        <v>1260</v>
      </c>
      <c r="H66" s="35" t="s">
        <v>34</v>
      </c>
    </row>
    <row r="67" spans="1:8" x14ac:dyDescent="0.35">
      <c r="A67" s="32" t="s">
        <v>1083</v>
      </c>
      <c r="B67" s="32">
        <v>17</v>
      </c>
      <c r="C67" s="32" t="s">
        <v>442</v>
      </c>
      <c r="D67" s="32" t="s">
        <v>1261</v>
      </c>
      <c r="E67" s="32" t="s">
        <v>1262</v>
      </c>
      <c r="F67" s="32" t="s">
        <v>23</v>
      </c>
      <c r="G67" s="32" t="s">
        <v>1263</v>
      </c>
      <c r="H67" s="36" t="s">
        <v>33</v>
      </c>
    </row>
    <row r="68" spans="1:8" x14ac:dyDescent="0.35">
      <c r="A68" s="31" t="s">
        <v>1083</v>
      </c>
      <c r="B68" s="31">
        <v>17</v>
      </c>
      <c r="C68" s="31" t="s">
        <v>442</v>
      </c>
      <c r="D68" s="31" t="s">
        <v>1261</v>
      </c>
      <c r="E68" s="31" t="s">
        <v>1264</v>
      </c>
      <c r="F68" s="31" t="s">
        <v>23</v>
      </c>
      <c r="G68" s="31" t="s">
        <v>1265</v>
      </c>
      <c r="H68" s="35" t="s">
        <v>33</v>
      </c>
    </row>
    <row r="69" spans="1:8" x14ac:dyDescent="0.35">
      <c r="A69" s="32" t="s">
        <v>1083</v>
      </c>
      <c r="B69" s="32">
        <v>17</v>
      </c>
      <c r="C69" s="32" t="s">
        <v>442</v>
      </c>
      <c r="D69" s="32" t="s">
        <v>1266</v>
      </c>
      <c r="E69" s="32" t="s">
        <v>1267</v>
      </c>
      <c r="F69" s="32" t="s">
        <v>23</v>
      </c>
      <c r="G69" s="32" t="s">
        <v>1268</v>
      </c>
      <c r="H69" s="36" t="s">
        <v>33</v>
      </c>
    </row>
    <row r="70" spans="1:8" x14ac:dyDescent="0.35">
      <c r="A70" s="31" t="s">
        <v>1083</v>
      </c>
      <c r="B70" s="31">
        <v>18</v>
      </c>
      <c r="C70" s="31" t="s">
        <v>472</v>
      </c>
      <c r="D70" s="31" t="s">
        <v>1269</v>
      </c>
      <c r="E70" s="31" t="s">
        <v>1270</v>
      </c>
      <c r="F70" s="31" t="s">
        <v>19</v>
      </c>
      <c r="G70" s="31" t="s">
        <v>1271</v>
      </c>
      <c r="H70" s="35" t="s">
        <v>33</v>
      </c>
    </row>
    <row r="71" spans="1:8" x14ac:dyDescent="0.35">
      <c r="A71" s="32" t="s">
        <v>1083</v>
      </c>
      <c r="B71" s="32">
        <v>18</v>
      </c>
      <c r="C71" s="32" t="s">
        <v>472</v>
      </c>
      <c r="D71" s="32" t="s">
        <v>1269</v>
      </c>
      <c r="E71" s="32" t="s">
        <v>1272</v>
      </c>
      <c r="F71" s="32" t="s">
        <v>21</v>
      </c>
      <c r="G71" s="32" t="s">
        <v>1273</v>
      </c>
      <c r="H71" s="36" t="s">
        <v>33</v>
      </c>
    </row>
    <row r="72" spans="1:8" x14ac:dyDescent="0.35">
      <c r="A72" s="31" t="s">
        <v>1083</v>
      </c>
      <c r="B72" s="31">
        <v>19</v>
      </c>
      <c r="C72" s="31" t="s">
        <v>496</v>
      </c>
      <c r="D72" s="31" t="s">
        <v>571</v>
      </c>
      <c r="E72" s="31" t="s">
        <v>1274</v>
      </c>
      <c r="F72" s="31" t="s">
        <v>19</v>
      </c>
      <c r="G72" s="31" t="s">
        <v>1275</v>
      </c>
      <c r="H72" s="35" t="s">
        <v>33</v>
      </c>
    </row>
    <row r="73" spans="1:8" x14ac:dyDescent="0.35">
      <c r="A73" s="32" t="s">
        <v>1083</v>
      </c>
      <c r="B73" s="32">
        <v>19</v>
      </c>
      <c r="C73" s="32" t="s">
        <v>496</v>
      </c>
      <c r="D73" s="32" t="s">
        <v>1276</v>
      </c>
      <c r="E73" s="32" t="s">
        <v>1277</v>
      </c>
      <c r="F73" s="32" t="s">
        <v>19</v>
      </c>
      <c r="G73" s="32" t="s">
        <v>1278</v>
      </c>
      <c r="H73" s="36" t="s">
        <v>33</v>
      </c>
    </row>
    <row r="74" spans="1:8" x14ac:dyDescent="0.35">
      <c r="A74" s="31" t="s">
        <v>1083</v>
      </c>
      <c r="B74" s="31">
        <v>19</v>
      </c>
      <c r="C74" s="31" t="s">
        <v>496</v>
      </c>
      <c r="D74" s="31" t="s">
        <v>1279</v>
      </c>
      <c r="E74" s="31" t="s">
        <v>1280</v>
      </c>
      <c r="F74" s="31" t="s">
        <v>19</v>
      </c>
      <c r="G74" s="31" t="s">
        <v>1281</v>
      </c>
      <c r="H74" s="35" t="s">
        <v>33</v>
      </c>
    </row>
    <row r="75" spans="1:8" x14ac:dyDescent="0.35">
      <c r="A75" s="32" t="s">
        <v>1083</v>
      </c>
      <c r="B75" s="32">
        <v>20</v>
      </c>
      <c r="C75" s="32" t="s">
        <v>519</v>
      </c>
      <c r="D75" s="32" t="s">
        <v>1282</v>
      </c>
      <c r="E75" s="32" t="s">
        <v>1283</v>
      </c>
      <c r="F75" s="32" t="s">
        <v>25</v>
      </c>
      <c r="G75" s="32" t="s">
        <v>1284</v>
      </c>
      <c r="H75" s="36" t="s">
        <v>34</v>
      </c>
    </row>
    <row r="76" spans="1:8" x14ac:dyDescent="0.35">
      <c r="A76" s="31" t="s">
        <v>1083</v>
      </c>
      <c r="B76" s="31">
        <v>20</v>
      </c>
      <c r="C76" s="31" t="s">
        <v>519</v>
      </c>
      <c r="D76" s="31" t="s">
        <v>1282</v>
      </c>
      <c r="E76" s="31" t="s">
        <v>1285</v>
      </c>
      <c r="F76" s="31" t="s">
        <v>25</v>
      </c>
      <c r="G76" s="31" t="s">
        <v>1286</v>
      </c>
      <c r="H76" s="35" t="s">
        <v>33</v>
      </c>
    </row>
    <row r="77" spans="1:8" x14ac:dyDescent="0.35">
      <c r="A77" s="32" t="s">
        <v>1083</v>
      </c>
      <c r="B77" s="32">
        <v>20</v>
      </c>
      <c r="C77" s="32" t="s">
        <v>519</v>
      </c>
      <c r="D77" s="32" t="s">
        <v>1287</v>
      </c>
      <c r="E77" s="32" t="s">
        <v>1288</v>
      </c>
      <c r="F77" s="32" t="s">
        <v>25</v>
      </c>
      <c r="G77" s="32" t="s">
        <v>1289</v>
      </c>
      <c r="H77" s="36" t="s">
        <v>34</v>
      </c>
    </row>
  </sheetData>
  <autoFilter ref="A1:H77" xr:uid="{3860B043-9058-4AEB-8FA5-30B3B99E7D14}"/>
  <dataValidations count="2">
    <dataValidation type="list" allowBlank="1" showErrorMessage="1" sqref="A2:A12" xr:uid="{DDB26E8F-7ED3-4096-A5B2-6801B15613DB}">
      <formula1>"Deepseek V3.2,Kimi K2.5,Qwen 3.5 397B A17B,Llama 4 Maverick,Opus 4.6,GPT 5.4,Gemini 3.1 Pro"</formula1>
      <formula2>0</formula2>
    </dataValidation>
    <dataValidation type="list" allowBlank="1" showErrorMessage="1" sqref="F2:F77" xr:uid="{6021C56C-B057-4C66-B53F-D03874EA27F0}">
      <formula1>"material,move_legality,piece_placement,piece_relations,geometry,reasoning,other"</formula1>
    </dataValidation>
  </dataValidations>
  <pageMargins left="0.7" right="0.7" top="0.75" bottom="0.75" header="0.511811023622047" footer="0.511811023622047"/>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720C-89C3-4686-B526-6C7560151C0F}">
  <sheetPr>
    <tabColor theme="9"/>
  </sheetPr>
  <dimension ref="A1:I77"/>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37" t="s">
        <v>6</v>
      </c>
      <c r="B1" s="10" t="s">
        <v>7</v>
      </c>
      <c r="C1" s="10" t="s">
        <v>8</v>
      </c>
      <c r="D1" s="10" t="s">
        <v>9</v>
      </c>
      <c r="E1" s="10" t="s">
        <v>10</v>
      </c>
      <c r="F1" s="10" t="s">
        <v>11</v>
      </c>
      <c r="G1" s="10" t="s">
        <v>12</v>
      </c>
      <c r="H1" s="10" t="s">
        <v>13</v>
      </c>
      <c r="I1" s="10" t="s">
        <v>14</v>
      </c>
    </row>
    <row r="2" spans="1:9" ht="13.15" x14ac:dyDescent="0.35">
      <c r="A2" s="21">
        <v>1</v>
      </c>
      <c r="B2" s="16">
        <f>'Data GPT'!B2</f>
        <v>1</v>
      </c>
      <c r="C2" s="22" t="str">
        <f>'Data GPT'!F2</f>
        <v>other</v>
      </c>
      <c r="D2" s="16" t="str">
        <f>LOWER(TRIM('Data GPT'!H2))</f>
        <v>minor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1</v>
      </c>
      <c r="F2" s="23">
        <f>IF(D2="major",Parameters!$B$14,IF(D2="medium",Parameters!$B$15,Parameters!$B$16))</f>
        <v>1</v>
      </c>
      <c r="G2" s="16">
        <f t="shared" ref="G2" si="0">COUNTIFS($B$2:$B$12,B2,$C$2:$C$12,C2,$F$2:$F$12,"&gt;"&amp;F2)+COUNTIFS($B$2:$B$12,B2,$C$2:$C$12,C2,$F$2:$F$12,F2,$A$2:$A$12,"&lt;="&amp;A2)</f>
        <v>1</v>
      </c>
      <c r="H2" s="24">
        <f>Parameters!$B$20^(G2-1)</f>
        <v>1</v>
      </c>
      <c r="I2" s="18">
        <f>E2*F2*H2</f>
        <v>1</v>
      </c>
    </row>
    <row r="3" spans="1:9" ht="13.15" x14ac:dyDescent="0.35">
      <c r="A3" s="21">
        <v>2</v>
      </c>
      <c r="B3" s="16">
        <f>'Data GPT'!B3</f>
        <v>1</v>
      </c>
      <c r="C3" s="22" t="str">
        <f>'Data GPT'!F3</f>
        <v>piece_relations</v>
      </c>
      <c r="D3" s="16" t="str">
        <f>LOWER(TRIM('Data GPT'!H3))</f>
        <v>medium</v>
      </c>
      <c r="E3" s="23">
        <f>IF(ISNUMBER(SEARCH("move_legality",C3)),Parameters!$B$4,IF(ISNUMBER(SEARCH("piece_placement",C3)),Parameters!$B$5,IF(ISNUMBER(SEARCH("material",C3)),Parameters!$B$6,IF(ISNUMBER(SEARCH("piece_relations",C3)),Parameters!$B$7,IF(ISNUMBER(SEARCH("geometry",C3)),Parameters!$B$8,IF(ISNUMBER(SEARCH("reasoning",C3)),Parameters!$B$9,Parameters!$B$10))))))</f>
        <v>4</v>
      </c>
      <c r="F3" s="23">
        <f>IF(D3="major",Parameters!$B$14,IF(D3="medium",Parameters!$B$15,Parameters!$B$16))</f>
        <v>2</v>
      </c>
      <c r="G3" s="16">
        <f t="shared" ref="G3:G66" si="1">COUNTIFS($B$2:$B$12,B3,$C$2:$C$12,C3,$F$2:$F$12,"&gt;"&amp;F3)+COUNTIFS($B$2:$B$12,B3,$C$2:$C$12,C3,$F$2:$F$12,F3,$A$2:$A$12,"&lt;="&amp;A3)</f>
        <v>1</v>
      </c>
      <c r="H3" s="24">
        <f>Parameters!$B$20^(G3-1)</f>
        <v>1</v>
      </c>
      <c r="I3" s="18">
        <f t="shared" ref="I3:I66" si="2">E3*F3*H3</f>
        <v>8</v>
      </c>
    </row>
    <row r="4" spans="1:9" ht="13.15" x14ac:dyDescent="0.35">
      <c r="A4" s="21">
        <v>3</v>
      </c>
      <c r="B4" s="16">
        <f>'Data GPT'!B4</f>
        <v>1</v>
      </c>
      <c r="C4" s="22" t="str">
        <f>'Data GPT'!F4</f>
        <v>reasoning</v>
      </c>
      <c r="D4" s="16" t="str">
        <f>LOWER(TRIM('Data GPT'!H4))</f>
        <v>minor</v>
      </c>
      <c r="E4" s="23">
        <f>IF(ISNUMBER(SEARCH("move_legality",C4)),Parameters!$B$4,IF(ISNUMBER(SEARCH("piece_placement",C4)),Parameters!$B$5,IF(ISNUMBER(SEARCH("material",C4)),Parameters!$B$6,IF(ISNUMBER(SEARCH("piece_relations",C4)),Parameters!$B$7,IF(ISNUMBER(SEARCH("geometry",C4)),Parameters!$B$8,IF(ISNUMBER(SEARCH("reasoning",C4)),Parameters!$B$9,Parameters!$B$10))))))</f>
        <v>2</v>
      </c>
      <c r="F4" s="23">
        <f>IF(D4="major",Parameters!$B$14,IF(D4="medium",Parameters!$B$15,Parameters!$B$16))</f>
        <v>1</v>
      </c>
      <c r="G4" s="16">
        <f t="shared" si="1"/>
        <v>2</v>
      </c>
      <c r="H4" s="24">
        <f>Parameters!$B$20^(G4-1)</f>
        <v>0.7</v>
      </c>
      <c r="I4" s="18">
        <f t="shared" si="2"/>
        <v>1.4</v>
      </c>
    </row>
    <row r="5" spans="1:9" ht="13.15" x14ac:dyDescent="0.35">
      <c r="A5" s="21">
        <v>4</v>
      </c>
      <c r="B5" s="16">
        <f>'Data GPT'!B5</f>
        <v>1</v>
      </c>
      <c r="C5" s="22" t="str">
        <f>'Data GPT'!F5</f>
        <v>reasoning</v>
      </c>
      <c r="D5" s="16" t="str">
        <f>LOWER(TRIM('Data GPT'!H5))</f>
        <v>minor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2</v>
      </c>
      <c r="F5" s="23">
        <f>IF(D5="major",Parameters!$B$14,IF(D5="medium",Parameters!$B$15,Parameters!$B$16))</f>
        <v>1</v>
      </c>
      <c r="G5" s="16">
        <f t="shared" si="1"/>
        <v>3</v>
      </c>
      <c r="H5" s="24">
        <f>Parameters!$B$20^(G5-1)</f>
        <v>0.48999999999999994</v>
      </c>
      <c r="I5" s="18">
        <f t="shared" si="2"/>
        <v>0.97999999999999987</v>
      </c>
    </row>
    <row r="6" spans="1:9" ht="13.15" x14ac:dyDescent="0.35">
      <c r="A6" s="21">
        <v>5</v>
      </c>
      <c r="B6" s="16">
        <f>'Data GPT'!B6</f>
        <v>1</v>
      </c>
      <c r="C6" s="22" t="str">
        <f>'Data GPT'!F6</f>
        <v>reasoning</v>
      </c>
      <c r="D6" s="16" t="str">
        <f>LOWER(TRIM('Data GPT'!H6))</f>
        <v>medium</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2</v>
      </c>
      <c r="G6" s="16">
        <f t="shared" si="1"/>
        <v>1</v>
      </c>
      <c r="H6" s="24">
        <f>Parameters!$B$20^(G6-1)</f>
        <v>1</v>
      </c>
      <c r="I6" s="18">
        <f t="shared" si="2"/>
        <v>4</v>
      </c>
    </row>
    <row r="7" spans="1:9" ht="13.15" x14ac:dyDescent="0.35">
      <c r="A7" s="21">
        <v>6</v>
      </c>
      <c r="B7" s="16">
        <f>'Data GPT'!B7</f>
        <v>1</v>
      </c>
      <c r="C7" s="22" t="str">
        <f>'Data GPT'!F7</f>
        <v>move_legality</v>
      </c>
      <c r="D7" s="16" t="str">
        <f>LOWER(TRIM('Data GPT'!H7))</f>
        <v>major</v>
      </c>
      <c r="E7" s="23">
        <f>IF(ISNUMBER(SEARCH("move_legality",C7)),Parameters!$B$4,IF(ISNUMBER(SEARCH("piece_placement",C7)),Parameters!$B$5,IF(ISNUMBER(SEARCH("material",C7)),Parameters!$B$6,IF(ISNUMBER(SEARCH("piece_relations",C7)),Parameters!$B$7,IF(ISNUMBER(SEARCH("geometry",C7)),Parameters!$B$8,IF(ISNUMBER(SEARCH("reasoning",C7)),Parameters!$B$9,Parameters!$B$10))))))</f>
        <v>8</v>
      </c>
      <c r="F7" s="23">
        <f>IF(D7="major",Parameters!$B$14,IF(D7="medium",Parameters!$B$15,Parameters!$B$16))</f>
        <v>3</v>
      </c>
      <c r="G7" s="16">
        <f t="shared" si="1"/>
        <v>1</v>
      </c>
      <c r="H7" s="24">
        <f>Parameters!$B$20^(G7-1)</f>
        <v>1</v>
      </c>
      <c r="I7" s="18">
        <f t="shared" si="2"/>
        <v>24</v>
      </c>
    </row>
    <row r="8" spans="1:9" ht="13.15" x14ac:dyDescent="0.35">
      <c r="A8" s="21">
        <v>7</v>
      </c>
      <c r="B8" s="16">
        <f>'Data GPT'!B8</f>
        <v>1</v>
      </c>
      <c r="C8" s="22" t="str">
        <f>'Data GPT'!F8</f>
        <v>reasoning</v>
      </c>
      <c r="D8" s="16" t="str">
        <f>LOWER(TRIM('Data GPT'!H8))</f>
        <v>minor</v>
      </c>
      <c r="E8" s="23">
        <f>IF(ISNUMBER(SEARCH("move_legality",C8)),Parameters!$B$4,IF(ISNUMBER(SEARCH("piece_placement",C8)),Parameters!$B$5,IF(ISNUMBER(SEARCH("material",C8)),Parameters!$B$6,IF(ISNUMBER(SEARCH("piece_relations",C8)),Parameters!$B$7,IF(ISNUMBER(SEARCH("geometry",C8)),Parameters!$B$8,IF(ISNUMBER(SEARCH("reasoning",C8)),Parameters!$B$9,Parameters!$B$10))))))</f>
        <v>2</v>
      </c>
      <c r="F8" s="23">
        <f>IF(D8="major",Parameters!$B$14,IF(D8="medium",Parameters!$B$15,Parameters!$B$16))</f>
        <v>1</v>
      </c>
      <c r="G8" s="16">
        <f t="shared" si="1"/>
        <v>4</v>
      </c>
      <c r="H8" s="24">
        <f>Parameters!$B$20^(G8-1)</f>
        <v>0.34299999999999992</v>
      </c>
      <c r="I8" s="18">
        <f t="shared" si="2"/>
        <v>0.68599999999999983</v>
      </c>
    </row>
    <row r="9" spans="1:9" ht="13.15" x14ac:dyDescent="0.35">
      <c r="A9" s="21">
        <v>8</v>
      </c>
      <c r="B9" s="16">
        <f>'Data GPT'!B9</f>
        <v>2</v>
      </c>
      <c r="C9" s="22" t="str">
        <f>'Data GPT'!F9</f>
        <v>reasoning</v>
      </c>
      <c r="D9" s="16" t="str">
        <f>LOWER(TRIM('Data GPT'!H9))</f>
        <v>medium</v>
      </c>
      <c r="E9" s="23">
        <f>IF(ISNUMBER(SEARCH("move_legality",C9)),Parameters!$B$4,IF(ISNUMBER(SEARCH("piece_placement",C9)),Parameters!$B$5,IF(ISNUMBER(SEARCH("material",C9)),Parameters!$B$6,IF(ISNUMBER(SEARCH("piece_relations",C9)),Parameters!$B$7,IF(ISNUMBER(SEARCH("geometry",C9)),Parameters!$B$8,IF(ISNUMBER(SEARCH("reasoning",C9)),Parameters!$B$9,Parameters!$B$10))))))</f>
        <v>2</v>
      </c>
      <c r="F9" s="23">
        <f>IF(D9="major",Parameters!$B$14,IF(D9="medium",Parameters!$B$15,Parameters!$B$16))</f>
        <v>2</v>
      </c>
      <c r="G9" s="16">
        <f t="shared" si="1"/>
        <v>1</v>
      </c>
      <c r="H9" s="24">
        <f>Parameters!$B$20^(G9-1)</f>
        <v>1</v>
      </c>
      <c r="I9" s="18">
        <f t="shared" si="2"/>
        <v>4</v>
      </c>
    </row>
    <row r="10" spans="1:9" ht="13.15" x14ac:dyDescent="0.35">
      <c r="A10" s="21">
        <v>9</v>
      </c>
      <c r="B10" s="16">
        <f>'Data GPT'!B10</f>
        <v>2</v>
      </c>
      <c r="C10" s="22" t="str">
        <f>'Data GPT'!F10</f>
        <v>reasoning</v>
      </c>
      <c r="D10" s="16" t="str">
        <f>LOWER(TRIM('Data GPT'!H10))</f>
        <v>minor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2</v>
      </c>
      <c r="F10" s="23">
        <f>IF(D10="major",Parameters!$B$14,IF(D10="medium",Parameters!$B$15,Parameters!$B$16))</f>
        <v>1</v>
      </c>
      <c r="G10" s="16">
        <f t="shared" si="1"/>
        <v>2</v>
      </c>
      <c r="H10" s="24">
        <f>Parameters!$B$20^(G10-1)</f>
        <v>0.7</v>
      </c>
      <c r="I10" s="18">
        <f t="shared" si="2"/>
        <v>1.4</v>
      </c>
    </row>
    <row r="11" spans="1:9" ht="13.15" x14ac:dyDescent="0.35">
      <c r="A11" s="21">
        <v>10</v>
      </c>
      <c r="B11" s="16">
        <f>'Data GPT'!B11</f>
        <v>2</v>
      </c>
      <c r="C11" s="22" t="str">
        <f>'Data GPT'!F11</f>
        <v>reasoning</v>
      </c>
      <c r="D11" s="16" t="str">
        <f>LOWER(TRIM('Data GPT'!H11))</f>
        <v>minor</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2</v>
      </c>
      <c r="F11" s="23">
        <f>IF(D11="major",Parameters!$B$14,IF(D11="medium",Parameters!$B$15,Parameters!$B$16))</f>
        <v>1</v>
      </c>
      <c r="G11" s="16">
        <f t="shared" si="1"/>
        <v>3</v>
      </c>
      <c r="H11" s="24">
        <f>Parameters!$B$20^(G11-1)</f>
        <v>0.48999999999999994</v>
      </c>
      <c r="I11" s="18">
        <f t="shared" si="2"/>
        <v>0.97999999999999987</v>
      </c>
    </row>
    <row r="12" spans="1:9" ht="13.15" x14ac:dyDescent="0.35">
      <c r="A12" s="21">
        <v>11</v>
      </c>
      <c r="B12" s="16">
        <f>'Data GPT'!B12</f>
        <v>2</v>
      </c>
      <c r="C12" s="22" t="str">
        <f>'Data GPT'!F12</f>
        <v>reasoning</v>
      </c>
      <c r="D12" s="16" t="str">
        <f>LOWER(TRIM('Data GPT'!H12))</f>
        <v>minor</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2</v>
      </c>
      <c r="F12" s="23">
        <f>IF(D12="major",Parameters!$B$14,IF(D12="medium",Parameters!$B$15,Parameters!$B$16))</f>
        <v>1</v>
      </c>
      <c r="G12" s="16">
        <f t="shared" si="1"/>
        <v>4</v>
      </c>
      <c r="H12" s="24">
        <f>Parameters!$B$20^(G12-1)</f>
        <v>0.34299999999999992</v>
      </c>
      <c r="I12" s="18">
        <f t="shared" si="2"/>
        <v>0.68599999999999983</v>
      </c>
    </row>
    <row r="13" spans="1:9" ht="13.15" x14ac:dyDescent="0.35">
      <c r="A13" s="21">
        <v>12</v>
      </c>
      <c r="B13" s="16">
        <f>'Data GPT'!B13</f>
        <v>2</v>
      </c>
      <c r="C13" s="22" t="str">
        <f>'Data GPT'!F13</f>
        <v>reasoning</v>
      </c>
      <c r="D13" s="16" t="str">
        <f>LOWER(TRIM('Data GPT'!H13))</f>
        <v>medium</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2</v>
      </c>
      <c r="F13" s="23">
        <f>IF(D13="major",Parameters!$B$14,IF(D13="medium",Parameters!$B$15,Parameters!$B$16))</f>
        <v>2</v>
      </c>
      <c r="G13" s="16">
        <f t="shared" si="1"/>
        <v>1</v>
      </c>
      <c r="H13" s="24">
        <f>Parameters!$B$20^(G13-1)</f>
        <v>1</v>
      </c>
      <c r="I13" s="18">
        <f t="shared" si="2"/>
        <v>4</v>
      </c>
    </row>
    <row r="14" spans="1:9" ht="13.15" x14ac:dyDescent="0.35">
      <c r="A14" s="21">
        <v>13</v>
      </c>
      <c r="B14" s="16">
        <f>'Data GPT'!B14</f>
        <v>2</v>
      </c>
      <c r="C14" s="22" t="str">
        <f>'Data GPT'!F14</f>
        <v>reasoning</v>
      </c>
      <c r="D14" s="16" t="str">
        <f>LOWER(TRIM('Data GPT'!H14))</f>
        <v>medium</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2</v>
      </c>
      <c r="F14" s="23">
        <f>IF(D14="major",Parameters!$B$14,IF(D14="medium",Parameters!$B$15,Parameters!$B$16))</f>
        <v>2</v>
      </c>
      <c r="G14" s="16">
        <f t="shared" si="1"/>
        <v>1</v>
      </c>
      <c r="H14" s="24">
        <f>Parameters!$B$20^(G14-1)</f>
        <v>1</v>
      </c>
      <c r="I14" s="18">
        <f t="shared" si="2"/>
        <v>4</v>
      </c>
    </row>
    <row r="15" spans="1:9" ht="13.15" x14ac:dyDescent="0.35">
      <c r="A15" s="21">
        <v>14</v>
      </c>
      <c r="B15" s="16">
        <f>'Data GPT'!B15</f>
        <v>2</v>
      </c>
      <c r="C15" s="22" t="str">
        <f>'Data GPT'!F15</f>
        <v>reasoning</v>
      </c>
      <c r="D15" s="16" t="str">
        <f>LOWER(TRIM('Data GPT'!H15))</f>
        <v>minor</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2</v>
      </c>
      <c r="F15" s="23">
        <f>IF(D15="major",Parameters!$B$14,IF(D15="medium",Parameters!$B$15,Parameters!$B$16))</f>
        <v>1</v>
      </c>
      <c r="G15" s="16">
        <f t="shared" si="1"/>
        <v>4</v>
      </c>
      <c r="H15" s="24">
        <f>Parameters!$B$20^(G15-1)</f>
        <v>0.34299999999999992</v>
      </c>
      <c r="I15" s="18">
        <f t="shared" si="2"/>
        <v>0.68599999999999983</v>
      </c>
    </row>
    <row r="16" spans="1:9" ht="13.15" x14ac:dyDescent="0.35">
      <c r="A16" s="21">
        <v>15</v>
      </c>
      <c r="B16" s="16">
        <f>'Data GPT'!B16</f>
        <v>2</v>
      </c>
      <c r="C16" s="22" t="str">
        <f>'Data GPT'!F16</f>
        <v>material</v>
      </c>
      <c r="D16" s="16" t="str">
        <f>LOWER(TRIM('Data GPT'!H16))</f>
        <v>medium</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5</v>
      </c>
      <c r="F16" s="23">
        <f>IF(D16="major",Parameters!$B$14,IF(D16="medium",Parameters!$B$15,Parameters!$B$16))</f>
        <v>2</v>
      </c>
      <c r="G16" s="16">
        <f t="shared" si="1"/>
        <v>0</v>
      </c>
      <c r="H16" s="24">
        <f>Parameters!$B$20^(G16-1)</f>
        <v>1.4285714285714286</v>
      </c>
      <c r="I16" s="18">
        <f t="shared" si="2"/>
        <v>14.285714285714286</v>
      </c>
    </row>
    <row r="17" spans="1:9" ht="13.15" x14ac:dyDescent="0.35">
      <c r="A17" s="21">
        <v>16</v>
      </c>
      <c r="B17" s="16">
        <f>'Data GPT'!B17</f>
        <v>2</v>
      </c>
      <c r="C17" s="22" t="str">
        <f>'Data GPT'!F17</f>
        <v>reasoning</v>
      </c>
      <c r="D17" s="16" t="str">
        <f>LOWER(TRIM('Data GPT'!H17))</f>
        <v>minor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2</v>
      </c>
      <c r="F17" s="23">
        <f>IF(D17="major",Parameters!$B$14,IF(D17="medium",Parameters!$B$15,Parameters!$B$16))</f>
        <v>1</v>
      </c>
      <c r="G17" s="16">
        <f t="shared" si="1"/>
        <v>4</v>
      </c>
      <c r="H17" s="24">
        <f>Parameters!$B$20^(G17-1)</f>
        <v>0.34299999999999992</v>
      </c>
      <c r="I17" s="18">
        <f t="shared" si="2"/>
        <v>0.68599999999999983</v>
      </c>
    </row>
    <row r="18" spans="1:9" ht="13.15" x14ac:dyDescent="0.35">
      <c r="A18" s="21">
        <v>17</v>
      </c>
      <c r="B18" s="16">
        <f>'Data GPT'!B18</f>
        <v>3</v>
      </c>
      <c r="C18" s="22" t="str">
        <f>'Data GPT'!F18</f>
        <v>reasoning</v>
      </c>
      <c r="D18" s="16" t="str">
        <f>LOWER(TRIM('Data GPT'!H18))</f>
        <v>major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2</v>
      </c>
      <c r="F18" s="23">
        <f>IF(D18="major",Parameters!$B$14,IF(D18="medium",Parameters!$B$15,Parameters!$B$16))</f>
        <v>3</v>
      </c>
      <c r="G18" s="16">
        <f t="shared" si="1"/>
        <v>0</v>
      </c>
      <c r="H18" s="24">
        <f>Parameters!$B$20^(G18-1)</f>
        <v>1.4285714285714286</v>
      </c>
      <c r="I18" s="18">
        <f t="shared" si="2"/>
        <v>8.5714285714285712</v>
      </c>
    </row>
    <row r="19" spans="1:9" ht="13.15" x14ac:dyDescent="0.35">
      <c r="A19" s="21">
        <v>18</v>
      </c>
      <c r="B19" s="16">
        <f>'Data GPT'!B19</f>
        <v>3</v>
      </c>
      <c r="C19" s="22" t="str">
        <f>'Data GPT'!F19</f>
        <v>reasoning</v>
      </c>
      <c r="D19" s="16" t="str">
        <f>LOWER(TRIM('Data GPT'!H19))</f>
        <v>medium</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2</v>
      </c>
      <c r="F19" s="23">
        <f>IF(D19="major",Parameters!$B$14,IF(D19="medium",Parameters!$B$15,Parameters!$B$16))</f>
        <v>2</v>
      </c>
      <c r="G19" s="16">
        <f t="shared" si="1"/>
        <v>0</v>
      </c>
      <c r="H19" s="24">
        <f>Parameters!$B$20^(G19-1)</f>
        <v>1.4285714285714286</v>
      </c>
      <c r="I19" s="18">
        <f t="shared" si="2"/>
        <v>5.7142857142857144</v>
      </c>
    </row>
    <row r="20" spans="1:9" ht="13.15" x14ac:dyDescent="0.35">
      <c r="A20" s="21">
        <v>19</v>
      </c>
      <c r="B20" s="16">
        <f>'Data GPT'!B20</f>
        <v>3</v>
      </c>
      <c r="C20" s="22" t="str">
        <f>'Data GPT'!F20</f>
        <v>reasoning</v>
      </c>
      <c r="D20" s="16" t="str">
        <f>LOWER(TRIM('Data GPT'!H20))</f>
        <v>minor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2</v>
      </c>
      <c r="F20" s="23">
        <f>IF(D20="major",Parameters!$B$14,IF(D20="medium",Parameters!$B$15,Parameters!$B$16))</f>
        <v>1</v>
      </c>
      <c r="G20" s="16">
        <f t="shared" si="1"/>
        <v>0</v>
      </c>
      <c r="H20" s="24">
        <f>Parameters!$B$20^(G20-1)</f>
        <v>1.4285714285714286</v>
      </c>
      <c r="I20" s="18">
        <f t="shared" si="2"/>
        <v>2.8571428571428572</v>
      </c>
    </row>
    <row r="21" spans="1:9" ht="13.15" x14ac:dyDescent="0.35">
      <c r="A21" s="21">
        <v>20</v>
      </c>
      <c r="B21" s="16">
        <f>'Data GPT'!B21</f>
        <v>3</v>
      </c>
      <c r="C21" s="22" t="str">
        <f>'Data GPT'!F21</f>
        <v>reasoning</v>
      </c>
      <c r="D21" s="16" t="str">
        <f>LOWER(TRIM('Data GPT'!H21))</f>
        <v>major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2</v>
      </c>
      <c r="F21" s="23">
        <f>IF(D21="major",Parameters!$B$14,IF(D21="medium",Parameters!$B$15,Parameters!$B$16))</f>
        <v>3</v>
      </c>
      <c r="G21" s="16">
        <f t="shared" si="1"/>
        <v>0</v>
      </c>
      <c r="H21" s="24">
        <f>Parameters!$B$20^(G21-1)</f>
        <v>1.4285714285714286</v>
      </c>
      <c r="I21" s="18">
        <f t="shared" si="2"/>
        <v>8.5714285714285712</v>
      </c>
    </row>
    <row r="22" spans="1:9" ht="13.15" x14ac:dyDescent="0.35">
      <c r="A22" s="21">
        <v>21</v>
      </c>
      <c r="B22" s="16">
        <f>'Data GPT'!B22</f>
        <v>3</v>
      </c>
      <c r="C22" s="22" t="str">
        <f>'Data GPT'!F22</f>
        <v>reasoning</v>
      </c>
      <c r="D22" s="16" t="str">
        <f>LOWER(TRIM('Data GPT'!H22))</f>
        <v>medium</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2</v>
      </c>
      <c r="F22" s="23">
        <f>IF(D22="major",Parameters!$B$14,IF(D22="medium",Parameters!$B$15,Parameters!$B$16))</f>
        <v>2</v>
      </c>
      <c r="G22" s="16">
        <f t="shared" si="1"/>
        <v>0</v>
      </c>
      <c r="H22" s="24">
        <f>Parameters!$B$20^(G22-1)</f>
        <v>1.4285714285714286</v>
      </c>
      <c r="I22" s="18">
        <f t="shared" si="2"/>
        <v>5.7142857142857144</v>
      </c>
    </row>
    <row r="23" spans="1:9" ht="13.15" x14ac:dyDescent="0.35">
      <c r="A23" s="21">
        <v>22</v>
      </c>
      <c r="B23" s="16">
        <f>'Data GPT'!B23</f>
        <v>3</v>
      </c>
      <c r="C23" s="22" t="str">
        <f>'Data GPT'!F23</f>
        <v>reasoning</v>
      </c>
      <c r="D23" s="16" t="str">
        <f>LOWER(TRIM('Data GPT'!H23))</f>
        <v>medium</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2</v>
      </c>
      <c r="F23" s="23">
        <f>IF(D23="major",Parameters!$B$14,IF(D23="medium",Parameters!$B$15,Parameters!$B$16))</f>
        <v>2</v>
      </c>
      <c r="G23" s="16">
        <f t="shared" si="1"/>
        <v>0</v>
      </c>
      <c r="H23" s="24">
        <f>Parameters!$B$20^(G23-1)</f>
        <v>1.4285714285714286</v>
      </c>
      <c r="I23" s="18">
        <f t="shared" si="2"/>
        <v>5.7142857142857144</v>
      </c>
    </row>
    <row r="24" spans="1:9" ht="13.15" x14ac:dyDescent="0.35">
      <c r="A24" s="21">
        <v>23</v>
      </c>
      <c r="B24" s="16">
        <f>'Data GPT'!B24</f>
        <v>4</v>
      </c>
      <c r="C24" s="22" t="str">
        <f>'Data GPT'!F24</f>
        <v>reasoning</v>
      </c>
      <c r="D24" s="16" t="str">
        <f>LOWER(TRIM('Data GPT'!H24))</f>
        <v>major</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2</v>
      </c>
      <c r="F24" s="23">
        <f>IF(D24="major",Parameters!$B$14,IF(D24="medium",Parameters!$B$15,Parameters!$B$16))</f>
        <v>3</v>
      </c>
      <c r="G24" s="16">
        <f t="shared" si="1"/>
        <v>0</v>
      </c>
      <c r="H24" s="24">
        <f>Parameters!$B$20^(G24-1)</f>
        <v>1.4285714285714286</v>
      </c>
      <c r="I24" s="18">
        <f t="shared" si="2"/>
        <v>8.5714285714285712</v>
      </c>
    </row>
    <row r="25" spans="1:9" ht="13.15" x14ac:dyDescent="0.35">
      <c r="A25" s="21">
        <v>24</v>
      </c>
      <c r="B25" s="16">
        <f>'Data GPT'!B25</f>
        <v>4</v>
      </c>
      <c r="C25" s="22" t="str">
        <f>'Data GPT'!F25</f>
        <v>reasoning</v>
      </c>
      <c r="D25" s="16" t="str">
        <f>LOWER(TRIM('Data GPT'!H25))</f>
        <v>minor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2</v>
      </c>
      <c r="F25" s="23">
        <f>IF(D25="major",Parameters!$B$14,IF(D25="medium",Parameters!$B$15,Parameters!$B$16))</f>
        <v>1</v>
      </c>
      <c r="G25" s="16">
        <f t="shared" si="1"/>
        <v>0</v>
      </c>
      <c r="H25" s="24">
        <f>Parameters!$B$20^(G25-1)</f>
        <v>1.4285714285714286</v>
      </c>
      <c r="I25" s="18">
        <f t="shared" si="2"/>
        <v>2.8571428571428572</v>
      </c>
    </row>
    <row r="26" spans="1:9" ht="13.15" x14ac:dyDescent="0.35">
      <c r="A26" s="21">
        <v>25</v>
      </c>
      <c r="B26" s="16">
        <f>'Data GPT'!B26</f>
        <v>4</v>
      </c>
      <c r="C26" s="22" t="str">
        <f>'Data GPT'!F26</f>
        <v>reasoning</v>
      </c>
      <c r="D26" s="16" t="str">
        <f>LOWER(TRIM('Data GPT'!H26))</f>
        <v>medium</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2</v>
      </c>
      <c r="F26" s="23">
        <f>IF(D26="major",Parameters!$B$14,IF(D26="medium",Parameters!$B$15,Parameters!$B$16))</f>
        <v>2</v>
      </c>
      <c r="G26" s="16">
        <f t="shared" si="1"/>
        <v>0</v>
      </c>
      <c r="H26" s="24">
        <f>Parameters!$B$20^(G26-1)</f>
        <v>1.4285714285714286</v>
      </c>
      <c r="I26" s="18">
        <f t="shared" si="2"/>
        <v>5.7142857142857144</v>
      </c>
    </row>
    <row r="27" spans="1:9" ht="13.15" x14ac:dyDescent="0.35">
      <c r="A27" s="21">
        <v>26</v>
      </c>
      <c r="B27" s="16">
        <f>'Data GPT'!B27</f>
        <v>4</v>
      </c>
      <c r="C27" s="22" t="str">
        <f>'Data GPT'!F27</f>
        <v>reasoning</v>
      </c>
      <c r="D27" s="16" t="str">
        <f>LOWER(TRIM('Data GPT'!H27))</f>
        <v>minor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2</v>
      </c>
      <c r="F27" s="23">
        <f>IF(D27="major",Parameters!$B$14,IF(D27="medium",Parameters!$B$15,Parameters!$B$16))</f>
        <v>1</v>
      </c>
      <c r="G27" s="16">
        <f t="shared" si="1"/>
        <v>0</v>
      </c>
      <c r="H27" s="24">
        <f>Parameters!$B$20^(G27-1)</f>
        <v>1.4285714285714286</v>
      </c>
      <c r="I27" s="18">
        <f t="shared" si="2"/>
        <v>2.8571428571428572</v>
      </c>
    </row>
    <row r="28" spans="1:9" ht="13.15" x14ac:dyDescent="0.35">
      <c r="A28" s="21">
        <v>27</v>
      </c>
      <c r="B28" s="16">
        <f>'Data GPT'!B28</f>
        <v>4</v>
      </c>
      <c r="C28" s="22" t="str">
        <f>'Data GPT'!F28</f>
        <v>reasoning</v>
      </c>
      <c r="D28" s="16" t="str">
        <f>LOWER(TRIM('Data GPT'!H28))</f>
        <v>medium</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2</v>
      </c>
      <c r="F28" s="23">
        <f>IF(D28="major",Parameters!$B$14,IF(D28="medium",Parameters!$B$15,Parameters!$B$16))</f>
        <v>2</v>
      </c>
      <c r="G28" s="16">
        <f t="shared" si="1"/>
        <v>0</v>
      </c>
      <c r="H28" s="24">
        <f>Parameters!$B$20^(G28-1)</f>
        <v>1.4285714285714286</v>
      </c>
      <c r="I28" s="18">
        <f t="shared" si="2"/>
        <v>5.7142857142857144</v>
      </c>
    </row>
    <row r="29" spans="1:9" ht="13.15" x14ac:dyDescent="0.35">
      <c r="A29" s="21">
        <v>28</v>
      </c>
      <c r="B29" s="16">
        <f>'Data GPT'!B29</f>
        <v>5</v>
      </c>
      <c r="C29" s="22" t="str">
        <f>'Data GPT'!F29</f>
        <v>reasoning</v>
      </c>
      <c r="D29" s="16" t="str">
        <f>LOWER(TRIM('Data GPT'!H29))</f>
        <v>medium</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2</v>
      </c>
      <c r="G29" s="16">
        <f t="shared" si="1"/>
        <v>0</v>
      </c>
      <c r="H29" s="24">
        <f>Parameters!$B$20^(G29-1)</f>
        <v>1.4285714285714286</v>
      </c>
      <c r="I29" s="18">
        <f t="shared" si="2"/>
        <v>5.7142857142857144</v>
      </c>
    </row>
    <row r="30" spans="1:9" ht="13.15" x14ac:dyDescent="0.35">
      <c r="A30" s="21">
        <v>29</v>
      </c>
      <c r="B30" s="16">
        <f>'Data GPT'!B30</f>
        <v>5</v>
      </c>
      <c r="C30" s="22" t="str">
        <f>'Data GPT'!F30</f>
        <v>move_legality</v>
      </c>
      <c r="D30" s="16" t="str">
        <f>LOWER(TRIM('Data GPT'!H30))</f>
        <v>major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8</v>
      </c>
      <c r="F30" s="23">
        <f>IF(D30="major",Parameters!$B$14,IF(D30="medium",Parameters!$B$15,Parameters!$B$16))</f>
        <v>3</v>
      </c>
      <c r="G30" s="16">
        <f t="shared" si="1"/>
        <v>0</v>
      </c>
      <c r="H30" s="24">
        <f>Parameters!$B$20^(G30-1)</f>
        <v>1.4285714285714286</v>
      </c>
      <c r="I30" s="18">
        <f t="shared" si="2"/>
        <v>34.285714285714285</v>
      </c>
    </row>
    <row r="31" spans="1:9" ht="13.15" x14ac:dyDescent="0.35">
      <c r="A31" s="21">
        <v>30</v>
      </c>
      <c r="B31" s="16">
        <f>'Data GPT'!B31</f>
        <v>6</v>
      </c>
      <c r="C31" s="22" t="str">
        <f>'Data GPT'!F31</f>
        <v>reasoning</v>
      </c>
      <c r="D31" s="16" t="str">
        <f>LOWER(TRIM('Data GPT'!H31))</f>
        <v>medium</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2</v>
      </c>
      <c r="G31" s="16">
        <f t="shared" si="1"/>
        <v>0</v>
      </c>
      <c r="H31" s="24">
        <f>Parameters!$B$20^(G31-1)</f>
        <v>1.4285714285714286</v>
      </c>
      <c r="I31" s="18">
        <f t="shared" si="2"/>
        <v>5.7142857142857144</v>
      </c>
    </row>
    <row r="32" spans="1:9" ht="13.15" x14ac:dyDescent="0.35">
      <c r="A32" s="21">
        <v>31</v>
      </c>
      <c r="B32" s="16">
        <f>'Data GPT'!B32</f>
        <v>6</v>
      </c>
      <c r="C32" s="22" t="str">
        <f>'Data GPT'!F32</f>
        <v>reasoning</v>
      </c>
      <c r="D32" s="16" t="str">
        <f>LOWER(TRIM('Data GPT'!H32))</f>
        <v>medium</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2</v>
      </c>
      <c r="G32" s="16">
        <f t="shared" si="1"/>
        <v>0</v>
      </c>
      <c r="H32" s="24">
        <f>Parameters!$B$20^(G32-1)</f>
        <v>1.4285714285714286</v>
      </c>
      <c r="I32" s="18">
        <f t="shared" si="2"/>
        <v>5.7142857142857144</v>
      </c>
    </row>
    <row r="33" spans="1:9" ht="13.15" x14ac:dyDescent="0.35">
      <c r="A33" s="21">
        <v>32</v>
      </c>
      <c r="B33" s="16">
        <f>'Data GPT'!B33</f>
        <v>7</v>
      </c>
      <c r="C33" s="22" t="str">
        <f>'Data GPT'!F33</f>
        <v>reasoning</v>
      </c>
      <c r="D33" s="16" t="str">
        <f>LOWER(TRIM('Data GPT'!H33))</f>
        <v>medium</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2</v>
      </c>
      <c r="F33" s="23">
        <f>IF(D33="major",Parameters!$B$14,IF(D33="medium",Parameters!$B$15,Parameters!$B$16))</f>
        <v>2</v>
      </c>
      <c r="G33" s="16">
        <f t="shared" si="1"/>
        <v>0</v>
      </c>
      <c r="H33" s="24">
        <f>Parameters!$B$20^(G33-1)</f>
        <v>1.4285714285714286</v>
      </c>
      <c r="I33" s="18">
        <f t="shared" si="2"/>
        <v>5.7142857142857144</v>
      </c>
    </row>
    <row r="34" spans="1:9" ht="13.15" x14ac:dyDescent="0.35">
      <c r="A34" s="21">
        <v>33</v>
      </c>
      <c r="B34" s="16">
        <f>'Data GPT'!B34</f>
        <v>7</v>
      </c>
      <c r="C34" s="22" t="str">
        <f>'Data GPT'!F34</f>
        <v>reasoning</v>
      </c>
      <c r="D34" s="16" t="str">
        <f>LOWER(TRIM('Data GPT'!H34))</f>
        <v>major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2</v>
      </c>
      <c r="F34" s="23">
        <f>IF(D34="major",Parameters!$B$14,IF(D34="medium",Parameters!$B$15,Parameters!$B$16))</f>
        <v>3</v>
      </c>
      <c r="G34" s="16">
        <f t="shared" si="1"/>
        <v>0</v>
      </c>
      <c r="H34" s="24">
        <f>Parameters!$B$20^(G34-1)</f>
        <v>1.4285714285714286</v>
      </c>
      <c r="I34" s="18">
        <f t="shared" si="2"/>
        <v>8.5714285714285712</v>
      </c>
    </row>
    <row r="35" spans="1:9" ht="13.15" x14ac:dyDescent="0.35">
      <c r="A35" s="21">
        <v>34</v>
      </c>
      <c r="B35" s="16">
        <f>'Data GPT'!B35</f>
        <v>7</v>
      </c>
      <c r="C35" s="22" t="str">
        <f>'Data GPT'!F35</f>
        <v>reasoning</v>
      </c>
      <c r="D35" s="16" t="str">
        <f>LOWER(TRIM('Data GPT'!H35))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2</v>
      </c>
      <c r="F35" s="23">
        <f>IF(D35="major",Parameters!$B$14,IF(D35="medium",Parameters!$B$15,Parameters!$B$16))</f>
        <v>3</v>
      </c>
      <c r="G35" s="16">
        <f t="shared" si="1"/>
        <v>0</v>
      </c>
      <c r="H35" s="24">
        <f>Parameters!$B$20^(G35-1)</f>
        <v>1.4285714285714286</v>
      </c>
      <c r="I35" s="18">
        <f t="shared" si="2"/>
        <v>8.5714285714285712</v>
      </c>
    </row>
    <row r="36" spans="1:9" ht="13.15" x14ac:dyDescent="0.35">
      <c r="A36" s="21">
        <v>35</v>
      </c>
      <c r="B36" s="16">
        <f>'Data GPT'!B36</f>
        <v>7</v>
      </c>
      <c r="C36" s="22" t="str">
        <f>'Data GPT'!F36</f>
        <v>reasoning</v>
      </c>
      <c r="D36" s="16" t="str">
        <f>LOWER(TRIM('Data GPT'!H36))</f>
        <v>minor</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2</v>
      </c>
      <c r="F36" s="23">
        <f>IF(D36="major",Parameters!$B$14,IF(D36="medium",Parameters!$B$15,Parameters!$B$16))</f>
        <v>1</v>
      </c>
      <c r="G36" s="16">
        <f t="shared" si="1"/>
        <v>0</v>
      </c>
      <c r="H36" s="24">
        <f>Parameters!$B$20^(G36-1)</f>
        <v>1.4285714285714286</v>
      </c>
      <c r="I36" s="18">
        <f t="shared" si="2"/>
        <v>2.8571428571428572</v>
      </c>
    </row>
    <row r="37" spans="1:9" ht="13.15" x14ac:dyDescent="0.35">
      <c r="A37" s="21">
        <v>36</v>
      </c>
      <c r="B37" s="16">
        <f>'Data GPT'!B37</f>
        <v>8</v>
      </c>
      <c r="C37" s="22" t="str">
        <f>'Data GPT'!F37</f>
        <v>reasoning</v>
      </c>
      <c r="D37" s="16" t="str">
        <f>LOWER(TRIM('Data GPT'!H37))</f>
        <v>medium</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2</v>
      </c>
      <c r="F37" s="23">
        <f>IF(D37="major",Parameters!$B$14,IF(D37="medium",Parameters!$B$15,Parameters!$B$16))</f>
        <v>2</v>
      </c>
      <c r="G37" s="16">
        <f t="shared" si="1"/>
        <v>0</v>
      </c>
      <c r="H37" s="24">
        <f>Parameters!$B$20^(G37-1)</f>
        <v>1.4285714285714286</v>
      </c>
      <c r="I37" s="18">
        <f t="shared" si="2"/>
        <v>5.7142857142857144</v>
      </c>
    </row>
    <row r="38" spans="1:9" ht="13.15" x14ac:dyDescent="0.35">
      <c r="A38" s="21">
        <v>37</v>
      </c>
      <c r="B38" s="16">
        <f>'Data GPT'!B38</f>
        <v>9</v>
      </c>
      <c r="C38" s="22" t="str">
        <f>'Data GPT'!F38</f>
        <v>reasoning</v>
      </c>
      <c r="D38" s="16" t="str">
        <f>LOWER(TRIM('Data GPT'!H38))</f>
        <v>medium</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2</v>
      </c>
      <c r="F38" s="23">
        <f>IF(D38="major",Parameters!$B$14,IF(D38="medium",Parameters!$B$15,Parameters!$B$16))</f>
        <v>2</v>
      </c>
      <c r="G38" s="16">
        <f t="shared" si="1"/>
        <v>0</v>
      </c>
      <c r="H38" s="24">
        <f>Parameters!$B$20^(G38-1)</f>
        <v>1.4285714285714286</v>
      </c>
      <c r="I38" s="18">
        <f t="shared" si="2"/>
        <v>5.7142857142857144</v>
      </c>
    </row>
    <row r="39" spans="1:9" ht="13.15" x14ac:dyDescent="0.35">
      <c r="A39" s="21">
        <v>38</v>
      </c>
      <c r="B39" s="16">
        <f>'Data GPT'!B39</f>
        <v>9</v>
      </c>
      <c r="C39" s="22" t="str">
        <f>'Data GPT'!F39</f>
        <v>reasoning</v>
      </c>
      <c r="D39" s="16" t="str">
        <f>LOWER(TRIM('Data GPT'!H39))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2</v>
      </c>
      <c r="F39" s="23">
        <f>IF(D39="major",Parameters!$B$14,IF(D39="medium",Parameters!$B$15,Parameters!$B$16))</f>
        <v>3</v>
      </c>
      <c r="G39" s="16">
        <f t="shared" si="1"/>
        <v>0</v>
      </c>
      <c r="H39" s="24">
        <f>Parameters!$B$20^(G39-1)</f>
        <v>1.4285714285714286</v>
      </c>
      <c r="I39" s="18">
        <f t="shared" si="2"/>
        <v>8.5714285714285712</v>
      </c>
    </row>
    <row r="40" spans="1:9" ht="13.15" x14ac:dyDescent="0.35">
      <c r="A40" s="21">
        <v>39</v>
      </c>
      <c r="B40" s="16">
        <f>'Data GPT'!B40</f>
        <v>9</v>
      </c>
      <c r="C40" s="22" t="str">
        <f>'Data GPT'!F40</f>
        <v>geometry</v>
      </c>
      <c r="D40" s="16" t="str">
        <f>LOWER(TRIM('Data GPT'!H40))</f>
        <v>major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3</v>
      </c>
      <c r="F40" s="23">
        <f>IF(D40="major",Parameters!$B$14,IF(D40="medium",Parameters!$B$15,Parameters!$B$16))</f>
        <v>3</v>
      </c>
      <c r="G40" s="16">
        <f t="shared" si="1"/>
        <v>0</v>
      </c>
      <c r="H40" s="24">
        <f>Parameters!$B$20^(G40-1)</f>
        <v>1.4285714285714286</v>
      </c>
      <c r="I40" s="18">
        <f t="shared" si="2"/>
        <v>12.857142857142858</v>
      </c>
    </row>
    <row r="41" spans="1:9" ht="13.15" x14ac:dyDescent="0.35">
      <c r="A41" s="21">
        <v>40</v>
      </c>
      <c r="B41" s="16">
        <f>'Data GPT'!B41</f>
        <v>9</v>
      </c>
      <c r="C41" s="22" t="str">
        <f>'Data GPT'!F41</f>
        <v>geometry</v>
      </c>
      <c r="D41" s="16" t="str">
        <f>LOWER(TRIM('Data GPT'!H41))</f>
        <v>major</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3</v>
      </c>
      <c r="F41" s="23">
        <f>IF(D41="major",Parameters!$B$14,IF(D41="medium",Parameters!$B$15,Parameters!$B$16))</f>
        <v>3</v>
      </c>
      <c r="G41" s="16">
        <f t="shared" si="1"/>
        <v>0</v>
      </c>
      <c r="H41" s="24">
        <f>Parameters!$B$20^(G41-1)</f>
        <v>1.4285714285714286</v>
      </c>
      <c r="I41" s="18">
        <f t="shared" si="2"/>
        <v>12.857142857142858</v>
      </c>
    </row>
    <row r="42" spans="1:9" ht="13.15" x14ac:dyDescent="0.35">
      <c r="A42" s="21">
        <v>41</v>
      </c>
      <c r="B42" s="16">
        <f>'Data GPT'!B42</f>
        <v>9</v>
      </c>
      <c r="C42" s="22" t="str">
        <f>'Data GPT'!F42</f>
        <v>reasoning</v>
      </c>
      <c r="D42" s="16" t="str">
        <f>LOWER(TRIM('Data GPT'!H42))</f>
        <v>medium</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2</v>
      </c>
      <c r="F42" s="23">
        <f>IF(D42="major",Parameters!$B$14,IF(D42="medium",Parameters!$B$15,Parameters!$B$16))</f>
        <v>2</v>
      </c>
      <c r="G42" s="16">
        <f t="shared" si="1"/>
        <v>0</v>
      </c>
      <c r="H42" s="24">
        <f>Parameters!$B$20^(G42-1)</f>
        <v>1.4285714285714286</v>
      </c>
      <c r="I42" s="18">
        <f t="shared" si="2"/>
        <v>5.7142857142857144</v>
      </c>
    </row>
    <row r="43" spans="1:9" ht="13.15" x14ac:dyDescent="0.35">
      <c r="A43" s="21">
        <v>42</v>
      </c>
      <c r="B43" s="16">
        <f>'Data GPT'!B43</f>
        <v>9</v>
      </c>
      <c r="C43" s="22" t="str">
        <f>'Data GPT'!F43</f>
        <v>geometry</v>
      </c>
      <c r="D43" s="16" t="str">
        <f>LOWER(TRIM('Data GPT'!H43))</f>
        <v>major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3</v>
      </c>
      <c r="F43" s="23">
        <f>IF(D43="major",Parameters!$B$14,IF(D43="medium",Parameters!$B$15,Parameters!$B$16))</f>
        <v>3</v>
      </c>
      <c r="G43" s="16">
        <f t="shared" si="1"/>
        <v>0</v>
      </c>
      <c r="H43" s="24">
        <f>Parameters!$B$20^(G43-1)</f>
        <v>1.4285714285714286</v>
      </c>
      <c r="I43" s="18">
        <f t="shared" si="2"/>
        <v>12.857142857142858</v>
      </c>
    </row>
    <row r="44" spans="1:9" ht="13.15" x14ac:dyDescent="0.35">
      <c r="A44" s="21">
        <v>43</v>
      </c>
      <c r="B44" s="16">
        <f>'Data GPT'!B44</f>
        <v>9</v>
      </c>
      <c r="C44" s="22" t="str">
        <f>'Data GPT'!F44</f>
        <v>geometry</v>
      </c>
      <c r="D44" s="16" t="str">
        <f>LOWER(TRIM('Data GPT'!H44))</f>
        <v>major</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3</v>
      </c>
      <c r="F44" s="23">
        <f>IF(D44="major",Parameters!$B$14,IF(D44="medium",Parameters!$B$15,Parameters!$B$16))</f>
        <v>3</v>
      </c>
      <c r="G44" s="16">
        <f t="shared" si="1"/>
        <v>0</v>
      </c>
      <c r="H44" s="24">
        <f>Parameters!$B$20^(G44-1)</f>
        <v>1.4285714285714286</v>
      </c>
      <c r="I44" s="18">
        <f t="shared" si="2"/>
        <v>12.857142857142858</v>
      </c>
    </row>
    <row r="45" spans="1:9" ht="13.15" x14ac:dyDescent="0.35">
      <c r="A45" s="21">
        <v>44</v>
      </c>
      <c r="B45" s="16">
        <f>'Data GPT'!B45</f>
        <v>9</v>
      </c>
      <c r="C45" s="22" t="str">
        <f>'Data GPT'!F45</f>
        <v>geometry</v>
      </c>
      <c r="D45" s="16" t="str">
        <f>LOWER(TRIM('Data GPT'!H45))</f>
        <v>major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3</v>
      </c>
      <c r="F45" s="23">
        <f>IF(D45="major",Parameters!$B$14,IF(D45="medium",Parameters!$B$15,Parameters!$B$16))</f>
        <v>3</v>
      </c>
      <c r="G45" s="16">
        <f t="shared" si="1"/>
        <v>0</v>
      </c>
      <c r="H45" s="24">
        <f>Parameters!$B$20^(G45-1)</f>
        <v>1.4285714285714286</v>
      </c>
      <c r="I45" s="18">
        <f t="shared" si="2"/>
        <v>12.857142857142858</v>
      </c>
    </row>
    <row r="46" spans="1:9" ht="13.15" x14ac:dyDescent="0.35">
      <c r="A46" s="21">
        <v>45</v>
      </c>
      <c r="B46" s="16">
        <f>'Data GPT'!B46</f>
        <v>9</v>
      </c>
      <c r="C46" s="22" t="str">
        <f>'Data GPT'!F46</f>
        <v>geometry</v>
      </c>
      <c r="D46" s="16" t="str">
        <f>LOWER(TRIM('Data GPT'!H46))</f>
        <v>medium</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3</v>
      </c>
      <c r="F46" s="23">
        <f>IF(D46="major",Parameters!$B$14,IF(D46="medium",Parameters!$B$15,Parameters!$B$16))</f>
        <v>2</v>
      </c>
      <c r="G46" s="16">
        <f t="shared" si="1"/>
        <v>0</v>
      </c>
      <c r="H46" s="24">
        <f>Parameters!$B$20^(G46-1)</f>
        <v>1.4285714285714286</v>
      </c>
      <c r="I46" s="18">
        <f t="shared" si="2"/>
        <v>8.5714285714285712</v>
      </c>
    </row>
    <row r="47" spans="1:9" ht="13.15" x14ac:dyDescent="0.35">
      <c r="A47" s="21">
        <v>46</v>
      </c>
      <c r="B47" s="16">
        <f>'Data GPT'!B47</f>
        <v>9</v>
      </c>
      <c r="C47" s="22" t="str">
        <f>'Data GPT'!F47</f>
        <v>reasoning</v>
      </c>
      <c r="D47" s="16" t="str">
        <f>LOWER(TRIM('Data GPT'!H47))</f>
        <v>major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2</v>
      </c>
      <c r="F47" s="23">
        <f>IF(D47="major",Parameters!$B$14,IF(D47="medium",Parameters!$B$15,Parameters!$B$16))</f>
        <v>3</v>
      </c>
      <c r="G47" s="16">
        <f t="shared" si="1"/>
        <v>0</v>
      </c>
      <c r="H47" s="24">
        <f>Parameters!$B$20^(G47-1)</f>
        <v>1.4285714285714286</v>
      </c>
      <c r="I47" s="18">
        <f t="shared" si="2"/>
        <v>8.5714285714285712</v>
      </c>
    </row>
    <row r="48" spans="1:9" ht="13.15" x14ac:dyDescent="0.35">
      <c r="A48" s="21">
        <v>47</v>
      </c>
      <c r="B48" s="16">
        <f>'Data GPT'!B48</f>
        <v>10</v>
      </c>
      <c r="C48" s="22" t="str">
        <f>'Data GPT'!F48</f>
        <v>reasoning</v>
      </c>
      <c r="D48" s="16" t="str">
        <f>LOWER(TRIM('Data GPT'!H48))</f>
        <v>medium</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2</v>
      </c>
      <c r="G48" s="16">
        <f t="shared" si="1"/>
        <v>0</v>
      </c>
      <c r="H48" s="24">
        <f>Parameters!$B$20^(G48-1)</f>
        <v>1.4285714285714286</v>
      </c>
      <c r="I48" s="18">
        <f t="shared" si="2"/>
        <v>5.7142857142857144</v>
      </c>
    </row>
    <row r="49" spans="1:9" ht="13.15" x14ac:dyDescent="0.35">
      <c r="A49" s="21">
        <v>48</v>
      </c>
      <c r="B49" s="16">
        <f>'Data GPT'!B49</f>
        <v>10</v>
      </c>
      <c r="C49" s="22" t="str">
        <f>'Data GPT'!F49</f>
        <v>reasoning</v>
      </c>
      <c r="D49" s="16" t="str">
        <f>LOWER(TRIM('Data GPT'!H49))</f>
        <v>minor</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2</v>
      </c>
      <c r="F49" s="23">
        <f>IF(D49="major",Parameters!$B$14,IF(D49="medium",Parameters!$B$15,Parameters!$B$16))</f>
        <v>1</v>
      </c>
      <c r="G49" s="16">
        <f t="shared" si="1"/>
        <v>0</v>
      </c>
      <c r="H49" s="24">
        <f>Parameters!$B$20^(G49-1)</f>
        <v>1.4285714285714286</v>
      </c>
      <c r="I49" s="18">
        <f t="shared" si="2"/>
        <v>2.8571428571428572</v>
      </c>
    </row>
    <row r="50" spans="1:9" ht="13.15" x14ac:dyDescent="0.35">
      <c r="A50" s="21">
        <v>49</v>
      </c>
      <c r="B50" s="16">
        <f>'Data GPT'!B50</f>
        <v>10</v>
      </c>
      <c r="C50" s="22" t="str">
        <f>'Data GPT'!F50</f>
        <v>reasoning</v>
      </c>
      <c r="D50" s="16" t="str">
        <f>LOWER(TRIM('Data GPT'!H50))</f>
        <v>minor</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2</v>
      </c>
      <c r="F50" s="23">
        <f>IF(D50="major",Parameters!$B$14,IF(D50="medium",Parameters!$B$15,Parameters!$B$16))</f>
        <v>1</v>
      </c>
      <c r="G50" s="16">
        <f t="shared" si="1"/>
        <v>0</v>
      </c>
      <c r="H50" s="24">
        <f>Parameters!$B$20^(G50-1)</f>
        <v>1.4285714285714286</v>
      </c>
      <c r="I50" s="18">
        <f t="shared" si="2"/>
        <v>2.8571428571428572</v>
      </c>
    </row>
    <row r="51" spans="1:9" ht="13.15" x14ac:dyDescent="0.35">
      <c r="A51" s="21">
        <v>50</v>
      </c>
      <c r="B51" s="16">
        <f>'Data GPT'!B51</f>
        <v>11</v>
      </c>
      <c r="C51" s="22" t="str">
        <f>'Data GPT'!F51</f>
        <v>geometry</v>
      </c>
      <c r="D51" s="16" t="str">
        <f>LOWER(TRIM('Data GPT'!H51))</f>
        <v>major</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3</v>
      </c>
      <c r="F51" s="23">
        <f>IF(D51="major",Parameters!$B$14,IF(D51="medium",Parameters!$B$15,Parameters!$B$16))</f>
        <v>3</v>
      </c>
      <c r="G51" s="16">
        <f t="shared" si="1"/>
        <v>0</v>
      </c>
      <c r="H51" s="24">
        <f>Parameters!$B$20^(G51-1)</f>
        <v>1.4285714285714286</v>
      </c>
      <c r="I51" s="18">
        <f t="shared" si="2"/>
        <v>12.857142857142858</v>
      </c>
    </row>
    <row r="52" spans="1:9" ht="13.15" x14ac:dyDescent="0.35">
      <c r="A52" s="21">
        <v>51</v>
      </c>
      <c r="B52" s="16">
        <f>'Data GPT'!B52</f>
        <v>12</v>
      </c>
      <c r="C52" s="22" t="str">
        <f>'Data GPT'!F52</f>
        <v>reasoning</v>
      </c>
      <c r="D52" s="16" t="str">
        <f>LOWER(TRIM('Data GPT'!H52))</f>
        <v>medium</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2</v>
      </c>
      <c r="F52" s="23">
        <f>IF(D52="major",Parameters!$B$14,IF(D52="medium",Parameters!$B$15,Parameters!$B$16))</f>
        <v>2</v>
      </c>
      <c r="G52" s="16">
        <f t="shared" si="1"/>
        <v>0</v>
      </c>
      <c r="H52" s="24">
        <f>Parameters!$B$20^(G52-1)</f>
        <v>1.4285714285714286</v>
      </c>
      <c r="I52" s="18">
        <f t="shared" si="2"/>
        <v>5.7142857142857144</v>
      </c>
    </row>
    <row r="53" spans="1:9" ht="13.15" x14ac:dyDescent="0.35">
      <c r="A53" s="21">
        <v>52</v>
      </c>
      <c r="B53" s="16">
        <f>'Data GPT'!B53</f>
        <v>12</v>
      </c>
      <c r="C53" s="22" t="str">
        <f>'Data GPT'!F53</f>
        <v>piece_placement</v>
      </c>
      <c r="D53" s="16" t="str">
        <f>LOWER(TRIM('Data GPT'!H53))</f>
        <v>major</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6</v>
      </c>
      <c r="F53" s="23">
        <f>IF(D53="major",Parameters!$B$14,IF(D53="medium",Parameters!$B$15,Parameters!$B$16))</f>
        <v>3</v>
      </c>
      <c r="G53" s="16">
        <f t="shared" si="1"/>
        <v>0</v>
      </c>
      <c r="H53" s="24">
        <f>Parameters!$B$20^(G53-1)</f>
        <v>1.4285714285714286</v>
      </c>
      <c r="I53" s="18">
        <f t="shared" si="2"/>
        <v>25.714285714285715</v>
      </c>
    </row>
    <row r="54" spans="1:9" ht="13.15" x14ac:dyDescent="0.35">
      <c r="A54" s="21">
        <v>53</v>
      </c>
      <c r="B54" s="16">
        <f>'Data GPT'!B54</f>
        <v>12</v>
      </c>
      <c r="C54" s="22" t="str">
        <f>'Data GPT'!F54</f>
        <v>reasoning</v>
      </c>
      <c r="D54" s="16" t="str">
        <f>LOWER(TRIM('Data GPT'!H54))</f>
        <v>medium</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2</v>
      </c>
      <c r="F54" s="23">
        <f>IF(D54="major",Parameters!$B$14,IF(D54="medium",Parameters!$B$15,Parameters!$B$16))</f>
        <v>2</v>
      </c>
      <c r="G54" s="16">
        <f t="shared" si="1"/>
        <v>0</v>
      </c>
      <c r="H54" s="24">
        <f>Parameters!$B$20^(G54-1)</f>
        <v>1.4285714285714286</v>
      </c>
      <c r="I54" s="18">
        <f t="shared" si="2"/>
        <v>5.7142857142857144</v>
      </c>
    </row>
    <row r="55" spans="1:9" ht="13.15" x14ac:dyDescent="0.35">
      <c r="A55" s="21">
        <v>54</v>
      </c>
      <c r="B55" s="16">
        <f>'Data GPT'!B55</f>
        <v>12</v>
      </c>
      <c r="C55" s="22" t="str">
        <f>'Data GPT'!F55</f>
        <v>move_legality</v>
      </c>
      <c r="D55" s="16" t="str">
        <f>LOWER(TRIM('Data GPT'!H55))</f>
        <v>major</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8</v>
      </c>
      <c r="F55" s="23">
        <f>IF(D55="major",Parameters!$B$14,IF(D55="medium",Parameters!$B$15,Parameters!$B$16))</f>
        <v>3</v>
      </c>
      <c r="G55" s="16">
        <f t="shared" si="1"/>
        <v>0</v>
      </c>
      <c r="H55" s="24">
        <f>Parameters!$B$20^(G55-1)</f>
        <v>1.4285714285714286</v>
      </c>
      <c r="I55" s="18">
        <f t="shared" si="2"/>
        <v>34.285714285714285</v>
      </c>
    </row>
    <row r="56" spans="1:9" ht="13.15" x14ac:dyDescent="0.35">
      <c r="A56" s="21">
        <v>55</v>
      </c>
      <c r="B56" s="16">
        <f>'Data GPT'!B56</f>
        <v>12</v>
      </c>
      <c r="C56" s="22" t="str">
        <f>'Data GPT'!F56</f>
        <v>geometry</v>
      </c>
      <c r="D56" s="16" t="str">
        <f>LOWER(TRIM('Data GPT'!H56))</f>
        <v>medium</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3</v>
      </c>
      <c r="F56" s="23">
        <f>IF(D56="major",Parameters!$B$14,IF(D56="medium",Parameters!$B$15,Parameters!$B$16))</f>
        <v>2</v>
      </c>
      <c r="G56" s="16">
        <f t="shared" si="1"/>
        <v>0</v>
      </c>
      <c r="H56" s="24">
        <f>Parameters!$B$20^(G56-1)</f>
        <v>1.4285714285714286</v>
      </c>
      <c r="I56" s="18">
        <f t="shared" si="2"/>
        <v>8.5714285714285712</v>
      </c>
    </row>
    <row r="57" spans="1:9" ht="13.15" x14ac:dyDescent="0.35">
      <c r="A57" s="21">
        <v>56</v>
      </c>
      <c r="B57" s="16">
        <f>'Data GPT'!B57</f>
        <v>13</v>
      </c>
      <c r="C57" s="22" t="str">
        <f>'Data GPT'!F57</f>
        <v>geometry</v>
      </c>
      <c r="D57" s="16" t="str">
        <f>LOWER(TRIM('Data GPT'!H57))</f>
        <v>medium</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3</v>
      </c>
      <c r="F57" s="23">
        <f>IF(D57="major",Parameters!$B$14,IF(D57="medium",Parameters!$B$15,Parameters!$B$16))</f>
        <v>2</v>
      </c>
      <c r="G57" s="16">
        <f t="shared" si="1"/>
        <v>0</v>
      </c>
      <c r="H57" s="24">
        <f>Parameters!$B$20^(G57-1)</f>
        <v>1.4285714285714286</v>
      </c>
      <c r="I57" s="18">
        <f t="shared" si="2"/>
        <v>8.5714285714285712</v>
      </c>
    </row>
    <row r="58" spans="1:9" ht="13.15" x14ac:dyDescent="0.35">
      <c r="A58" s="21">
        <v>57</v>
      </c>
      <c r="B58" s="16">
        <f>'Data GPT'!B58</f>
        <v>13</v>
      </c>
      <c r="C58" s="22" t="str">
        <f>'Data GPT'!F58</f>
        <v>reasoning</v>
      </c>
      <c r="D58" s="16" t="str">
        <f>LOWER(TRIM('Data GPT'!H58))</f>
        <v>medium</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2</v>
      </c>
      <c r="F58" s="23">
        <f>IF(D58="major",Parameters!$B$14,IF(D58="medium",Parameters!$B$15,Parameters!$B$16))</f>
        <v>2</v>
      </c>
      <c r="G58" s="16">
        <f t="shared" si="1"/>
        <v>0</v>
      </c>
      <c r="H58" s="24">
        <f>Parameters!$B$20^(G58-1)</f>
        <v>1.4285714285714286</v>
      </c>
      <c r="I58" s="18">
        <f t="shared" si="2"/>
        <v>5.7142857142857144</v>
      </c>
    </row>
    <row r="59" spans="1:9" ht="13.15" x14ac:dyDescent="0.35">
      <c r="A59" s="21">
        <v>58</v>
      </c>
      <c r="B59" s="16">
        <f>'Data GPT'!B59</f>
        <v>13</v>
      </c>
      <c r="C59" s="22" t="str">
        <f>'Data GPT'!F59</f>
        <v>reasoning</v>
      </c>
      <c r="D59" s="16" t="str">
        <f>LOWER(TRIM('Data GPT'!H59))</f>
        <v>medium</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2</v>
      </c>
      <c r="F59" s="23">
        <f>IF(D59="major",Parameters!$B$14,IF(D59="medium",Parameters!$B$15,Parameters!$B$16))</f>
        <v>2</v>
      </c>
      <c r="G59" s="16">
        <f t="shared" si="1"/>
        <v>0</v>
      </c>
      <c r="H59" s="24">
        <f>Parameters!$B$20^(G59-1)</f>
        <v>1.4285714285714286</v>
      </c>
      <c r="I59" s="18">
        <f t="shared" si="2"/>
        <v>5.7142857142857144</v>
      </c>
    </row>
    <row r="60" spans="1:9" ht="13.15" x14ac:dyDescent="0.35">
      <c r="A60" s="21">
        <v>59</v>
      </c>
      <c r="B60" s="16">
        <f>'Data GPT'!B60</f>
        <v>13</v>
      </c>
      <c r="C60" s="22" t="str">
        <f>'Data GPT'!F60</f>
        <v>reasoning</v>
      </c>
      <c r="D60" s="16" t="str">
        <f>LOWER(TRIM('Data GPT'!H60))</f>
        <v>major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2</v>
      </c>
      <c r="F60" s="23">
        <f>IF(D60="major",Parameters!$B$14,IF(D60="medium",Parameters!$B$15,Parameters!$B$16))</f>
        <v>3</v>
      </c>
      <c r="G60" s="16">
        <f t="shared" si="1"/>
        <v>0</v>
      </c>
      <c r="H60" s="24">
        <f>Parameters!$B$20^(G60-1)</f>
        <v>1.4285714285714286</v>
      </c>
      <c r="I60" s="18">
        <f t="shared" si="2"/>
        <v>8.5714285714285712</v>
      </c>
    </row>
    <row r="61" spans="1:9" ht="13.15" x14ac:dyDescent="0.35">
      <c r="A61" s="21">
        <v>60</v>
      </c>
      <c r="B61" s="16">
        <f>'Data GPT'!B61</f>
        <v>14</v>
      </c>
      <c r="C61" s="22" t="str">
        <f>'Data GPT'!F61</f>
        <v>reasoning</v>
      </c>
      <c r="D61" s="16" t="str">
        <f>LOWER(TRIM('Data GPT'!H61))</f>
        <v>minor</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2</v>
      </c>
      <c r="F61" s="23">
        <f>IF(D61="major",Parameters!$B$14,IF(D61="medium",Parameters!$B$15,Parameters!$B$16))</f>
        <v>1</v>
      </c>
      <c r="G61" s="16">
        <f t="shared" si="1"/>
        <v>0</v>
      </c>
      <c r="H61" s="24">
        <f>Parameters!$B$20^(G61-1)</f>
        <v>1.4285714285714286</v>
      </c>
      <c r="I61" s="18">
        <f t="shared" si="2"/>
        <v>2.8571428571428572</v>
      </c>
    </row>
    <row r="62" spans="1:9" ht="13.15" x14ac:dyDescent="0.35">
      <c r="A62" s="21">
        <v>61</v>
      </c>
      <c r="B62" s="16">
        <f>'Data GPT'!B62</f>
        <v>14</v>
      </c>
      <c r="C62" s="22" t="str">
        <f>'Data GPT'!F62</f>
        <v>reasoning</v>
      </c>
      <c r="D62" s="16" t="str">
        <f>LOWER(TRIM('Data GPT'!H62))</f>
        <v>minor</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2</v>
      </c>
      <c r="F62" s="23">
        <f>IF(D62="major",Parameters!$B$14,IF(D62="medium",Parameters!$B$15,Parameters!$B$16))</f>
        <v>1</v>
      </c>
      <c r="G62" s="16">
        <f t="shared" si="1"/>
        <v>0</v>
      </c>
      <c r="H62" s="24">
        <f>Parameters!$B$20^(G62-1)</f>
        <v>1.4285714285714286</v>
      </c>
      <c r="I62" s="18">
        <f t="shared" si="2"/>
        <v>2.8571428571428572</v>
      </c>
    </row>
    <row r="63" spans="1:9" ht="13.15" x14ac:dyDescent="0.35">
      <c r="A63" s="21">
        <v>62</v>
      </c>
      <c r="B63" s="16">
        <f>'Data GPT'!B63</f>
        <v>15</v>
      </c>
      <c r="C63" s="22" t="str">
        <f>'Data GPT'!F63</f>
        <v>geometry</v>
      </c>
      <c r="D63" s="16" t="str">
        <f>LOWER(TRIM('Data GPT'!H63))</f>
        <v>major</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3</v>
      </c>
      <c r="F63" s="23">
        <f>IF(D63="major",Parameters!$B$14,IF(D63="medium",Parameters!$B$15,Parameters!$B$16))</f>
        <v>3</v>
      </c>
      <c r="G63" s="16">
        <f t="shared" si="1"/>
        <v>0</v>
      </c>
      <c r="H63" s="24">
        <f>Parameters!$B$20^(G63-1)</f>
        <v>1.4285714285714286</v>
      </c>
      <c r="I63" s="18">
        <f t="shared" si="2"/>
        <v>12.857142857142858</v>
      </c>
    </row>
    <row r="64" spans="1:9" ht="13.15" x14ac:dyDescent="0.35">
      <c r="A64" s="21">
        <v>63</v>
      </c>
      <c r="B64" s="16">
        <f>'Data GPT'!B64</f>
        <v>15</v>
      </c>
      <c r="C64" s="22" t="str">
        <f>'Data GPT'!F64</f>
        <v>geometry</v>
      </c>
      <c r="D64" s="16" t="str">
        <f>LOWER(TRIM('Data GPT'!H64))</f>
        <v>major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3</v>
      </c>
      <c r="F64" s="23">
        <f>IF(D64="major",Parameters!$B$14,IF(D64="medium",Parameters!$B$15,Parameters!$B$16))</f>
        <v>3</v>
      </c>
      <c r="G64" s="16">
        <f t="shared" si="1"/>
        <v>0</v>
      </c>
      <c r="H64" s="24">
        <f>Parameters!$B$20^(G64-1)</f>
        <v>1.4285714285714286</v>
      </c>
      <c r="I64" s="18">
        <f t="shared" si="2"/>
        <v>12.857142857142858</v>
      </c>
    </row>
    <row r="65" spans="1:9" ht="13.15" x14ac:dyDescent="0.35">
      <c r="A65" s="21">
        <v>64</v>
      </c>
      <c r="B65" s="16">
        <f>'Data GPT'!B65</f>
        <v>15</v>
      </c>
      <c r="C65" s="22" t="str">
        <f>'Data GPT'!F65</f>
        <v>geometry</v>
      </c>
      <c r="D65" s="16" t="str">
        <f>LOWER(TRIM('Data GPT'!H65))</f>
        <v>major</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3</v>
      </c>
      <c r="F65" s="23">
        <f>IF(D65="major",Parameters!$B$14,IF(D65="medium",Parameters!$B$15,Parameters!$B$16))</f>
        <v>3</v>
      </c>
      <c r="G65" s="16">
        <f t="shared" si="1"/>
        <v>0</v>
      </c>
      <c r="H65" s="24">
        <f>Parameters!$B$20^(G65-1)</f>
        <v>1.4285714285714286</v>
      </c>
      <c r="I65" s="18">
        <f t="shared" si="2"/>
        <v>12.857142857142858</v>
      </c>
    </row>
    <row r="66" spans="1:9" ht="13.15" x14ac:dyDescent="0.35">
      <c r="A66" s="21">
        <v>65</v>
      </c>
      <c r="B66" s="16">
        <f>'Data GPT'!B66</f>
        <v>16</v>
      </c>
      <c r="C66" s="22" t="str">
        <f>'Data GPT'!F66</f>
        <v>reasoning</v>
      </c>
      <c r="D66" s="16" t="str">
        <f>LOWER(TRIM('Data GPT'!H66))</f>
        <v>medium</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2</v>
      </c>
      <c r="G66" s="16">
        <f t="shared" si="1"/>
        <v>0</v>
      </c>
      <c r="H66" s="24">
        <f>Parameters!$B$20^(G66-1)</f>
        <v>1.4285714285714286</v>
      </c>
      <c r="I66" s="18">
        <f t="shared" si="2"/>
        <v>5.7142857142857144</v>
      </c>
    </row>
    <row r="67" spans="1:9" ht="13.15" x14ac:dyDescent="0.35">
      <c r="A67" s="21">
        <v>66</v>
      </c>
      <c r="B67" s="16">
        <f>'Data GPT'!B67</f>
        <v>17</v>
      </c>
      <c r="C67" s="22" t="str">
        <f>'Data GPT'!F67</f>
        <v>geometry</v>
      </c>
      <c r="D67" s="16" t="str">
        <f>LOWER(TRIM('Data GPT'!H67))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3</v>
      </c>
      <c r="F67" s="23">
        <f>IF(D67="major",Parameters!$B$14,IF(D67="medium",Parameters!$B$15,Parameters!$B$16))</f>
        <v>3</v>
      </c>
      <c r="G67" s="16">
        <f t="shared" ref="G67:G77" si="3">COUNTIFS($B$2:$B$12,B67,$C$2:$C$12,C67,$F$2:$F$12,"&gt;"&amp;F67)+COUNTIFS($B$2:$B$12,B67,$C$2:$C$12,C67,$F$2:$F$12,F67,$A$2:$A$12,"&lt;="&amp;A67)</f>
        <v>0</v>
      </c>
      <c r="H67" s="24">
        <f>Parameters!$B$20^(G67-1)</f>
        <v>1.4285714285714286</v>
      </c>
      <c r="I67" s="18">
        <f t="shared" ref="I67:I77" si="4">E67*F67*H67</f>
        <v>12.857142857142858</v>
      </c>
    </row>
    <row r="68" spans="1:9" ht="13.15" x14ac:dyDescent="0.35">
      <c r="A68" s="21">
        <v>67</v>
      </c>
      <c r="B68" s="16">
        <f>'Data GPT'!B68</f>
        <v>17</v>
      </c>
      <c r="C68" s="22" t="str">
        <f>'Data GPT'!F68</f>
        <v>geometry</v>
      </c>
      <c r="D68" s="16" t="str">
        <f>LOWER(TRIM('Data GPT'!H68))</f>
        <v>major</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3</v>
      </c>
      <c r="F68" s="23">
        <f>IF(D68="major",Parameters!$B$14,IF(D68="medium",Parameters!$B$15,Parameters!$B$16))</f>
        <v>3</v>
      </c>
      <c r="G68" s="16">
        <f t="shared" si="3"/>
        <v>0</v>
      </c>
      <c r="H68" s="24">
        <f>Parameters!$B$20^(G68-1)</f>
        <v>1.4285714285714286</v>
      </c>
      <c r="I68" s="18">
        <f t="shared" si="4"/>
        <v>12.857142857142858</v>
      </c>
    </row>
    <row r="69" spans="1:9" ht="13.15" x14ac:dyDescent="0.35">
      <c r="A69" s="21">
        <v>68</v>
      </c>
      <c r="B69" s="16">
        <f>'Data GPT'!B69</f>
        <v>17</v>
      </c>
      <c r="C69" s="22" t="str">
        <f>'Data GPT'!F69</f>
        <v>geometry</v>
      </c>
      <c r="D69" s="16" t="str">
        <f>LOWER(TRIM('Data GPT'!H69))</f>
        <v>major</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3</v>
      </c>
      <c r="F69" s="23">
        <f>IF(D69="major",Parameters!$B$14,IF(D69="medium",Parameters!$B$15,Parameters!$B$16))</f>
        <v>3</v>
      </c>
      <c r="G69" s="16">
        <f t="shared" si="3"/>
        <v>0</v>
      </c>
      <c r="H69" s="24">
        <f>Parameters!$B$20^(G69-1)</f>
        <v>1.4285714285714286</v>
      </c>
      <c r="I69" s="18">
        <f t="shared" si="4"/>
        <v>12.857142857142858</v>
      </c>
    </row>
    <row r="70" spans="1:9" ht="13.15" x14ac:dyDescent="0.35">
      <c r="A70" s="21">
        <v>69</v>
      </c>
      <c r="B70" s="16">
        <f>'Data GPT'!B70</f>
        <v>18</v>
      </c>
      <c r="C70" s="22" t="str">
        <f>'Data GPT'!F70</f>
        <v>piece_placement</v>
      </c>
      <c r="D70" s="16" t="str">
        <f>LOWER(TRIM('Data GPT'!H70))</f>
        <v>major</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6</v>
      </c>
      <c r="F70" s="23">
        <f>IF(D70="major",Parameters!$B$14,IF(D70="medium",Parameters!$B$15,Parameters!$B$16))</f>
        <v>3</v>
      </c>
      <c r="G70" s="16">
        <f t="shared" si="3"/>
        <v>0</v>
      </c>
      <c r="H70" s="24">
        <f>Parameters!$B$20^(G70-1)</f>
        <v>1.4285714285714286</v>
      </c>
      <c r="I70" s="18">
        <f t="shared" si="4"/>
        <v>25.714285714285715</v>
      </c>
    </row>
    <row r="71" spans="1:9" ht="13.15" x14ac:dyDescent="0.35">
      <c r="A71" s="21">
        <v>70</v>
      </c>
      <c r="B71" s="16">
        <f>'Data GPT'!B71</f>
        <v>18</v>
      </c>
      <c r="C71" s="22" t="str">
        <f>'Data GPT'!F71</f>
        <v>piece_relations</v>
      </c>
      <c r="D71" s="16" t="str">
        <f>LOWER(TRIM('Data GPT'!H71))</f>
        <v>major</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4</v>
      </c>
      <c r="F71" s="23">
        <f>IF(D71="major",Parameters!$B$14,IF(D71="medium",Parameters!$B$15,Parameters!$B$16))</f>
        <v>3</v>
      </c>
      <c r="G71" s="16">
        <f t="shared" si="3"/>
        <v>0</v>
      </c>
      <c r="H71" s="24">
        <f>Parameters!$B$20^(G71-1)</f>
        <v>1.4285714285714286</v>
      </c>
      <c r="I71" s="18">
        <f t="shared" si="4"/>
        <v>17.142857142857142</v>
      </c>
    </row>
    <row r="72" spans="1:9" ht="13.15" x14ac:dyDescent="0.35">
      <c r="A72" s="21">
        <v>71</v>
      </c>
      <c r="B72" s="16">
        <f>'Data GPT'!B72</f>
        <v>19</v>
      </c>
      <c r="C72" s="22" t="str">
        <f>'Data GPT'!F72</f>
        <v>piece_placement</v>
      </c>
      <c r="D72" s="16" t="str">
        <f>LOWER(TRIM('Data GPT'!H72))</f>
        <v>major</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6</v>
      </c>
      <c r="F72" s="23">
        <f>IF(D72="major",Parameters!$B$14,IF(D72="medium",Parameters!$B$15,Parameters!$B$16))</f>
        <v>3</v>
      </c>
      <c r="G72" s="16">
        <f t="shared" si="3"/>
        <v>0</v>
      </c>
      <c r="H72" s="24">
        <f>Parameters!$B$20^(G72-1)</f>
        <v>1.4285714285714286</v>
      </c>
      <c r="I72" s="18">
        <f t="shared" si="4"/>
        <v>25.714285714285715</v>
      </c>
    </row>
    <row r="73" spans="1:9" ht="13.15" x14ac:dyDescent="0.35">
      <c r="A73" s="21">
        <v>72</v>
      </c>
      <c r="B73" s="16">
        <f>'Data GPT'!B73</f>
        <v>19</v>
      </c>
      <c r="C73" s="22" t="str">
        <f>'Data GPT'!F73</f>
        <v>piece_placement</v>
      </c>
      <c r="D73" s="16" t="str">
        <f>LOWER(TRIM('Data GPT'!H73))</f>
        <v>major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6</v>
      </c>
      <c r="F73" s="23">
        <f>IF(D73="major",Parameters!$B$14,IF(D73="medium",Parameters!$B$15,Parameters!$B$16))</f>
        <v>3</v>
      </c>
      <c r="G73" s="16">
        <f t="shared" si="3"/>
        <v>0</v>
      </c>
      <c r="H73" s="24">
        <f>Parameters!$B$20^(G73-1)</f>
        <v>1.4285714285714286</v>
      </c>
      <c r="I73" s="18">
        <f t="shared" si="4"/>
        <v>25.714285714285715</v>
      </c>
    </row>
    <row r="74" spans="1:9" ht="13.15" x14ac:dyDescent="0.35">
      <c r="A74" s="21">
        <v>73</v>
      </c>
      <c r="B74" s="16">
        <f>'Data GPT'!B74</f>
        <v>19</v>
      </c>
      <c r="C74" s="22" t="str">
        <f>'Data GPT'!F74</f>
        <v>piece_placement</v>
      </c>
      <c r="D74" s="16" t="str">
        <f>LOWER(TRIM('Data GPT'!H74))</f>
        <v>major</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6</v>
      </c>
      <c r="F74" s="23">
        <f>IF(D74="major",Parameters!$B$14,IF(D74="medium",Parameters!$B$15,Parameters!$B$16))</f>
        <v>3</v>
      </c>
      <c r="G74" s="16">
        <f t="shared" si="3"/>
        <v>0</v>
      </c>
      <c r="H74" s="24">
        <f>Parameters!$B$20^(G74-1)</f>
        <v>1.4285714285714286</v>
      </c>
      <c r="I74" s="18">
        <f t="shared" si="4"/>
        <v>25.714285714285715</v>
      </c>
    </row>
    <row r="75" spans="1:9" ht="13.15" x14ac:dyDescent="0.35">
      <c r="A75" s="21">
        <v>74</v>
      </c>
      <c r="B75" s="16">
        <f>'Data GPT'!B75</f>
        <v>20</v>
      </c>
      <c r="C75" s="22" t="str">
        <f>'Data GPT'!F75</f>
        <v>reasoning</v>
      </c>
      <c r="D75" s="16" t="str">
        <f>LOWER(TRIM('Data GPT'!H75))</f>
        <v>medium</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2</v>
      </c>
      <c r="F75" s="23">
        <f>IF(D75="major",Parameters!$B$14,IF(D75="medium",Parameters!$B$15,Parameters!$B$16))</f>
        <v>2</v>
      </c>
      <c r="G75" s="16">
        <f t="shared" si="3"/>
        <v>0</v>
      </c>
      <c r="H75" s="24">
        <f>Parameters!$B$20^(G75-1)</f>
        <v>1.4285714285714286</v>
      </c>
      <c r="I75" s="18">
        <f t="shared" si="4"/>
        <v>5.7142857142857144</v>
      </c>
    </row>
    <row r="76" spans="1:9" ht="13.15" x14ac:dyDescent="0.35">
      <c r="A76" s="21">
        <v>75</v>
      </c>
      <c r="B76" s="16">
        <f>'Data GPT'!B76</f>
        <v>20</v>
      </c>
      <c r="C76" s="22" t="str">
        <f>'Data GPT'!F76</f>
        <v>reasoning</v>
      </c>
      <c r="D76" s="16" t="str">
        <f>LOWER(TRIM('Data GPT'!H76))</f>
        <v>major</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2</v>
      </c>
      <c r="F76" s="23">
        <f>IF(D76="major",Parameters!$B$14,IF(D76="medium",Parameters!$B$15,Parameters!$B$16))</f>
        <v>3</v>
      </c>
      <c r="G76" s="16">
        <f t="shared" si="3"/>
        <v>0</v>
      </c>
      <c r="H76" s="24">
        <f>Parameters!$B$20^(G76-1)</f>
        <v>1.4285714285714286</v>
      </c>
      <c r="I76" s="18">
        <f t="shared" si="4"/>
        <v>8.5714285714285712</v>
      </c>
    </row>
    <row r="77" spans="1:9" ht="13.15" x14ac:dyDescent="0.35">
      <c r="A77" s="21">
        <v>76</v>
      </c>
      <c r="B77" s="16">
        <f>'Data GPT'!B77</f>
        <v>20</v>
      </c>
      <c r="C77" s="22" t="str">
        <f>'Data GPT'!F77</f>
        <v>reasoning</v>
      </c>
      <c r="D77" s="16" t="str">
        <f>LOWER(TRIM('Data GPT'!H77))</f>
        <v>medium</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2</v>
      </c>
      <c r="F77" s="23">
        <f>IF(D77="major",Parameters!$B$14,IF(D77="medium",Parameters!$B$15,Parameters!$B$16))</f>
        <v>2</v>
      </c>
      <c r="G77" s="16">
        <f t="shared" si="3"/>
        <v>0</v>
      </c>
      <c r="H77" s="24">
        <f>Parameters!$B$20^(G77-1)</f>
        <v>1.4285714285714286</v>
      </c>
      <c r="I77" s="18">
        <f t="shared" si="4"/>
        <v>5.7142857142857144</v>
      </c>
    </row>
  </sheetData>
  <autoFilter ref="A1:I77" xr:uid="{B77A720C-89C3-4686-B526-6C7560151C0F}"/>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9762-D12A-4F24-A929-BCF95F313649}">
  <sheetPr>
    <tabColor theme="9"/>
  </sheetPr>
  <dimension ref="A1:E22"/>
  <sheetViews>
    <sheetView zoomScaleNormal="100" workbookViewId="0">
      <pane ySplit="1" topLeftCell="A2" activePane="bottomLeft" state="frozen"/>
      <selection pane="bottomLeft" activeCell="B2" sqref="B2:E21"/>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GPT'!$B:$B, A2)</f>
        <v>7</v>
      </c>
      <c r="C2" s="13">
        <f>SUMIF('Calculations GPT'!$B:$B, A2, 'Calculations GPT'!$I:$I)</f>
        <v>40.066000000000003</v>
      </c>
      <c r="D2" s="14">
        <f t="shared" ref="D2" si="0">MAX(0,100-C2)</f>
        <v>59.933999999999997</v>
      </c>
      <c r="E2" s="12" t="str">
        <f>IF(D2&gt;=90,"Excellent",IF(D2&gt;=75,"Good",IF(D2&gt;=55,"Acceptable",IF(D2&gt;=35,"Weak","Critic"))))</f>
        <v>Acceptable</v>
      </c>
    </row>
    <row r="3" spans="1:5" ht="13.15" x14ac:dyDescent="0.35">
      <c r="A3" s="15">
        <v>2</v>
      </c>
      <c r="B3" s="16">
        <f>COUNTIF('Calculations GPT'!$B:$B, A3)</f>
        <v>9</v>
      </c>
      <c r="C3" s="17">
        <f>SUMIF('Calculations GPT'!$B:$B, A3, 'Calculations GPT'!$I:$I)</f>
        <v>30.723714285714287</v>
      </c>
      <c r="D3" s="18">
        <f t="shared" ref="D3:D21" si="1">MAX(0,100-C3)</f>
        <v>69.276285714285706</v>
      </c>
      <c r="E3" s="16" t="str">
        <f t="shared" ref="E3:E21" si="2">IF(D3&gt;=90,"Excellent",IF(D3&gt;=75,"Good",IF(D3&gt;=55,"Acceptable",IF(D3&gt;=35,"Weak","Critic"))))</f>
        <v>Acceptable</v>
      </c>
    </row>
    <row r="4" spans="1:5" ht="13.15" x14ac:dyDescent="0.35">
      <c r="A4" s="11">
        <v>3</v>
      </c>
      <c r="B4" s="12">
        <f>COUNTIF('Calculations GPT'!$B:$B, A4)</f>
        <v>6</v>
      </c>
      <c r="C4" s="13">
        <f>SUMIF('Calculations GPT'!$B:$B, A4, 'Calculations GPT'!$I:$I)</f>
        <v>37.142857142857146</v>
      </c>
      <c r="D4" s="14">
        <f t="shared" si="1"/>
        <v>62.857142857142854</v>
      </c>
      <c r="E4" s="12" t="str">
        <f t="shared" si="2"/>
        <v>Acceptable</v>
      </c>
    </row>
    <row r="5" spans="1:5" ht="13.15" x14ac:dyDescent="0.35">
      <c r="A5" s="15">
        <v>4</v>
      </c>
      <c r="B5" s="16">
        <f>COUNTIF('Calculations GPT'!$B:$B, A5)</f>
        <v>5</v>
      </c>
      <c r="C5" s="17">
        <f>SUMIF('Calculations GPT'!$B:$B, A5, 'Calculations GPT'!$I:$I)</f>
        <v>25.714285714285715</v>
      </c>
      <c r="D5" s="18">
        <f t="shared" si="1"/>
        <v>74.285714285714278</v>
      </c>
      <c r="E5" s="16" t="str">
        <f t="shared" si="2"/>
        <v>Acceptable</v>
      </c>
    </row>
    <row r="6" spans="1:5" ht="13.15" x14ac:dyDescent="0.35">
      <c r="A6" s="11">
        <v>5</v>
      </c>
      <c r="B6" s="12">
        <f>COUNTIF('Calculations GPT'!$B:$B, A6)</f>
        <v>2</v>
      </c>
      <c r="C6" s="13">
        <f>SUMIF('Calculations GPT'!$B:$B, A6, 'Calculations GPT'!$I:$I)</f>
        <v>40</v>
      </c>
      <c r="D6" s="14">
        <f t="shared" si="1"/>
        <v>60</v>
      </c>
      <c r="E6" s="12" t="str">
        <f t="shared" si="2"/>
        <v>Acceptable</v>
      </c>
    </row>
    <row r="7" spans="1:5" ht="13.15" x14ac:dyDescent="0.35">
      <c r="A7" s="15">
        <v>6</v>
      </c>
      <c r="B7" s="16">
        <f>COUNTIF('Calculations GPT'!$B:$B, A7)</f>
        <v>2</v>
      </c>
      <c r="C7" s="17">
        <f>SUMIF('Calculations GPT'!$B:$B, A7, 'Calculations GPT'!$I:$I)</f>
        <v>11.428571428571429</v>
      </c>
      <c r="D7" s="18">
        <f t="shared" si="1"/>
        <v>88.571428571428569</v>
      </c>
      <c r="E7" s="16" t="str">
        <f t="shared" si="2"/>
        <v>Good</v>
      </c>
    </row>
    <row r="8" spans="1:5" ht="13.15" x14ac:dyDescent="0.35">
      <c r="A8" s="11">
        <v>7</v>
      </c>
      <c r="B8" s="12">
        <f>COUNTIF('Calculations GPT'!$B:$B, A8)</f>
        <v>4</v>
      </c>
      <c r="C8" s="13">
        <f>SUMIF('Calculations GPT'!$B:$B, A8, 'Calculations GPT'!$I:$I)</f>
        <v>25.714285714285712</v>
      </c>
      <c r="D8" s="14">
        <f t="shared" si="1"/>
        <v>74.285714285714292</v>
      </c>
      <c r="E8" s="12" t="str">
        <f t="shared" si="2"/>
        <v>Acceptable</v>
      </c>
    </row>
    <row r="9" spans="1:5" ht="13.15" x14ac:dyDescent="0.35">
      <c r="A9" s="15">
        <v>8</v>
      </c>
      <c r="B9" s="16">
        <f>COUNTIF('Calculations GPT'!$B:$B, A9)</f>
        <v>1</v>
      </c>
      <c r="C9" s="17">
        <f>SUMIF('Calculations GPT'!$B:$B, A9, 'Calculations GPT'!$I:$I)</f>
        <v>5.7142857142857144</v>
      </c>
      <c r="D9" s="18">
        <f t="shared" si="1"/>
        <v>94.285714285714292</v>
      </c>
      <c r="E9" s="16" t="str">
        <f t="shared" si="2"/>
        <v>Excellent</v>
      </c>
    </row>
    <row r="10" spans="1:5" ht="13.15" x14ac:dyDescent="0.35">
      <c r="A10" s="11">
        <v>9</v>
      </c>
      <c r="B10" s="12">
        <f>COUNTIF('Calculations GPT'!$B:$B, A10)</f>
        <v>10</v>
      </c>
      <c r="C10" s="13">
        <f>SUMIF('Calculations GPT'!$B:$B, A10, 'Calculations GPT'!$I:$I)</f>
        <v>101.42857142857143</v>
      </c>
      <c r="D10" s="14">
        <f t="shared" si="1"/>
        <v>0</v>
      </c>
      <c r="E10" s="12" t="str">
        <f t="shared" si="2"/>
        <v>Critic</v>
      </c>
    </row>
    <row r="11" spans="1:5" ht="13.15" x14ac:dyDescent="0.35">
      <c r="A11" s="15">
        <v>10</v>
      </c>
      <c r="B11" s="16">
        <f>COUNTIF('Calculations GPT'!$B:$B, A11)</f>
        <v>3</v>
      </c>
      <c r="C11" s="17">
        <f>SUMIF('Calculations GPT'!$B:$B, A11, 'Calculations GPT'!$I:$I)</f>
        <v>11.428571428571429</v>
      </c>
      <c r="D11" s="18">
        <f t="shared" si="1"/>
        <v>88.571428571428569</v>
      </c>
      <c r="E11" s="16" t="str">
        <f t="shared" si="2"/>
        <v>Good</v>
      </c>
    </row>
    <row r="12" spans="1:5" ht="13.15" x14ac:dyDescent="0.35">
      <c r="A12" s="11">
        <v>11</v>
      </c>
      <c r="B12" s="12">
        <f>COUNTIF('Calculations GPT'!$B:$B, A12)</f>
        <v>1</v>
      </c>
      <c r="C12" s="13">
        <f>SUMIF('Calculations GPT'!$B:$B, A12, 'Calculations GPT'!$I:$I)</f>
        <v>12.857142857142858</v>
      </c>
      <c r="D12" s="14">
        <f t="shared" si="1"/>
        <v>87.142857142857139</v>
      </c>
      <c r="E12" s="12" t="str">
        <f t="shared" si="2"/>
        <v>Good</v>
      </c>
    </row>
    <row r="13" spans="1:5" ht="13.15" x14ac:dyDescent="0.35">
      <c r="A13" s="15">
        <v>12</v>
      </c>
      <c r="B13" s="16">
        <f>COUNTIF('Calculations GPT'!$B:$B, A13)</f>
        <v>5</v>
      </c>
      <c r="C13" s="17">
        <f>SUMIF('Calculations GPT'!$B:$B, A13, 'Calculations GPT'!$I:$I)</f>
        <v>80</v>
      </c>
      <c r="D13" s="18">
        <f t="shared" si="1"/>
        <v>20</v>
      </c>
      <c r="E13" s="16" t="str">
        <f t="shared" si="2"/>
        <v>Critic</v>
      </c>
    </row>
    <row r="14" spans="1:5" ht="13.15" x14ac:dyDescent="0.35">
      <c r="A14" s="11">
        <v>13</v>
      </c>
      <c r="B14" s="12">
        <f>COUNTIF('Calculations GPT'!$B:$B, A14)</f>
        <v>4</v>
      </c>
      <c r="C14" s="13">
        <f>SUMIF('Calculations GPT'!$B:$B, A14, 'Calculations GPT'!$I:$I)</f>
        <v>28.571428571428569</v>
      </c>
      <c r="D14" s="14">
        <f t="shared" si="1"/>
        <v>71.428571428571431</v>
      </c>
      <c r="E14" s="12" t="str">
        <f t="shared" si="2"/>
        <v>Acceptable</v>
      </c>
    </row>
    <row r="15" spans="1:5" ht="13.15" x14ac:dyDescent="0.35">
      <c r="A15" s="15">
        <v>14</v>
      </c>
      <c r="B15" s="16">
        <f>COUNTIF('Calculations GPT'!$B:$B, A15)</f>
        <v>2</v>
      </c>
      <c r="C15" s="17">
        <f>SUMIF('Calculations GPT'!$B:$B, A15, 'Calculations GPT'!$I:$I)</f>
        <v>5.7142857142857144</v>
      </c>
      <c r="D15" s="18">
        <f t="shared" si="1"/>
        <v>94.285714285714292</v>
      </c>
      <c r="E15" s="16" t="str">
        <f t="shared" si="2"/>
        <v>Excellent</v>
      </c>
    </row>
    <row r="16" spans="1:5" ht="13.15" x14ac:dyDescent="0.35">
      <c r="A16" s="11">
        <v>15</v>
      </c>
      <c r="B16" s="12">
        <f>COUNTIF('Calculations GPT'!$B:$B, A16)</f>
        <v>3</v>
      </c>
      <c r="C16" s="13">
        <f>SUMIF('Calculations GPT'!$B:$B, A16, 'Calculations GPT'!$I:$I)</f>
        <v>38.571428571428569</v>
      </c>
      <c r="D16" s="14">
        <f t="shared" si="1"/>
        <v>61.428571428571431</v>
      </c>
      <c r="E16" s="12" t="str">
        <f t="shared" si="2"/>
        <v>Acceptable</v>
      </c>
    </row>
    <row r="17" spans="1:5" ht="13.15" x14ac:dyDescent="0.35">
      <c r="A17" s="15">
        <v>16</v>
      </c>
      <c r="B17" s="16">
        <f>COUNTIF('Calculations GPT'!$B:$B, A17)</f>
        <v>1</v>
      </c>
      <c r="C17" s="17">
        <f>SUMIF('Calculations GPT'!$B:$B, A17, 'Calculations GPT'!$I:$I)</f>
        <v>5.7142857142857144</v>
      </c>
      <c r="D17" s="18">
        <f t="shared" si="1"/>
        <v>94.285714285714292</v>
      </c>
      <c r="E17" s="16" t="str">
        <f t="shared" si="2"/>
        <v>Excellent</v>
      </c>
    </row>
    <row r="18" spans="1:5" ht="13.15" x14ac:dyDescent="0.35">
      <c r="A18" s="11">
        <v>17</v>
      </c>
      <c r="B18" s="12">
        <f>COUNTIF('Calculations GPT'!$B:$B, A18)</f>
        <v>3</v>
      </c>
      <c r="C18" s="13">
        <f>SUMIF('Calculations GPT'!$B:$B, A18, 'Calculations GPT'!$I:$I)</f>
        <v>38.571428571428569</v>
      </c>
      <c r="D18" s="14">
        <f t="shared" si="1"/>
        <v>61.428571428571431</v>
      </c>
      <c r="E18" s="12" t="str">
        <f t="shared" si="2"/>
        <v>Acceptable</v>
      </c>
    </row>
    <row r="19" spans="1:5" ht="13.15" x14ac:dyDescent="0.35">
      <c r="A19" s="15">
        <v>18</v>
      </c>
      <c r="B19" s="16">
        <f>COUNTIF('Calculations GPT'!$B:$B, A19)</f>
        <v>2</v>
      </c>
      <c r="C19" s="17">
        <f>SUMIF('Calculations GPT'!$B:$B, A19, 'Calculations GPT'!$I:$I)</f>
        <v>42.857142857142861</v>
      </c>
      <c r="D19" s="18">
        <f t="shared" si="1"/>
        <v>57.142857142857139</v>
      </c>
      <c r="E19" s="16" t="str">
        <f t="shared" si="2"/>
        <v>Acceptable</v>
      </c>
    </row>
    <row r="20" spans="1:5" ht="13.15" x14ac:dyDescent="0.35">
      <c r="A20" s="11">
        <v>19</v>
      </c>
      <c r="B20" s="12">
        <f>COUNTIF('Calculations GPT'!$B:$B, A20)</f>
        <v>3</v>
      </c>
      <c r="C20" s="13">
        <f>SUMIF('Calculations GPT'!$B:$B, A20, 'Calculations GPT'!$I:$I)</f>
        <v>77.142857142857139</v>
      </c>
      <c r="D20" s="14">
        <f t="shared" si="1"/>
        <v>22.857142857142861</v>
      </c>
      <c r="E20" s="12" t="str">
        <f t="shared" si="2"/>
        <v>Critic</v>
      </c>
    </row>
    <row r="21" spans="1:5" ht="13.15" x14ac:dyDescent="0.35">
      <c r="A21" s="15">
        <v>20</v>
      </c>
      <c r="B21" s="16">
        <f>COUNTIF('Calculations GPT'!$B:$B, A21)</f>
        <v>3</v>
      </c>
      <c r="C21" s="17">
        <f>SUMIF('Calculations GPT'!$B:$B, A21, 'Calculations GPT'!$I:$I)</f>
        <v>20</v>
      </c>
      <c r="D21" s="18">
        <f t="shared" si="1"/>
        <v>80</v>
      </c>
      <c r="E21" s="16" t="str">
        <f t="shared" si="2"/>
        <v>Good</v>
      </c>
    </row>
    <row r="22" spans="1:5" ht="15" x14ac:dyDescent="0.35">
      <c r="A22" s="56" t="s">
        <v>577</v>
      </c>
      <c r="B22" s="56"/>
      <c r="C22" s="19">
        <f>ROUND(AVERAGE(C2:C21),2)</f>
        <v>33.97</v>
      </c>
      <c r="D22" s="19">
        <f>ROUND(AVERAGE(D2:D21),2)</f>
        <v>66.099999999999994</v>
      </c>
      <c r="E22" s="20" t="str">
        <f t="shared" ref="E22" si="3">IF(D22&gt;=90,"Excellent",IF(D22&gt;=75,"Good",IF(D22&gt;=55,"Acceptable",IF(D22&gt;=35,"Weak","Critic"))))</f>
        <v>Acceptable</v>
      </c>
    </row>
  </sheetData>
  <mergeCells count="1">
    <mergeCell ref="A22:B22"/>
  </mergeCells>
  <conditionalFormatting sqref="C2:C21">
    <cfRule type="cellIs" dxfId="2" priority="1" operator="greaterThan">
      <formula>99</formula>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8E42-BAF5-4AC5-82D1-5136B559D4B3}">
  <sheetPr>
    <tabColor rgb="FF7030A0"/>
  </sheetPr>
  <dimension ref="A1:H359"/>
  <sheetViews>
    <sheetView zoomScaleNormal="100" workbookViewId="0">
      <pane ySplit="1" topLeftCell="A323" activePane="bottomLeft" state="frozen"/>
      <selection pane="bottomLeft" activeCell="A359" sqref="A359"/>
    </sheetView>
  </sheetViews>
  <sheetFormatPr defaultColWidth="12.59765625" defaultRowHeight="12.75" x14ac:dyDescent="0.35"/>
  <cols>
    <col min="1" max="1" width="11.53125" bestFit="1" customWidth="1"/>
    <col min="2" max="2" width="13.46484375" bestFit="1" customWidth="1"/>
    <col min="3" max="3" width="49.53125" bestFit="1" customWidth="1"/>
    <col min="4" max="4" width="10" bestFit="1" customWidth="1"/>
    <col min="5" max="5" width="111.3984375" bestFit="1" customWidth="1"/>
    <col min="6" max="6" width="21.3984375" bestFit="1" customWidth="1"/>
    <col min="7" max="7" width="67"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1421</v>
      </c>
      <c r="B2" s="31">
        <v>1</v>
      </c>
      <c r="C2" s="31" t="s">
        <v>52</v>
      </c>
      <c r="D2" s="31" t="s">
        <v>1422</v>
      </c>
      <c r="E2" s="31" t="s">
        <v>1423</v>
      </c>
      <c r="F2" s="31" t="s">
        <v>25</v>
      </c>
      <c r="G2" s="31" t="s">
        <v>1424</v>
      </c>
      <c r="H2" s="35" t="s">
        <v>34</v>
      </c>
    </row>
    <row r="3" spans="1:8" ht="23.25" x14ac:dyDescent="0.35">
      <c r="A3" s="32" t="s">
        <v>1421</v>
      </c>
      <c r="B3" s="32">
        <v>1</v>
      </c>
      <c r="C3" s="32" t="s">
        <v>52</v>
      </c>
      <c r="D3" s="32" t="s">
        <v>1422</v>
      </c>
      <c r="E3" s="32" t="s">
        <v>1425</v>
      </c>
      <c r="F3" s="32" t="s">
        <v>25</v>
      </c>
      <c r="G3" s="32" t="s">
        <v>1426</v>
      </c>
      <c r="H3" s="36" t="s">
        <v>34</v>
      </c>
    </row>
    <row r="4" spans="1:8" ht="23.25" x14ac:dyDescent="0.35">
      <c r="A4" s="31" t="s">
        <v>1421</v>
      </c>
      <c r="B4" s="31">
        <v>1</v>
      </c>
      <c r="C4" s="31" t="s">
        <v>52</v>
      </c>
      <c r="D4" s="31" t="s">
        <v>1422</v>
      </c>
      <c r="E4" s="31" t="s">
        <v>1427</v>
      </c>
      <c r="F4" s="31" t="s">
        <v>25</v>
      </c>
      <c r="G4" s="31" t="s">
        <v>1428</v>
      </c>
      <c r="H4" s="35" t="s">
        <v>34</v>
      </c>
    </row>
    <row r="5" spans="1:8" ht="23.25" x14ac:dyDescent="0.35">
      <c r="A5" s="32" t="s">
        <v>1421</v>
      </c>
      <c r="B5" s="32">
        <v>1</v>
      </c>
      <c r="C5" s="32" t="s">
        <v>52</v>
      </c>
      <c r="D5" s="32" t="s">
        <v>1422</v>
      </c>
      <c r="E5" s="32" t="s">
        <v>1429</v>
      </c>
      <c r="F5" s="32" t="s">
        <v>21</v>
      </c>
      <c r="G5" s="32" t="s">
        <v>1430</v>
      </c>
      <c r="H5" s="36" t="s">
        <v>33</v>
      </c>
    </row>
    <row r="6" spans="1:8" ht="23.25" x14ac:dyDescent="0.35">
      <c r="A6" s="31" t="s">
        <v>1421</v>
      </c>
      <c r="B6" s="31">
        <v>1</v>
      </c>
      <c r="C6" s="31" t="s">
        <v>52</v>
      </c>
      <c r="D6" s="31" t="s">
        <v>1422</v>
      </c>
      <c r="E6" s="31" t="s">
        <v>1431</v>
      </c>
      <c r="F6" s="31" t="s">
        <v>25</v>
      </c>
      <c r="G6" s="31" t="s">
        <v>1432</v>
      </c>
      <c r="H6" s="35" t="s">
        <v>34</v>
      </c>
    </row>
    <row r="7" spans="1:8" ht="23.25" x14ac:dyDescent="0.35">
      <c r="A7" s="32" t="s">
        <v>1421</v>
      </c>
      <c r="B7" s="32">
        <v>1</v>
      </c>
      <c r="C7" s="32" t="s">
        <v>52</v>
      </c>
      <c r="D7" s="32" t="s">
        <v>1100</v>
      </c>
      <c r="E7" s="32" t="s">
        <v>1433</v>
      </c>
      <c r="F7" s="32" t="s">
        <v>18</v>
      </c>
      <c r="G7" s="32" t="s">
        <v>1434</v>
      </c>
      <c r="H7" s="36" t="s">
        <v>33</v>
      </c>
    </row>
    <row r="8" spans="1:8" ht="23.25" x14ac:dyDescent="0.35">
      <c r="A8" s="31" t="s">
        <v>1421</v>
      </c>
      <c r="B8" s="31">
        <v>1</v>
      </c>
      <c r="C8" s="31" t="s">
        <v>52</v>
      </c>
      <c r="D8" s="31" t="s">
        <v>1100</v>
      </c>
      <c r="E8" s="31" t="s">
        <v>1435</v>
      </c>
      <c r="F8" s="31" t="s">
        <v>18</v>
      </c>
      <c r="G8" s="31" t="s">
        <v>1436</v>
      </c>
      <c r="H8" s="35" t="s">
        <v>34</v>
      </c>
    </row>
    <row r="9" spans="1:8" ht="23.25" x14ac:dyDescent="0.35">
      <c r="A9" s="32" t="s">
        <v>1421</v>
      </c>
      <c r="B9" s="32">
        <v>1</v>
      </c>
      <c r="C9" s="32" t="s">
        <v>52</v>
      </c>
      <c r="D9" s="32" t="s">
        <v>1309</v>
      </c>
      <c r="E9" s="32" t="s">
        <v>1437</v>
      </c>
      <c r="F9" s="32" t="s">
        <v>21</v>
      </c>
      <c r="G9" s="32" t="s">
        <v>1438</v>
      </c>
      <c r="H9" s="36" t="s">
        <v>33</v>
      </c>
    </row>
    <row r="10" spans="1:8" ht="23.25" x14ac:dyDescent="0.35">
      <c r="A10" s="31" t="s">
        <v>1421</v>
      </c>
      <c r="B10" s="31">
        <v>1</v>
      </c>
      <c r="C10" s="31" t="s">
        <v>52</v>
      </c>
      <c r="D10" s="31" t="s">
        <v>1309</v>
      </c>
      <c r="E10" s="31" t="s">
        <v>1439</v>
      </c>
      <c r="F10" s="31" t="s">
        <v>25</v>
      </c>
      <c r="G10" s="31" t="s">
        <v>1440</v>
      </c>
      <c r="H10" s="35" t="s">
        <v>34</v>
      </c>
    </row>
    <row r="11" spans="1:8" ht="23.25" x14ac:dyDescent="0.35">
      <c r="A11" s="32" t="s">
        <v>1421</v>
      </c>
      <c r="B11" s="32">
        <v>1</v>
      </c>
      <c r="C11" s="32" t="s">
        <v>52</v>
      </c>
      <c r="D11" s="32" t="s">
        <v>1309</v>
      </c>
      <c r="E11" s="32" t="s">
        <v>1441</v>
      </c>
      <c r="F11" s="32" t="s">
        <v>21</v>
      </c>
      <c r="G11" s="32" t="s">
        <v>1442</v>
      </c>
      <c r="H11" s="36" t="s">
        <v>33</v>
      </c>
    </row>
    <row r="12" spans="1:8" ht="23.25" x14ac:dyDescent="0.35">
      <c r="A12" s="31" t="s">
        <v>1421</v>
      </c>
      <c r="B12" s="31">
        <v>1</v>
      </c>
      <c r="C12" s="31" t="s">
        <v>52</v>
      </c>
      <c r="D12" s="31" t="s">
        <v>1309</v>
      </c>
      <c r="E12" s="31" t="s">
        <v>1443</v>
      </c>
      <c r="F12" s="31" t="s">
        <v>21</v>
      </c>
      <c r="G12" s="31" t="s">
        <v>1444</v>
      </c>
      <c r="H12" s="35" t="s">
        <v>33</v>
      </c>
    </row>
    <row r="13" spans="1:8" ht="23.25" x14ac:dyDescent="0.35">
      <c r="A13" s="32" t="s">
        <v>1421</v>
      </c>
      <c r="B13" s="32">
        <v>1</v>
      </c>
      <c r="C13" s="32" t="s">
        <v>52</v>
      </c>
      <c r="D13" s="32" t="s">
        <v>1309</v>
      </c>
      <c r="E13" s="32" t="s">
        <v>1445</v>
      </c>
      <c r="F13" s="32" t="s">
        <v>20</v>
      </c>
      <c r="G13" s="32" t="s">
        <v>1446</v>
      </c>
      <c r="H13" s="36" t="s">
        <v>60</v>
      </c>
    </row>
    <row r="14" spans="1:8" ht="23.25" x14ac:dyDescent="0.35">
      <c r="A14" s="31" t="s">
        <v>1421</v>
      </c>
      <c r="B14" s="31">
        <v>2</v>
      </c>
      <c r="C14" s="31" t="s">
        <v>759</v>
      </c>
      <c r="D14" s="31" t="s">
        <v>1447</v>
      </c>
      <c r="E14" s="31" t="s">
        <v>1448</v>
      </c>
      <c r="F14" s="31" t="s">
        <v>21</v>
      </c>
      <c r="G14" s="31" t="s">
        <v>1449</v>
      </c>
      <c r="H14" s="35" t="s">
        <v>33</v>
      </c>
    </row>
    <row r="15" spans="1:8" ht="23.25" x14ac:dyDescent="0.35">
      <c r="A15" s="32" t="s">
        <v>1421</v>
      </c>
      <c r="B15" s="32">
        <v>2</v>
      </c>
      <c r="C15" s="32" t="s">
        <v>759</v>
      </c>
      <c r="D15" s="32" t="s">
        <v>1447</v>
      </c>
      <c r="E15" s="32" t="s">
        <v>1448</v>
      </c>
      <c r="F15" s="32" t="s">
        <v>21</v>
      </c>
      <c r="G15" s="32" t="s">
        <v>1450</v>
      </c>
      <c r="H15" s="36" t="s">
        <v>33</v>
      </c>
    </row>
    <row r="16" spans="1:8" ht="23.25" x14ac:dyDescent="0.35">
      <c r="A16" s="31" t="s">
        <v>1421</v>
      </c>
      <c r="B16" s="31">
        <v>2</v>
      </c>
      <c r="C16" s="31" t="s">
        <v>759</v>
      </c>
      <c r="D16" s="31" t="s">
        <v>1447</v>
      </c>
      <c r="E16" s="31" t="s">
        <v>1451</v>
      </c>
      <c r="F16" s="31" t="s">
        <v>23</v>
      </c>
      <c r="G16" s="31" t="s">
        <v>1452</v>
      </c>
      <c r="H16" s="35" t="s">
        <v>33</v>
      </c>
    </row>
    <row r="17" spans="1:8" ht="23.25" x14ac:dyDescent="0.35">
      <c r="A17" s="32" t="s">
        <v>1421</v>
      </c>
      <c r="B17" s="32">
        <v>2</v>
      </c>
      <c r="C17" s="32" t="s">
        <v>759</v>
      </c>
      <c r="D17" s="32" t="s">
        <v>1447</v>
      </c>
      <c r="E17" s="32" t="s">
        <v>1453</v>
      </c>
      <c r="F17" s="32" t="s">
        <v>25</v>
      </c>
      <c r="G17" s="32" t="s">
        <v>1454</v>
      </c>
      <c r="H17" s="36" t="s">
        <v>34</v>
      </c>
    </row>
    <row r="18" spans="1:8" ht="23.25" x14ac:dyDescent="0.35">
      <c r="A18" s="31" t="s">
        <v>1421</v>
      </c>
      <c r="B18" s="31">
        <v>2</v>
      </c>
      <c r="C18" s="31" t="s">
        <v>759</v>
      </c>
      <c r="D18" s="31" t="s">
        <v>1447</v>
      </c>
      <c r="E18" s="31" t="s">
        <v>1453</v>
      </c>
      <c r="F18" s="31" t="s">
        <v>21</v>
      </c>
      <c r="G18" s="31" t="s">
        <v>1455</v>
      </c>
      <c r="H18" s="35" t="s">
        <v>33</v>
      </c>
    </row>
    <row r="19" spans="1:8" ht="23.25" x14ac:dyDescent="0.35">
      <c r="A19" s="32" t="s">
        <v>1421</v>
      </c>
      <c r="B19" s="32">
        <v>2</v>
      </c>
      <c r="C19" s="32" t="s">
        <v>759</v>
      </c>
      <c r="D19" s="32" t="s">
        <v>1447</v>
      </c>
      <c r="E19" s="32" t="s">
        <v>1456</v>
      </c>
      <c r="F19" s="32" t="s">
        <v>25</v>
      </c>
      <c r="G19" s="32" t="s">
        <v>1457</v>
      </c>
      <c r="H19" s="36" t="s">
        <v>34</v>
      </c>
    </row>
    <row r="20" spans="1:8" ht="23.25" x14ac:dyDescent="0.35">
      <c r="A20" s="31" t="s">
        <v>1421</v>
      </c>
      <c r="B20" s="31">
        <v>2</v>
      </c>
      <c r="C20" s="31" t="s">
        <v>759</v>
      </c>
      <c r="D20" s="31" t="s">
        <v>1458</v>
      </c>
      <c r="E20" s="31" t="s">
        <v>1459</v>
      </c>
      <c r="F20" s="31" t="s">
        <v>21</v>
      </c>
      <c r="G20" s="31" t="s">
        <v>1460</v>
      </c>
      <c r="H20" s="35" t="s">
        <v>34</v>
      </c>
    </row>
    <row r="21" spans="1:8" ht="23.25" x14ac:dyDescent="0.35">
      <c r="A21" s="32" t="s">
        <v>1421</v>
      </c>
      <c r="B21" s="32">
        <v>2</v>
      </c>
      <c r="C21" s="32" t="s">
        <v>759</v>
      </c>
      <c r="D21" s="32" t="s">
        <v>1458</v>
      </c>
      <c r="E21" s="32" t="s">
        <v>1461</v>
      </c>
      <c r="F21" s="32" t="s">
        <v>23</v>
      </c>
      <c r="G21" s="32" t="s">
        <v>1462</v>
      </c>
      <c r="H21" s="36" t="s">
        <v>33</v>
      </c>
    </row>
    <row r="22" spans="1:8" ht="23.25" x14ac:dyDescent="0.35">
      <c r="A22" s="31" t="s">
        <v>1421</v>
      </c>
      <c r="B22" s="31">
        <v>2</v>
      </c>
      <c r="C22" s="31" t="s">
        <v>759</v>
      </c>
      <c r="D22" s="31" t="s">
        <v>1458</v>
      </c>
      <c r="E22" s="31" t="s">
        <v>1461</v>
      </c>
      <c r="F22" s="31" t="s">
        <v>21</v>
      </c>
      <c r="G22" s="31" t="s">
        <v>1463</v>
      </c>
      <c r="H22" s="35" t="s">
        <v>33</v>
      </c>
    </row>
    <row r="23" spans="1:8" ht="23.25" x14ac:dyDescent="0.35">
      <c r="A23" s="32" t="s">
        <v>1421</v>
      </c>
      <c r="B23" s="32">
        <v>2</v>
      </c>
      <c r="C23" s="32" t="s">
        <v>759</v>
      </c>
      <c r="D23" s="32" t="s">
        <v>1458</v>
      </c>
      <c r="E23" s="32" t="s">
        <v>1461</v>
      </c>
      <c r="F23" s="32" t="s">
        <v>21</v>
      </c>
      <c r="G23" s="32" t="s">
        <v>1449</v>
      </c>
      <c r="H23" s="36" t="s">
        <v>33</v>
      </c>
    </row>
    <row r="24" spans="1:8" ht="23.25" x14ac:dyDescent="0.35">
      <c r="A24" s="31" t="s">
        <v>1421</v>
      </c>
      <c r="B24" s="31">
        <v>2</v>
      </c>
      <c r="C24" s="31" t="s">
        <v>759</v>
      </c>
      <c r="D24" s="31" t="s">
        <v>1464</v>
      </c>
      <c r="E24" s="31" t="s">
        <v>1465</v>
      </c>
      <c r="F24" s="31" t="s">
        <v>25</v>
      </c>
      <c r="G24" s="31" t="s">
        <v>1466</v>
      </c>
      <c r="H24" s="35" t="s">
        <v>34</v>
      </c>
    </row>
    <row r="25" spans="1:8" ht="23.25" x14ac:dyDescent="0.35">
      <c r="A25" s="32" t="s">
        <v>1421</v>
      </c>
      <c r="B25" s="32">
        <v>2</v>
      </c>
      <c r="C25" s="32" t="s">
        <v>759</v>
      </c>
      <c r="D25" s="32" t="s">
        <v>1464</v>
      </c>
      <c r="E25" s="32" t="s">
        <v>1467</v>
      </c>
      <c r="F25" s="32" t="s">
        <v>21</v>
      </c>
      <c r="G25" s="32" t="s">
        <v>1468</v>
      </c>
      <c r="H25" s="36" t="s">
        <v>33</v>
      </c>
    </row>
    <row r="26" spans="1:8" ht="23.25" x14ac:dyDescent="0.35">
      <c r="A26" s="31" t="s">
        <v>1421</v>
      </c>
      <c r="B26" s="31">
        <v>2</v>
      </c>
      <c r="C26" s="31" t="s">
        <v>759</v>
      </c>
      <c r="D26" s="31" t="s">
        <v>1464</v>
      </c>
      <c r="E26" s="31" t="s">
        <v>1469</v>
      </c>
      <c r="F26" s="31" t="s">
        <v>25</v>
      </c>
      <c r="G26" s="31" t="s">
        <v>1470</v>
      </c>
      <c r="H26" s="35" t="s">
        <v>60</v>
      </c>
    </row>
    <row r="27" spans="1:8" ht="23.25" x14ac:dyDescent="0.35">
      <c r="A27" s="32" t="s">
        <v>1421</v>
      </c>
      <c r="B27" s="32">
        <v>2</v>
      </c>
      <c r="C27" s="32" t="s">
        <v>759</v>
      </c>
      <c r="D27" s="32" t="s">
        <v>1464</v>
      </c>
      <c r="E27" s="32" t="s">
        <v>1471</v>
      </c>
      <c r="F27" s="32" t="s">
        <v>25</v>
      </c>
      <c r="G27" s="32" t="s">
        <v>1472</v>
      </c>
      <c r="H27" s="36" t="s">
        <v>33</v>
      </c>
    </row>
    <row r="28" spans="1:8" ht="23.25" x14ac:dyDescent="0.35">
      <c r="A28" s="31" t="s">
        <v>1421</v>
      </c>
      <c r="B28" s="31">
        <v>2</v>
      </c>
      <c r="C28" s="31" t="s">
        <v>759</v>
      </c>
      <c r="D28" s="31" t="s">
        <v>1473</v>
      </c>
      <c r="E28" s="31" t="s">
        <v>1474</v>
      </c>
      <c r="F28" s="31" t="s">
        <v>25</v>
      </c>
      <c r="G28" s="31" t="s">
        <v>1475</v>
      </c>
      <c r="H28" s="35" t="s">
        <v>33</v>
      </c>
    </row>
    <row r="29" spans="1:8" x14ac:dyDescent="0.35">
      <c r="A29" s="32" t="s">
        <v>1421</v>
      </c>
      <c r="B29" s="32">
        <v>3</v>
      </c>
      <c r="C29" s="32" t="s">
        <v>92</v>
      </c>
      <c r="D29" s="32" t="s">
        <v>1129</v>
      </c>
      <c r="E29" s="32" t="s">
        <v>1476</v>
      </c>
      <c r="F29" s="32" t="s">
        <v>25</v>
      </c>
      <c r="G29" s="32" t="s">
        <v>1477</v>
      </c>
      <c r="H29" s="36" t="s">
        <v>33</v>
      </c>
    </row>
    <row r="30" spans="1:8" x14ac:dyDescent="0.35">
      <c r="A30" s="31" t="s">
        <v>1421</v>
      </c>
      <c r="B30" s="31">
        <v>3</v>
      </c>
      <c r="C30" s="31" t="s">
        <v>92</v>
      </c>
      <c r="D30" s="31" t="s">
        <v>1129</v>
      </c>
      <c r="E30" s="31" t="s">
        <v>1478</v>
      </c>
      <c r="F30" s="31" t="s">
        <v>19</v>
      </c>
      <c r="G30" s="31" t="s">
        <v>1479</v>
      </c>
      <c r="H30" s="35" t="s">
        <v>33</v>
      </c>
    </row>
    <row r="31" spans="1:8" x14ac:dyDescent="0.35">
      <c r="A31" s="32" t="s">
        <v>1421</v>
      </c>
      <c r="B31" s="32">
        <v>3</v>
      </c>
      <c r="C31" s="32" t="s">
        <v>92</v>
      </c>
      <c r="D31" s="32" t="s">
        <v>1129</v>
      </c>
      <c r="E31" s="32" t="s">
        <v>1480</v>
      </c>
      <c r="F31" s="32" t="s">
        <v>25</v>
      </c>
      <c r="G31" s="32" t="s">
        <v>1481</v>
      </c>
      <c r="H31" s="36" t="s">
        <v>33</v>
      </c>
    </row>
    <row r="32" spans="1:8" x14ac:dyDescent="0.35">
      <c r="A32" s="31" t="s">
        <v>1421</v>
      </c>
      <c r="B32" s="31">
        <v>3</v>
      </c>
      <c r="C32" s="31" t="s">
        <v>92</v>
      </c>
      <c r="D32" s="31" t="s">
        <v>1129</v>
      </c>
      <c r="E32" s="31" t="s">
        <v>1482</v>
      </c>
      <c r="F32" s="31" t="s">
        <v>25</v>
      </c>
      <c r="G32" s="31" t="s">
        <v>1483</v>
      </c>
      <c r="H32" s="35" t="s">
        <v>33</v>
      </c>
    </row>
    <row r="33" spans="1:8" x14ac:dyDescent="0.35">
      <c r="A33" s="32" t="s">
        <v>1421</v>
      </c>
      <c r="B33" s="32">
        <v>3</v>
      </c>
      <c r="C33" s="32" t="s">
        <v>92</v>
      </c>
      <c r="D33" s="32" t="s">
        <v>1129</v>
      </c>
      <c r="E33" s="32" t="s">
        <v>1484</v>
      </c>
      <c r="F33" s="32" t="s">
        <v>25</v>
      </c>
      <c r="G33" s="32" t="s">
        <v>1485</v>
      </c>
      <c r="H33" s="36" t="s">
        <v>33</v>
      </c>
    </row>
    <row r="34" spans="1:8" x14ac:dyDescent="0.35">
      <c r="A34" s="31" t="s">
        <v>1421</v>
      </c>
      <c r="B34" s="31">
        <v>3</v>
      </c>
      <c r="C34" s="31" t="s">
        <v>92</v>
      </c>
      <c r="D34" s="31" t="s">
        <v>1129</v>
      </c>
      <c r="E34" s="31" t="s">
        <v>1484</v>
      </c>
      <c r="F34" s="31" t="s">
        <v>19</v>
      </c>
      <c r="G34" s="31" t="s">
        <v>1486</v>
      </c>
      <c r="H34" s="35" t="s">
        <v>33</v>
      </c>
    </row>
    <row r="35" spans="1:8" x14ac:dyDescent="0.35">
      <c r="A35" s="32" t="s">
        <v>1421</v>
      </c>
      <c r="B35" s="32">
        <v>3</v>
      </c>
      <c r="C35" s="32" t="s">
        <v>92</v>
      </c>
      <c r="D35" s="32" t="s">
        <v>1129</v>
      </c>
      <c r="E35" s="32" t="s">
        <v>1487</v>
      </c>
      <c r="F35" s="32" t="s">
        <v>21</v>
      </c>
      <c r="G35" s="32" t="s">
        <v>1488</v>
      </c>
      <c r="H35" s="36" t="s">
        <v>33</v>
      </c>
    </row>
    <row r="36" spans="1:8" ht="23.25" x14ac:dyDescent="0.35">
      <c r="A36" s="31" t="s">
        <v>1421</v>
      </c>
      <c r="B36" s="31">
        <v>3</v>
      </c>
      <c r="C36" s="31" t="s">
        <v>92</v>
      </c>
      <c r="D36" s="31" t="s">
        <v>1129</v>
      </c>
      <c r="E36" s="31" t="s">
        <v>1489</v>
      </c>
      <c r="F36" s="31" t="s">
        <v>21</v>
      </c>
      <c r="G36" s="31" t="s">
        <v>1490</v>
      </c>
      <c r="H36" s="35" t="s">
        <v>33</v>
      </c>
    </row>
    <row r="37" spans="1:8" ht="23.25" x14ac:dyDescent="0.35">
      <c r="A37" s="32" t="s">
        <v>1421</v>
      </c>
      <c r="B37" s="32">
        <v>3</v>
      </c>
      <c r="C37" s="32" t="s">
        <v>92</v>
      </c>
      <c r="D37" s="32" t="s">
        <v>1129</v>
      </c>
      <c r="E37" s="32" t="s">
        <v>1489</v>
      </c>
      <c r="F37" s="32" t="s">
        <v>25</v>
      </c>
      <c r="G37" s="32" t="s">
        <v>1491</v>
      </c>
      <c r="H37" s="36" t="s">
        <v>33</v>
      </c>
    </row>
    <row r="38" spans="1:8" ht="23.25" x14ac:dyDescent="0.35">
      <c r="A38" s="31" t="s">
        <v>1421</v>
      </c>
      <c r="B38" s="31">
        <v>3</v>
      </c>
      <c r="C38" s="31" t="s">
        <v>92</v>
      </c>
      <c r="D38" s="31" t="s">
        <v>1492</v>
      </c>
      <c r="E38" s="31" t="s">
        <v>1493</v>
      </c>
      <c r="F38" s="31" t="s">
        <v>25</v>
      </c>
      <c r="G38" s="31" t="s">
        <v>1494</v>
      </c>
      <c r="H38" s="35" t="s">
        <v>34</v>
      </c>
    </row>
    <row r="39" spans="1:8" ht="23.25" x14ac:dyDescent="0.35">
      <c r="A39" s="32" t="s">
        <v>1421</v>
      </c>
      <c r="B39" s="32">
        <v>3</v>
      </c>
      <c r="C39" s="32" t="s">
        <v>92</v>
      </c>
      <c r="D39" s="32" t="s">
        <v>1492</v>
      </c>
      <c r="E39" s="32" t="s">
        <v>1495</v>
      </c>
      <c r="F39" s="32" t="s">
        <v>25</v>
      </c>
      <c r="G39" s="32" t="s">
        <v>1496</v>
      </c>
      <c r="H39" s="36" t="s">
        <v>33</v>
      </c>
    </row>
    <row r="40" spans="1:8" ht="23.25" x14ac:dyDescent="0.35">
      <c r="A40" s="31" t="s">
        <v>1421</v>
      </c>
      <c r="B40" s="31">
        <v>3</v>
      </c>
      <c r="C40" s="31" t="s">
        <v>92</v>
      </c>
      <c r="D40" s="31" t="s">
        <v>1497</v>
      </c>
      <c r="E40" s="31" t="s">
        <v>1498</v>
      </c>
      <c r="F40" s="31" t="s">
        <v>23</v>
      </c>
      <c r="G40" s="31" t="s">
        <v>1499</v>
      </c>
      <c r="H40" s="35" t="s">
        <v>34</v>
      </c>
    </row>
    <row r="41" spans="1:8" x14ac:dyDescent="0.35">
      <c r="A41" s="32" t="s">
        <v>1421</v>
      </c>
      <c r="B41" s="32">
        <v>3</v>
      </c>
      <c r="C41" s="32" t="s">
        <v>92</v>
      </c>
      <c r="D41" s="32" t="s">
        <v>1497</v>
      </c>
      <c r="E41" s="32" t="s">
        <v>1500</v>
      </c>
      <c r="F41" s="32" t="s">
        <v>21</v>
      </c>
      <c r="G41" s="32" t="s">
        <v>1501</v>
      </c>
      <c r="H41" s="36" t="s">
        <v>33</v>
      </c>
    </row>
    <row r="42" spans="1:8" x14ac:dyDescent="0.35">
      <c r="A42" s="31" t="s">
        <v>1421</v>
      </c>
      <c r="B42" s="31">
        <v>3</v>
      </c>
      <c r="C42" s="31" t="s">
        <v>92</v>
      </c>
      <c r="D42" s="31" t="s">
        <v>1497</v>
      </c>
      <c r="E42" s="31" t="s">
        <v>1502</v>
      </c>
      <c r="F42" s="31" t="s">
        <v>19</v>
      </c>
      <c r="G42" s="31" t="s">
        <v>1503</v>
      </c>
      <c r="H42" s="35" t="s">
        <v>33</v>
      </c>
    </row>
    <row r="43" spans="1:8" x14ac:dyDescent="0.35">
      <c r="A43" s="32" t="s">
        <v>1421</v>
      </c>
      <c r="B43" s="32">
        <v>3</v>
      </c>
      <c r="C43" s="32" t="s">
        <v>92</v>
      </c>
      <c r="D43" s="32" t="s">
        <v>1497</v>
      </c>
      <c r="E43" s="32" t="s">
        <v>1502</v>
      </c>
      <c r="F43" s="32" t="s">
        <v>21</v>
      </c>
      <c r="G43" s="32" t="s">
        <v>1504</v>
      </c>
      <c r="H43" s="36" t="s">
        <v>33</v>
      </c>
    </row>
    <row r="44" spans="1:8" x14ac:dyDescent="0.35">
      <c r="A44" s="31" t="s">
        <v>1421</v>
      </c>
      <c r="B44" s="31">
        <v>3</v>
      </c>
      <c r="C44" s="31" t="s">
        <v>92</v>
      </c>
      <c r="D44" s="31" t="s">
        <v>1505</v>
      </c>
      <c r="E44" s="31" t="s">
        <v>1506</v>
      </c>
      <c r="F44" s="31" t="s">
        <v>18</v>
      </c>
      <c r="G44" s="31" t="s">
        <v>1507</v>
      </c>
      <c r="H44" s="35" t="s">
        <v>34</v>
      </c>
    </row>
    <row r="45" spans="1:8" x14ac:dyDescent="0.35">
      <c r="A45" s="32" t="s">
        <v>1421</v>
      </c>
      <c r="B45" s="32">
        <v>3</v>
      </c>
      <c r="C45" s="32" t="s">
        <v>92</v>
      </c>
      <c r="D45" s="32" t="s">
        <v>1505</v>
      </c>
      <c r="E45" s="32" t="s">
        <v>1508</v>
      </c>
      <c r="F45" s="32" t="s">
        <v>18</v>
      </c>
      <c r="G45" s="32" t="s">
        <v>1509</v>
      </c>
      <c r="H45" s="36" t="s">
        <v>33</v>
      </c>
    </row>
    <row r="46" spans="1:8" x14ac:dyDescent="0.35">
      <c r="A46" s="31" t="s">
        <v>1421</v>
      </c>
      <c r="B46" s="31">
        <v>3</v>
      </c>
      <c r="C46" s="31" t="s">
        <v>92</v>
      </c>
      <c r="D46" s="31" t="s">
        <v>1505</v>
      </c>
      <c r="E46" s="31" t="s">
        <v>1510</v>
      </c>
      <c r="F46" s="31" t="s">
        <v>18</v>
      </c>
      <c r="G46" s="31" t="s">
        <v>1511</v>
      </c>
      <c r="H46" s="35" t="s">
        <v>33</v>
      </c>
    </row>
    <row r="47" spans="1:8" x14ac:dyDescent="0.35">
      <c r="A47" s="32" t="s">
        <v>1421</v>
      </c>
      <c r="B47" s="32">
        <v>3</v>
      </c>
      <c r="C47" s="32" t="s">
        <v>92</v>
      </c>
      <c r="D47" s="32" t="s">
        <v>1119</v>
      </c>
      <c r="E47" s="32" t="s">
        <v>1512</v>
      </c>
      <c r="F47" s="32" t="s">
        <v>20</v>
      </c>
      <c r="G47" s="32" t="s">
        <v>1513</v>
      </c>
      <c r="H47" s="36" t="s">
        <v>33</v>
      </c>
    </row>
    <row r="48" spans="1:8" x14ac:dyDescent="0.35">
      <c r="A48" s="31" t="s">
        <v>1421</v>
      </c>
      <c r="B48" s="31">
        <v>3</v>
      </c>
      <c r="C48" s="31" t="s">
        <v>92</v>
      </c>
      <c r="D48" s="31" t="s">
        <v>1119</v>
      </c>
      <c r="E48" s="31" t="s">
        <v>1514</v>
      </c>
      <c r="F48" s="31" t="s">
        <v>25</v>
      </c>
      <c r="G48" s="31" t="s">
        <v>1515</v>
      </c>
      <c r="H48" s="35" t="s">
        <v>33</v>
      </c>
    </row>
    <row r="49" spans="1:8" x14ac:dyDescent="0.35">
      <c r="A49" s="32" t="s">
        <v>1421</v>
      </c>
      <c r="B49" s="32">
        <v>3</v>
      </c>
      <c r="C49" s="32" t="s">
        <v>92</v>
      </c>
      <c r="D49" s="32" t="s">
        <v>1119</v>
      </c>
      <c r="E49" s="32" t="s">
        <v>1516</v>
      </c>
      <c r="F49" s="32" t="s">
        <v>25</v>
      </c>
      <c r="G49" s="32" t="s">
        <v>1517</v>
      </c>
      <c r="H49" s="36" t="s">
        <v>34</v>
      </c>
    </row>
    <row r="50" spans="1:8" x14ac:dyDescent="0.35">
      <c r="A50" s="31" t="s">
        <v>1421</v>
      </c>
      <c r="B50" s="31">
        <v>4</v>
      </c>
      <c r="C50" s="31" t="s">
        <v>535</v>
      </c>
      <c r="D50" s="31" t="s">
        <v>1143</v>
      </c>
      <c r="E50" s="31" t="s">
        <v>1518</v>
      </c>
      <c r="F50" s="31" t="s">
        <v>21</v>
      </c>
      <c r="G50" s="31" t="s">
        <v>1519</v>
      </c>
      <c r="H50" s="35" t="s">
        <v>33</v>
      </c>
    </row>
    <row r="51" spans="1:8" x14ac:dyDescent="0.35">
      <c r="A51" s="32" t="s">
        <v>1421</v>
      </c>
      <c r="B51" s="32">
        <v>4</v>
      </c>
      <c r="C51" s="32" t="s">
        <v>535</v>
      </c>
      <c r="D51" s="32" t="s">
        <v>1143</v>
      </c>
      <c r="E51" s="32" t="s">
        <v>1520</v>
      </c>
      <c r="F51" s="32" t="s">
        <v>25</v>
      </c>
      <c r="G51" s="32" t="s">
        <v>1521</v>
      </c>
      <c r="H51" s="36" t="s">
        <v>34</v>
      </c>
    </row>
    <row r="52" spans="1:8" x14ac:dyDescent="0.35">
      <c r="A52" s="31" t="s">
        <v>1421</v>
      </c>
      <c r="B52" s="31">
        <v>4</v>
      </c>
      <c r="C52" s="31" t="s">
        <v>535</v>
      </c>
      <c r="D52" s="31" t="s">
        <v>1143</v>
      </c>
      <c r="E52" s="31" t="s">
        <v>1522</v>
      </c>
      <c r="F52" s="31" t="s">
        <v>19</v>
      </c>
      <c r="G52" s="31" t="s">
        <v>1523</v>
      </c>
      <c r="H52" s="35" t="s">
        <v>33</v>
      </c>
    </row>
    <row r="53" spans="1:8" ht="23.25" x14ac:dyDescent="0.35">
      <c r="A53" s="32" t="s">
        <v>1421</v>
      </c>
      <c r="B53" s="32">
        <v>4</v>
      </c>
      <c r="C53" s="32" t="s">
        <v>535</v>
      </c>
      <c r="D53" s="32" t="s">
        <v>1143</v>
      </c>
      <c r="E53" s="32" t="s">
        <v>1522</v>
      </c>
      <c r="F53" s="32" t="s">
        <v>23</v>
      </c>
      <c r="G53" s="32" t="s">
        <v>1524</v>
      </c>
      <c r="H53" s="36" t="s">
        <v>33</v>
      </c>
    </row>
    <row r="54" spans="1:8" x14ac:dyDescent="0.35">
      <c r="A54" s="31" t="s">
        <v>1421</v>
      </c>
      <c r="B54" s="31">
        <v>4</v>
      </c>
      <c r="C54" s="31" t="s">
        <v>535</v>
      </c>
      <c r="D54" s="31" t="s">
        <v>1525</v>
      </c>
      <c r="E54" s="31" t="s">
        <v>1526</v>
      </c>
      <c r="F54" s="31" t="s">
        <v>18</v>
      </c>
      <c r="G54" s="31" t="s">
        <v>1527</v>
      </c>
      <c r="H54" s="35" t="s">
        <v>33</v>
      </c>
    </row>
    <row r="55" spans="1:8" x14ac:dyDescent="0.35">
      <c r="A55" s="32" t="s">
        <v>1421</v>
      </c>
      <c r="B55" s="32">
        <v>4</v>
      </c>
      <c r="C55" s="32" t="s">
        <v>535</v>
      </c>
      <c r="D55" s="32" t="s">
        <v>1525</v>
      </c>
      <c r="E55" s="32" t="s">
        <v>1528</v>
      </c>
      <c r="F55" s="32" t="s">
        <v>19</v>
      </c>
      <c r="G55" s="32" t="s">
        <v>1529</v>
      </c>
      <c r="H55" s="36" t="s">
        <v>33</v>
      </c>
    </row>
    <row r="56" spans="1:8" x14ac:dyDescent="0.35">
      <c r="A56" s="31" t="s">
        <v>1421</v>
      </c>
      <c r="B56" s="31">
        <v>4</v>
      </c>
      <c r="C56" s="31" t="s">
        <v>535</v>
      </c>
      <c r="D56" s="31" t="s">
        <v>1525</v>
      </c>
      <c r="E56" s="31" t="s">
        <v>1530</v>
      </c>
      <c r="F56" s="31" t="s">
        <v>18</v>
      </c>
      <c r="G56" s="31" t="s">
        <v>1531</v>
      </c>
      <c r="H56" s="35" t="s">
        <v>33</v>
      </c>
    </row>
    <row r="57" spans="1:8" x14ac:dyDescent="0.35">
      <c r="A57" s="32" t="s">
        <v>1421</v>
      </c>
      <c r="B57" s="32">
        <v>4</v>
      </c>
      <c r="C57" s="32" t="s">
        <v>535</v>
      </c>
      <c r="D57" s="32" t="s">
        <v>1150</v>
      </c>
      <c r="E57" s="32" t="s">
        <v>1532</v>
      </c>
      <c r="F57" s="32" t="s">
        <v>25</v>
      </c>
      <c r="G57" s="32" t="s">
        <v>1533</v>
      </c>
      <c r="H57" s="36" t="s">
        <v>34</v>
      </c>
    </row>
    <row r="58" spans="1:8" x14ac:dyDescent="0.35">
      <c r="A58" s="31" t="s">
        <v>1421</v>
      </c>
      <c r="B58" s="31">
        <v>4</v>
      </c>
      <c r="C58" s="31" t="s">
        <v>535</v>
      </c>
      <c r="D58" s="31" t="s">
        <v>1150</v>
      </c>
      <c r="E58" s="31" t="s">
        <v>1534</v>
      </c>
      <c r="F58" s="31" t="s">
        <v>18</v>
      </c>
      <c r="G58" s="31" t="s">
        <v>1535</v>
      </c>
      <c r="H58" s="35" t="s">
        <v>33</v>
      </c>
    </row>
    <row r="59" spans="1:8" x14ac:dyDescent="0.35">
      <c r="A59" s="32" t="s">
        <v>1421</v>
      </c>
      <c r="B59" s="32">
        <v>4</v>
      </c>
      <c r="C59" s="32" t="s">
        <v>535</v>
      </c>
      <c r="D59" s="32" t="s">
        <v>1150</v>
      </c>
      <c r="E59" s="32" t="s">
        <v>1536</v>
      </c>
      <c r="F59" s="32" t="s">
        <v>23</v>
      </c>
      <c r="G59" s="32" t="s">
        <v>1537</v>
      </c>
      <c r="H59" s="36" t="s">
        <v>33</v>
      </c>
    </row>
    <row r="60" spans="1:8" x14ac:dyDescent="0.35">
      <c r="A60" s="31" t="s">
        <v>1421</v>
      </c>
      <c r="B60" s="31">
        <v>4</v>
      </c>
      <c r="C60" s="31" t="s">
        <v>535</v>
      </c>
      <c r="D60" s="31" t="s">
        <v>1150</v>
      </c>
      <c r="E60" s="31" t="s">
        <v>1538</v>
      </c>
      <c r="F60" s="31" t="s">
        <v>19</v>
      </c>
      <c r="G60" s="31" t="s">
        <v>1539</v>
      </c>
      <c r="H60" s="35" t="s">
        <v>33</v>
      </c>
    </row>
    <row r="61" spans="1:8" x14ac:dyDescent="0.35">
      <c r="A61" s="32" t="s">
        <v>1421</v>
      </c>
      <c r="B61" s="32">
        <v>4</v>
      </c>
      <c r="C61" s="32" t="s">
        <v>535</v>
      </c>
      <c r="D61" s="32" t="s">
        <v>1150</v>
      </c>
      <c r="E61" s="32" t="s">
        <v>1538</v>
      </c>
      <c r="F61" s="32" t="s">
        <v>21</v>
      </c>
      <c r="G61" s="32" t="s">
        <v>1540</v>
      </c>
      <c r="H61" s="36" t="s">
        <v>33</v>
      </c>
    </row>
    <row r="62" spans="1:8" x14ac:dyDescent="0.35">
      <c r="A62" s="31" t="s">
        <v>1421</v>
      </c>
      <c r="B62" s="31">
        <v>4</v>
      </c>
      <c r="C62" s="31" t="s">
        <v>535</v>
      </c>
      <c r="D62" s="31" t="s">
        <v>1150</v>
      </c>
      <c r="E62" s="31" t="s">
        <v>1541</v>
      </c>
      <c r="F62" s="31" t="s">
        <v>25</v>
      </c>
      <c r="G62" s="31" t="s">
        <v>1542</v>
      </c>
      <c r="H62" s="35" t="s">
        <v>34</v>
      </c>
    </row>
    <row r="63" spans="1:8" x14ac:dyDescent="0.35">
      <c r="A63" s="32" t="s">
        <v>1421</v>
      </c>
      <c r="B63" s="32">
        <v>4</v>
      </c>
      <c r="C63" s="32" t="s">
        <v>535</v>
      </c>
      <c r="D63" s="32" t="s">
        <v>1150</v>
      </c>
      <c r="E63" s="32" t="s">
        <v>1543</v>
      </c>
      <c r="F63" s="32" t="s">
        <v>25</v>
      </c>
      <c r="G63" s="32" t="s">
        <v>1544</v>
      </c>
      <c r="H63" s="36" t="s">
        <v>34</v>
      </c>
    </row>
    <row r="64" spans="1:8" x14ac:dyDescent="0.35">
      <c r="A64" s="31" t="s">
        <v>1421</v>
      </c>
      <c r="B64" s="31">
        <v>4</v>
      </c>
      <c r="C64" s="31" t="s">
        <v>535</v>
      </c>
      <c r="D64" s="31" t="s">
        <v>1150</v>
      </c>
      <c r="E64" s="31" t="s">
        <v>1545</v>
      </c>
      <c r="F64" s="31" t="s">
        <v>19</v>
      </c>
      <c r="G64" s="31" t="s">
        <v>1546</v>
      </c>
      <c r="H64" s="35" t="s">
        <v>33</v>
      </c>
    </row>
    <row r="65" spans="1:8" x14ac:dyDescent="0.35">
      <c r="A65" s="32" t="s">
        <v>1421</v>
      </c>
      <c r="B65" s="32">
        <v>4</v>
      </c>
      <c r="C65" s="32" t="s">
        <v>535</v>
      </c>
      <c r="D65" s="32" t="s">
        <v>1150</v>
      </c>
      <c r="E65" s="32" t="s">
        <v>1545</v>
      </c>
      <c r="F65" s="32" t="s">
        <v>25</v>
      </c>
      <c r="G65" s="32" t="s">
        <v>1547</v>
      </c>
      <c r="H65" s="36" t="s">
        <v>33</v>
      </c>
    </row>
    <row r="66" spans="1:8" x14ac:dyDescent="0.35">
      <c r="A66" s="31" t="s">
        <v>1421</v>
      </c>
      <c r="B66" s="31">
        <v>4</v>
      </c>
      <c r="C66" s="31" t="s">
        <v>535</v>
      </c>
      <c r="D66" s="31" t="s">
        <v>1153</v>
      </c>
      <c r="E66" s="31" t="s">
        <v>1548</v>
      </c>
      <c r="F66" s="31" t="s">
        <v>25</v>
      </c>
      <c r="G66" s="31" t="s">
        <v>1549</v>
      </c>
      <c r="H66" s="35" t="s">
        <v>34</v>
      </c>
    </row>
    <row r="67" spans="1:8" x14ac:dyDescent="0.35">
      <c r="A67" s="32" t="s">
        <v>1421</v>
      </c>
      <c r="B67" s="32">
        <v>4</v>
      </c>
      <c r="C67" s="32" t="s">
        <v>535</v>
      </c>
      <c r="D67" s="32" t="s">
        <v>1153</v>
      </c>
      <c r="E67" s="32" t="s">
        <v>1548</v>
      </c>
      <c r="F67" s="32" t="s">
        <v>25</v>
      </c>
      <c r="G67" s="32" t="s">
        <v>1547</v>
      </c>
      <c r="H67" s="36" t="s">
        <v>33</v>
      </c>
    </row>
    <row r="68" spans="1:8" x14ac:dyDescent="0.35">
      <c r="A68" s="31" t="s">
        <v>1421</v>
      </c>
      <c r="B68" s="31">
        <v>4</v>
      </c>
      <c r="C68" s="31" t="s">
        <v>535</v>
      </c>
      <c r="D68" s="31" t="s">
        <v>1153</v>
      </c>
      <c r="E68" s="31" t="s">
        <v>1550</v>
      </c>
      <c r="F68" s="31" t="s">
        <v>19</v>
      </c>
      <c r="G68" s="31" t="s">
        <v>1546</v>
      </c>
      <c r="H68" s="35" t="s">
        <v>33</v>
      </c>
    </row>
    <row r="69" spans="1:8" x14ac:dyDescent="0.35">
      <c r="A69" s="32" t="s">
        <v>1421</v>
      </c>
      <c r="B69" s="32">
        <v>4</v>
      </c>
      <c r="C69" s="32" t="s">
        <v>535</v>
      </c>
      <c r="D69" s="32" t="s">
        <v>1153</v>
      </c>
      <c r="E69" s="32" t="s">
        <v>1550</v>
      </c>
      <c r="F69" s="32" t="s">
        <v>18</v>
      </c>
      <c r="G69" s="32" t="s">
        <v>1551</v>
      </c>
      <c r="H69" s="36" t="s">
        <v>33</v>
      </c>
    </row>
    <row r="70" spans="1:8" x14ac:dyDescent="0.35">
      <c r="A70" s="31" t="s">
        <v>1421</v>
      </c>
      <c r="B70" s="31">
        <v>4</v>
      </c>
      <c r="C70" s="31" t="s">
        <v>535</v>
      </c>
      <c r="D70" s="31" t="s">
        <v>1153</v>
      </c>
      <c r="E70" s="31" t="s">
        <v>1552</v>
      </c>
      <c r="F70" s="31" t="s">
        <v>21</v>
      </c>
      <c r="G70" s="31" t="s">
        <v>1553</v>
      </c>
      <c r="H70" s="35" t="s">
        <v>33</v>
      </c>
    </row>
    <row r="71" spans="1:8" x14ac:dyDescent="0.35">
      <c r="A71" s="32" t="s">
        <v>1421</v>
      </c>
      <c r="B71" s="32">
        <v>4</v>
      </c>
      <c r="C71" s="32" t="s">
        <v>535</v>
      </c>
      <c r="D71" s="32" t="s">
        <v>1554</v>
      </c>
      <c r="E71" s="32" t="s">
        <v>1555</v>
      </c>
      <c r="F71" s="32" t="s">
        <v>21</v>
      </c>
      <c r="G71" s="32" t="s">
        <v>1556</v>
      </c>
      <c r="H71" s="36" t="s">
        <v>60</v>
      </c>
    </row>
    <row r="72" spans="1:8" x14ac:dyDescent="0.35">
      <c r="A72" s="31" t="s">
        <v>1421</v>
      </c>
      <c r="B72" s="31">
        <v>4</v>
      </c>
      <c r="C72" s="31" t="s">
        <v>535</v>
      </c>
      <c r="D72" s="31" t="s">
        <v>1554</v>
      </c>
      <c r="E72" s="31" t="s">
        <v>1557</v>
      </c>
      <c r="F72" s="31" t="s">
        <v>19</v>
      </c>
      <c r="G72" s="31" t="s">
        <v>1546</v>
      </c>
      <c r="H72" s="35" t="s">
        <v>33</v>
      </c>
    </row>
    <row r="73" spans="1:8" x14ac:dyDescent="0.35">
      <c r="A73" s="32" t="s">
        <v>1421</v>
      </c>
      <c r="B73" s="32">
        <v>4</v>
      </c>
      <c r="C73" s="32" t="s">
        <v>535</v>
      </c>
      <c r="D73" s="32" t="s">
        <v>1554</v>
      </c>
      <c r="E73" s="32" t="s">
        <v>1558</v>
      </c>
      <c r="F73" s="32" t="s">
        <v>18</v>
      </c>
      <c r="G73" s="32" t="s">
        <v>1559</v>
      </c>
      <c r="H73" s="36" t="s">
        <v>33</v>
      </c>
    </row>
    <row r="74" spans="1:8" x14ac:dyDescent="0.35">
      <c r="A74" s="31" t="s">
        <v>1421</v>
      </c>
      <c r="B74" s="31">
        <v>4</v>
      </c>
      <c r="C74" s="31" t="s">
        <v>535</v>
      </c>
      <c r="D74" s="31" t="s">
        <v>1554</v>
      </c>
      <c r="E74" s="31" t="s">
        <v>1560</v>
      </c>
      <c r="F74" s="31" t="s">
        <v>18</v>
      </c>
      <c r="G74" s="31" t="s">
        <v>1561</v>
      </c>
      <c r="H74" s="35" t="s">
        <v>33</v>
      </c>
    </row>
    <row r="75" spans="1:8" x14ac:dyDescent="0.35">
      <c r="A75" s="32" t="s">
        <v>1421</v>
      </c>
      <c r="B75" s="32">
        <v>4</v>
      </c>
      <c r="C75" s="32" t="s">
        <v>535</v>
      </c>
      <c r="D75" s="32" t="s">
        <v>1554</v>
      </c>
      <c r="E75" s="32" t="s">
        <v>1560</v>
      </c>
      <c r="F75" s="32" t="s">
        <v>18</v>
      </c>
      <c r="G75" s="32" t="s">
        <v>1562</v>
      </c>
      <c r="H75" s="36" t="s">
        <v>33</v>
      </c>
    </row>
    <row r="76" spans="1:8" ht="23.25" x14ac:dyDescent="0.35">
      <c r="A76" s="31" t="s">
        <v>1421</v>
      </c>
      <c r="B76" s="31">
        <v>4</v>
      </c>
      <c r="C76" s="31" t="s">
        <v>535</v>
      </c>
      <c r="D76" s="31" t="s">
        <v>1554</v>
      </c>
      <c r="E76" s="31" t="s">
        <v>1563</v>
      </c>
      <c r="F76" s="31" t="s">
        <v>20</v>
      </c>
      <c r="G76" s="31" t="s">
        <v>1564</v>
      </c>
      <c r="H76" s="35" t="s">
        <v>33</v>
      </c>
    </row>
    <row r="77" spans="1:8" x14ac:dyDescent="0.35">
      <c r="A77" s="32" t="s">
        <v>1421</v>
      </c>
      <c r="B77" s="32">
        <v>5</v>
      </c>
      <c r="C77" s="32" t="s">
        <v>139</v>
      </c>
      <c r="D77" s="32" t="s">
        <v>1565</v>
      </c>
      <c r="E77" s="32" t="s">
        <v>1566</v>
      </c>
      <c r="F77" s="32" t="s">
        <v>25</v>
      </c>
      <c r="G77" s="32" t="s">
        <v>1567</v>
      </c>
      <c r="H77" s="36" t="s">
        <v>34</v>
      </c>
    </row>
    <row r="78" spans="1:8" x14ac:dyDescent="0.35">
      <c r="A78" s="31" t="s">
        <v>1421</v>
      </c>
      <c r="B78" s="31">
        <v>5</v>
      </c>
      <c r="C78" s="31" t="s">
        <v>139</v>
      </c>
      <c r="D78" s="31" t="s">
        <v>1565</v>
      </c>
      <c r="E78" s="31" t="s">
        <v>1568</v>
      </c>
      <c r="F78" s="31" t="s">
        <v>21</v>
      </c>
      <c r="G78" s="31" t="s">
        <v>1569</v>
      </c>
      <c r="H78" s="35" t="s">
        <v>33</v>
      </c>
    </row>
    <row r="79" spans="1:8" x14ac:dyDescent="0.35">
      <c r="A79" s="32" t="s">
        <v>1421</v>
      </c>
      <c r="B79" s="32">
        <v>5</v>
      </c>
      <c r="C79" s="32" t="s">
        <v>139</v>
      </c>
      <c r="D79" s="32" t="s">
        <v>1570</v>
      </c>
      <c r="E79" s="32" t="s">
        <v>1571</v>
      </c>
      <c r="F79" s="32" t="s">
        <v>18</v>
      </c>
      <c r="G79" s="32" t="s">
        <v>1572</v>
      </c>
      <c r="H79" s="36" t="s">
        <v>60</v>
      </c>
    </row>
    <row r="80" spans="1:8" x14ac:dyDescent="0.35">
      <c r="A80" s="31" t="s">
        <v>1421</v>
      </c>
      <c r="B80" s="31">
        <v>5</v>
      </c>
      <c r="C80" s="31" t="s">
        <v>139</v>
      </c>
      <c r="D80" s="31" t="s">
        <v>1570</v>
      </c>
      <c r="E80" s="31" t="s">
        <v>1573</v>
      </c>
      <c r="F80" s="31" t="s">
        <v>25</v>
      </c>
      <c r="G80" s="31" t="s">
        <v>1574</v>
      </c>
      <c r="H80" s="35" t="s">
        <v>60</v>
      </c>
    </row>
    <row r="81" spans="1:8" x14ac:dyDescent="0.35">
      <c r="A81" s="32" t="s">
        <v>1421</v>
      </c>
      <c r="B81" s="32">
        <v>5</v>
      </c>
      <c r="C81" s="32" t="s">
        <v>139</v>
      </c>
      <c r="D81" s="32" t="s">
        <v>1570</v>
      </c>
      <c r="E81" s="32" t="s">
        <v>1573</v>
      </c>
      <c r="F81" s="32" t="s">
        <v>21</v>
      </c>
      <c r="G81" s="32" t="s">
        <v>1575</v>
      </c>
      <c r="H81" s="36" t="s">
        <v>33</v>
      </c>
    </row>
    <row r="82" spans="1:8" x14ac:dyDescent="0.35">
      <c r="A82" s="31" t="s">
        <v>1421</v>
      </c>
      <c r="B82" s="31">
        <v>5</v>
      </c>
      <c r="C82" s="31" t="s">
        <v>139</v>
      </c>
      <c r="D82" s="31" t="s">
        <v>1576</v>
      </c>
      <c r="E82" s="31" t="s">
        <v>1577</v>
      </c>
      <c r="F82" s="31" t="s">
        <v>25</v>
      </c>
      <c r="G82" s="31" t="s">
        <v>1578</v>
      </c>
      <c r="H82" s="35" t="s">
        <v>33</v>
      </c>
    </row>
    <row r="83" spans="1:8" x14ac:dyDescent="0.35">
      <c r="A83" s="32" t="s">
        <v>1421</v>
      </c>
      <c r="B83" s="32">
        <v>5</v>
      </c>
      <c r="C83" s="32" t="s">
        <v>139</v>
      </c>
      <c r="D83" s="32" t="s">
        <v>1576</v>
      </c>
      <c r="E83" s="32" t="s">
        <v>1579</v>
      </c>
      <c r="F83" s="32" t="s">
        <v>21</v>
      </c>
      <c r="G83" s="32" t="s">
        <v>1580</v>
      </c>
      <c r="H83" s="36" t="s">
        <v>33</v>
      </c>
    </row>
    <row r="84" spans="1:8" x14ac:dyDescent="0.35">
      <c r="A84" s="31" t="s">
        <v>1421</v>
      </c>
      <c r="B84" s="31">
        <v>5</v>
      </c>
      <c r="C84" s="31" t="s">
        <v>139</v>
      </c>
      <c r="D84" s="31" t="s">
        <v>1576</v>
      </c>
      <c r="E84" s="31" t="s">
        <v>1581</v>
      </c>
      <c r="F84" s="31" t="s">
        <v>25</v>
      </c>
      <c r="G84" s="31" t="s">
        <v>1582</v>
      </c>
      <c r="H84" s="35" t="s">
        <v>33</v>
      </c>
    </row>
    <row r="85" spans="1:8" x14ac:dyDescent="0.35">
      <c r="A85" s="32" t="s">
        <v>1421</v>
      </c>
      <c r="B85" s="32">
        <v>5</v>
      </c>
      <c r="C85" s="32" t="s">
        <v>139</v>
      </c>
      <c r="D85" s="32" t="s">
        <v>1576</v>
      </c>
      <c r="E85" s="32" t="s">
        <v>1583</v>
      </c>
      <c r="F85" s="32" t="s">
        <v>21</v>
      </c>
      <c r="G85" s="32" t="s">
        <v>1584</v>
      </c>
      <c r="H85" s="36" t="s">
        <v>33</v>
      </c>
    </row>
    <row r="86" spans="1:8" x14ac:dyDescent="0.35">
      <c r="A86" s="31" t="s">
        <v>1421</v>
      </c>
      <c r="B86" s="31">
        <v>5</v>
      </c>
      <c r="C86" s="31" t="s">
        <v>139</v>
      </c>
      <c r="D86" s="31" t="s">
        <v>1576</v>
      </c>
      <c r="E86" s="31" t="s">
        <v>1585</v>
      </c>
      <c r="F86" s="31" t="s">
        <v>21</v>
      </c>
      <c r="G86" s="31" t="s">
        <v>1586</v>
      </c>
      <c r="H86" s="35" t="s">
        <v>33</v>
      </c>
    </row>
    <row r="87" spans="1:8" x14ac:dyDescent="0.35">
      <c r="A87" s="32" t="s">
        <v>1421</v>
      </c>
      <c r="B87" s="32">
        <v>5</v>
      </c>
      <c r="C87" s="32" t="s">
        <v>139</v>
      </c>
      <c r="D87" s="32" t="s">
        <v>1576</v>
      </c>
      <c r="E87" s="32" t="s">
        <v>1587</v>
      </c>
      <c r="F87" s="32" t="s">
        <v>18</v>
      </c>
      <c r="G87" s="32" t="s">
        <v>1588</v>
      </c>
      <c r="H87" s="36" t="s">
        <v>33</v>
      </c>
    </row>
    <row r="88" spans="1:8" x14ac:dyDescent="0.35">
      <c r="A88" s="31" t="s">
        <v>1421</v>
      </c>
      <c r="B88" s="31">
        <v>5</v>
      </c>
      <c r="C88" s="31" t="s">
        <v>139</v>
      </c>
      <c r="D88" s="31" t="s">
        <v>1576</v>
      </c>
      <c r="E88" s="31" t="s">
        <v>1589</v>
      </c>
      <c r="F88" s="31" t="s">
        <v>25</v>
      </c>
      <c r="G88" s="31" t="s">
        <v>1590</v>
      </c>
      <c r="H88" s="35" t="s">
        <v>33</v>
      </c>
    </row>
    <row r="89" spans="1:8" x14ac:dyDescent="0.35">
      <c r="A89" s="32" t="s">
        <v>1421</v>
      </c>
      <c r="B89" s="32">
        <v>5</v>
      </c>
      <c r="C89" s="32" t="s">
        <v>139</v>
      </c>
      <c r="D89" s="32" t="s">
        <v>1576</v>
      </c>
      <c r="E89" s="32" t="s">
        <v>1591</v>
      </c>
      <c r="F89" s="32" t="s">
        <v>19</v>
      </c>
      <c r="G89" s="32" t="s">
        <v>1592</v>
      </c>
      <c r="H89" s="36" t="s">
        <v>33</v>
      </c>
    </row>
    <row r="90" spans="1:8" x14ac:dyDescent="0.35">
      <c r="A90" s="31" t="s">
        <v>1421</v>
      </c>
      <c r="B90" s="31">
        <v>5</v>
      </c>
      <c r="C90" s="31" t="s">
        <v>139</v>
      </c>
      <c r="D90" s="31" t="s">
        <v>1576</v>
      </c>
      <c r="E90" s="31" t="s">
        <v>1593</v>
      </c>
      <c r="F90" s="31" t="s">
        <v>18</v>
      </c>
      <c r="G90" s="31" t="s">
        <v>1594</v>
      </c>
      <c r="H90" s="35" t="s">
        <v>33</v>
      </c>
    </row>
    <row r="91" spans="1:8" ht="23.25" x14ac:dyDescent="0.35">
      <c r="A91" s="32" t="s">
        <v>1421</v>
      </c>
      <c r="B91" s="32">
        <v>5</v>
      </c>
      <c r="C91" s="32" t="s">
        <v>139</v>
      </c>
      <c r="D91" s="32" t="s">
        <v>1159</v>
      </c>
      <c r="E91" s="32" t="s">
        <v>1595</v>
      </c>
      <c r="F91" s="32" t="s">
        <v>18</v>
      </c>
      <c r="G91" s="32" t="s">
        <v>1596</v>
      </c>
      <c r="H91" s="36" t="s">
        <v>60</v>
      </c>
    </row>
    <row r="92" spans="1:8" x14ac:dyDescent="0.35">
      <c r="A92" s="31" t="s">
        <v>1421</v>
      </c>
      <c r="B92" s="31">
        <v>5</v>
      </c>
      <c r="C92" s="31" t="s">
        <v>139</v>
      </c>
      <c r="D92" s="31" t="s">
        <v>1159</v>
      </c>
      <c r="E92" s="31" t="s">
        <v>1597</v>
      </c>
      <c r="F92" s="31" t="s">
        <v>21</v>
      </c>
      <c r="G92" s="31" t="s">
        <v>1598</v>
      </c>
      <c r="H92" s="35" t="s">
        <v>33</v>
      </c>
    </row>
    <row r="93" spans="1:8" x14ac:dyDescent="0.35">
      <c r="A93" s="32" t="s">
        <v>1421</v>
      </c>
      <c r="B93" s="32">
        <v>5</v>
      </c>
      <c r="C93" s="32" t="s">
        <v>139</v>
      </c>
      <c r="D93" s="32" t="s">
        <v>1599</v>
      </c>
      <c r="E93" s="32" t="s">
        <v>1600</v>
      </c>
      <c r="F93" s="32" t="s">
        <v>18</v>
      </c>
      <c r="G93" s="32" t="s">
        <v>1601</v>
      </c>
      <c r="H93" s="36" t="s">
        <v>33</v>
      </c>
    </row>
    <row r="94" spans="1:8" x14ac:dyDescent="0.35">
      <c r="A94" s="31" t="s">
        <v>1421</v>
      </c>
      <c r="B94" s="31">
        <v>5</v>
      </c>
      <c r="C94" s="31" t="s">
        <v>139</v>
      </c>
      <c r="D94" s="31" t="s">
        <v>1599</v>
      </c>
      <c r="E94" s="31" t="s">
        <v>1602</v>
      </c>
      <c r="F94" s="31" t="s">
        <v>21</v>
      </c>
      <c r="G94" s="31" t="s">
        <v>1603</v>
      </c>
      <c r="H94" s="35" t="s">
        <v>33</v>
      </c>
    </row>
    <row r="95" spans="1:8" x14ac:dyDescent="0.35">
      <c r="A95" s="32" t="s">
        <v>1421</v>
      </c>
      <c r="B95" s="32">
        <v>5</v>
      </c>
      <c r="C95" s="32" t="s">
        <v>139</v>
      </c>
      <c r="D95" s="32" t="s">
        <v>1604</v>
      </c>
      <c r="E95" s="32" t="s">
        <v>1605</v>
      </c>
      <c r="F95" s="32" t="s">
        <v>21</v>
      </c>
      <c r="G95" s="32" t="s">
        <v>1606</v>
      </c>
      <c r="H95" s="36" t="s">
        <v>60</v>
      </c>
    </row>
    <row r="96" spans="1:8" x14ac:dyDescent="0.35">
      <c r="A96" s="31" t="s">
        <v>1421</v>
      </c>
      <c r="B96" s="31">
        <v>5</v>
      </c>
      <c r="C96" s="31" t="s">
        <v>139</v>
      </c>
      <c r="D96" s="31" t="s">
        <v>1604</v>
      </c>
      <c r="E96" s="31" t="s">
        <v>1607</v>
      </c>
      <c r="F96" s="31" t="s">
        <v>25</v>
      </c>
      <c r="G96" s="31" t="s">
        <v>1608</v>
      </c>
      <c r="H96" s="35" t="s">
        <v>33</v>
      </c>
    </row>
    <row r="97" spans="1:8" x14ac:dyDescent="0.35">
      <c r="A97" s="32" t="s">
        <v>1421</v>
      </c>
      <c r="B97" s="32">
        <v>5</v>
      </c>
      <c r="C97" s="32" t="s">
        <v>139</v>
      </c>
      <c r="D97" s="32" t="s">
        <v>1604</v>
      </c>
      <c r="E97" s="32" t="s">
        <v>1609</v>
      </c>
      <c r="F97" s="32" t="s">
        <v>25</v>
      </c>
      <c r="G97" s="32" t="s">
        <v>1610</v>
      </c>
      <c r="H97" s="36" t="s">
        <v>60</v>
      </c>
    </row>
    <row r="98" spans="1:8" x14ac:dyDescent="0.35">
      <c r="A98" s="31" t="s">
        <v>1421</v>
      </c>
      <c r="B98" s="31">
        <v>5</v>
      </c>
      <c r="C98" s="31" t="s">
        <v>139</v>
      </c>
      <c r="D98" s="31" t="s">
        <v>1604</v>
      </c>
      <c r="E98" s="31" t="s">
        <v>1611</v>
      </c>
      <c r="F98" s="31" t="s">
        <v>25</v>
      </c>
      <c r="G98" s="31" t="s">
        <v>1612</v>
      </c>
      <c r="H98" s="35" t="s">
        <v>34</v>
      </c>
    </row>
    <row r="99" spans="1:8" x14ac:dyDescent="0.35">
      <c r="A99" s="32" t="s">
        <v>1421</v>
      </c>
      <c r="B99" s="32">
        <v>5</v>
      </c>
      <c r="C99" s="32" t="s">
        <v>139</v>
      </c>
      <c r="D99" s="32" t="s">
        <v>1604</v>
      </c>
      <c r="E99" s="32" t="s">
        <v>1613</v>
      </c>
      <c r="F99" s="32" t="s">
        <v>25</v>
      </c>
      <c r="G99" s="32" t="s">
        <v>1614</v>
      </c>
      <c r="H99" s="36" t="s">
        <v>33</v>
      </c>
    </row>
    <row r="100" spans="1:8" x14ac:dyDescent="0.35">
      <c r="A100" s="31" t="s">
        <v>1421</v>
      </c>
      <c r="B100" s="31">
        <v>5</v>
      </c>
      <c r="C100" s="31" t="s">
        <v>139</v>
      </c>
      <c r="D100" s="31" t="s">
        <v>1615</v>
      </c>
      <c r="E100" s="31" t="s">
        <v>1616</v>
      </c>
      <c r="F100" s="31" t="s">
        <v>25</v>
      </c>
      <c r="G100" s="31" t="s">
        <v>1617</v>
      </c>
      <c r="H100" s="35" t="s">
        <v>33</v>
      </c>
    </row>
    <row r="101" spans="1:8" ht="23.25" x14ac:dyDescent="0.35">
      <c r="A101" s="32" t="s">
        <v>1421</v>
      </c>
      <c r="B101" s="32">
        <v>5</v>
      </c>
      <c r="C101" s="32" t="s">
        <v>139</v>
      </c>
      <c r="D101" s="32" t="s">
        <v>1615</v>
      </c>
      <c r="E101" s="32" t="s">
        <v>1618</v>
      </c>
      <c r="F101" s="32" t="s">
        <v>21</v>
      </c>
      <c r="G101" s="32" t="s">
        <v>1619</v>
      </c>
      <c r="H101" s="36" t="s">
        <v>33</v>
      </c>
    </row>
    <row r="102" spans="1:8" x14ac:dyDescent="0.35">
      <c r="A102" s="31" t="s">
        <v>1421</v>
      </c>
      <c r="B102" s="31">
        <v>5</v>
      </c>
      <c r="C102" s="31" t="s">
        <v>139</v>
      </c>
      <c r="D102" s="31" t="s">
        <v>1615</v>
      </c>
      <c r="E102" s="31" t="s">
        <v>1620</v>
      </c>
      <c r="F102" s="31" t="s">
        <v>20</v>
      </c>
      <c r="G102" s="31" t="s">
        <v>1621</v>
      </c>
      <c r="H102" s="35" t="s">
        <v>33</v>
      </c>
    </row>
    <row r="103" spans="1:8" x14ac:dyDescent="0.35">
      <c r="A103" s="32" t="s">
        <v>1421</v>
      </c>
      <c r="B103" s="32">
        <v>5</v>
      </c>
      <c r="C103" s="32" t="s">
        <v>139</v>
      </c>
      <c r="D103" s="32" t="s">
        <v>1615</v>
      </c>
      <c r="E103" s="32" t="s">
        <v>1622</v>
      </c>
      <c r="F103" s="32" t="s">
        <v>18</v>
      </c>
      <c r="G103" s="32" t="s">
        <v>1623</v>
      </c>
      <c r="H103" s="36" t="s">
        <v>33</v>
      </c>
    </row>
    <row r="104" spans="1:8" x14ac:dyDescent="0.35">
      <c r="A104" s="31" t="s">
        <v>1421</v>
      </c>
      <c r="B104" s="31">
        <v>5</v>
      </c>
      <c r="C104" s="31" t="s">
        <v>139</v>
      </c>
      <c r="D104" s="31" t="s">
        <v>1615</v>
      </c>
      <c r="E104" s="31" t="s">
        <v>1624</v>
      </c>
      <c r="F104" s="31" t="s">
        <v>25</v>
      </c>
      <c r="G104" s="31" t="s">
        <v>1612</v>
      </c>
      <c r="H104" s="35" t="s">
        <v>34</v>
      </c>
    </row>
    <row r="105" spans="1:8" ht="23.25" x14ac:dyDescent="0.35">
      <c r="A105" s="32" t="s">
        <v>1421</v>
      </c>
      <c r="B105" s="32">
        <v>6</v>
      </c>
      <c r="C105" s="32" t="s">
        <v>161</v>
      </c>
      <c r="D105" s="32" t="s">
        <v>1162</v>
      </c>
      <c r="E105" s="32" t="s">
        <v>1625</v>
      </c>
      <c r="F105" s="32" t="s">
        <v>20</v>
      </c>
      <c r="G105" s="32" t="s">
        <v>1626</v>
      </c>
      <c r="H105" s="36" t="s">
        <v>33</v>
      </c>
    </row>
    <row r="106" spans="1:8" ht="23.25" x14ac:dyDescent="0.35">
      <c r="A106" s="31" t="s">
        <v>1421</v>
      </c>
      <c r="B106" s="31">
        <v>6</v>
      </c>
      <c r="C106" s="31" t="s">
        <v>161</v>
      </c>
      <c r="D106" s="31" t="s">
        <v>1162</v>
      </c>
      <c r="E106" s="31" t="s">
        <v>1627</v>
      </c>
      <c r="F106" s="31" t="s">
        <v>21</v>
      </c>
      <c r="G106" s="31" t="s">
        <v>1628</v>
      </c>
      <c r="H106" s="35" t="s">
        <v>33</v>
      </c>
    </row>
    <row r="107" spans="1:8" ht="23.25" x14ac:dyDescent="0.35">
      <c r="A107" s="32" t="s">
        <v>1421</v>
      </c>
      <c r="B107" s="32">
        <v>6</v>
      </c>
      <c r="C107" s="32" t="s">
        <v>161</v>
      </c>
      <c r="D107" s="32" t="s">
        <v>1162</v>
      </c>
      <c r="E107" s="32" t="s">
        <v>1629</v>
      </c>
      <c r="F107" s="32" t="s">
        <v>25</v>
      </c>
      <c r="G107" s="32" t="s">
        <v>1612</v>
      </c>
      <c r="H107" s="36" t="s">
        <v>34</v>
      </c>
    </row>
    <row r="108" spans="1:8" ht="23.25" x14ac:dyDescent="0.35">
      <c r="A108" s="31" t="s">
        <v>1421</v>
      </c>
      <c r="B108" s="31">
        <v>6</v>
      </c>
      <c r="C108" s="31" t="s">
        <v>161</v>
      </c>
      <c r="D108" s="31" t="s">
        <v>1162</v>
      </c>
      <c r="E108" s="31" t="s">
        <v>1630</v>
      </c>
      <c r="F108" s="31" t="s">
        <v>19</v>
      </c>
      <c r="G108" s="31" t="s">
        <v>1631</v>
      </c>
      <c r="H108" s="35" t="s">
        <v>33</v>
      </c>
    </row>
    <row r="109" spans="1:8" ht="23.25" x14ac:dyDescent="0.35">
      <c r="A109" s="32" t="s">
        <v>1421</v>
      </c>
      <c r="B109" s="32">
        <v>6</v>
      </c>
      <c r="C109" s="32" t="s">
        <v>161</v>
      </c>
      <c r="D109" s="32" t="s">
        <v>1162</v>
      </c>
      <c r="E109" s="32" t="s">
        <v>1630</v>
      </c>
      <c r="F109" s="32" t="s">
        <v>21</v>
      </c>
      <c r="G109" s="32" t="s">
        <v>1632</v>
      </c>
      <c r="H109" s="36" t="s">
        <v>33</v>
      </c>
    </row>
    <row r="110" spans="1:8" ht="23.25" x14ac:dyDescent="0.35">
      <c r="A110" s="31" t="s">
        <v>1421</v>
      </c>
      <c r="B110" s="31">
        <v>6</v>
      </c>
      <c r="C110" s="31" t="s">
        <v>161</v>
      </c>
      <c r="D110" s="31" t="s">
        <v>1162</v>
      </c>
      <c r="E110" s="31" t="s">
        <v>1630</v>
      </c>
      <c r="F110" s="31" t="s">
        <v>25</v>
      </c>
      <c r="G110" s="31" t="s">
        <v>1633</v>
      </c>
      <c r="H110" s="35" t="s">
        <v>33</v>
      </c>
    </row>
    <row r="111" spans="1:8" ht="23.25" x14ac:dyDescent="0.35">
      <c r="A111" s="32" t="s">
        <v>1421</v>
      </c>
      <c r="B111" s="32">
        <v>6</v>
      </c>
      <c r="C111" s="32" t="s">
        <v>161</v>
      </c>
      <c r="D111" s="32" t="s">
        <v>1162</v>
      </c>
      <c r="E111" s="32" t="s">
        <v>1634</v>
      </c>
      <c r="F111" s="32" t="s">
        <v>19</v>
      </c>
      <c r="G111" s="32" t="s">
        <v>1631</v>
      </c>
      <c r="H111" s="36" t="s">
        <v>33</v>
      </c>
    </row>
    <row r="112" spans="1:8" ht="23.25" x14ac:dyDescent="0.35">
      <c r="A112" s="31" t="s">
        <v>1421</v>
      </c>
      <c r="B112" s="31">
        <v>6</v>
      </c>
      <c r="C112" s="31" t="s">
        <v>161</v>
      </c>
      <c r="D112" s="31" t="s">
        <v>1162</v>
      </c>
      <c r="E112" s="31" t="s">
        <v>1634</v>
      </c>
      <c r="F112" s="31" t="s">
        <v>21</v>
      </c>
      <c r="G112" s="31" t="s">
        <v>1635</v>
      </c>
      <c r="H112" s="35" t="s">
        <v>33</v>
      </c>
    </row>
    <row r="113" spans="1:8" ht="23.25" x14ac:dyDescent="0.35">
      <c r="A113" s="32" t="s">
        <v>1421</v>
      </c>
      <c r="B113" s="32">
        <v>6</v>
      </c>
      <c r="C113" s="32" t="s">
        <v>161</v>
      </c>
      <c r="D113" s="32" t="s">
        <v>1162</v>
      </c>
      <c r="E113" s="32" t="s">
        <v>1636</v>
      </c>
      <c r="F113" s="32" t="s">
        <v>25</v>
      </c>
      <c r="G113" s="32" t="s">
        <v>1637</v>
      </c>
      <c r="H113" s="36" t="s">
        <v>33</v>
      </c>
    </row>
    <row r="114" spans="1:8" ht="23.25" x14ac:dyDescent="0.35">
      <c r="A114" s="31" t="s">
        <v>1421</v>
      </c>
      <c r="B114" s="31">
        <v>6</v>
      </c>
      <c r="C114" s="31" t="s">
        <v>161</v>
      </c>
      <c r="D114" s="31" t="s">
        <v>1638</v>
      </c>
      <c r="E114" s="31" t="s">
        <v>1639</v>
      </c>
      <c r="F114" s="31" t="s">
        <v>25</v>
      </c>
      <c r="G114" s="31" t="s">
        <v>1640</v>
      </c>
      <c r="H114" s="35" t="s">
        <v>34</v>
      </c>
    </row>
    <row r="115" spans="1:8" ht="23.25" x14ac:dyDescent="0.35">
      <c r="A115" s="32" t="s">
        <v>1421</v>
      </c>
      <c r="B115" s="32">
        <v>6</v>
      </c>
      <c r="C115" s="32" t="s">
        <v>161</v>
      </c>
      <c r="D115" s="32" t="s">
        <v>1641</v>
      </c>
      <c r="E115" s="32" t="s">
        <v>1642</v>
      </c>
      <c r="F115" s="32" t="s">
        <v>25</v>
      </c>
      <c r="G115" s="32" t="s">
        <v>1643</v>
      </c>
      <c r="H115" s="36" t="s">
        <v>34</v>
      </c>
    </row>
    <row r="116" spans="1:8" ht="23.25" x14ac:dyDescent="0.35">
      <c r="A116" s="31" t="s">
        <v>1421</v>
      </c>
      <c r="B116" s="31">
        <v>6</v>
      </c>
      <c r="C116" s="31" t="s">
        <v>161</v>
      </c>
      <c r="D116" s="31" t="s">
        <v>1641</v>
      </c>
      <c r="E116" s="31" t="s">
        <v>1644</v>
      </c>
      <c r="F116" s="31" t="s">
        <v>21</v>
      </c>
      <c r="G116" s="31" t="s">
        <v>1645</v>
      </c>
      <c r="H116" s="35" t="s">
        <v>33</v>
      </c>
    </row>
    <row r="117" spans="1:8" ht="23.25" x14ac:dyDescent="0.35">
      <c r="A117" s="32" t="s">
        <v>1421</v>
      </c>
      <c r="B117" s="32">
        <v>6</v>
      </c>
      <c r="C117" s="32" t="s">
        <v>161</v>
      </c>
      <c r="D117" s="32" t="s">
        <v>1641</v>
      </c>
      <c r="E117" s="32" t="s">
        <v>1644</v>
      </c>
      <c r="F117" s="32" t="s">
        <v>19</v>
      </c>
      <c r="G117" s="32" t="s">
        <v>1631</v>
      </c>
      <c r="H117" s="36" t="s">
        <v>33</v>
      </c>
    </row>
    <row r="118" spans="1:8" ht="23.25" x14ac:dyDescent="0.35">
      <c r="A118" s="31" t="s">
        <v>1421</v>
      </c>
      <c r="B118" s="31">
        <v>6</v>
      </c>
      <c r="C118" s="31" t="s">
        <v>161</v>
      </c>
      <c r="D118" s="31" t="s">
        <v>1641</v>
      </c>
      <c r="E118" s="31" t="s">
        <v>1646</v>
      </c>
      <c r="F118" s="31" t="s">
        <v>18</v>
      </c>
      <c r="G118" s="31" t="s">
        <v>1647</v>
      </c>
      <c r="H118" s="35" t="s">
        <v>33</v>
      </c>
    </row>
    <row r="119" spans="1:8" ht="23.25" x14ac:dyDescent="0.35">
      <c r="A119" s="32" t="s">
        <v>1421</v>
      </c>
      <c r="B119" s="32">
        <v>6</v>
      </c>
      <c r="C119" s="32" t="s">
        <v>161</v>
      </c>
      <c r="D119" s="32" t="s">
        <v>1641</v>
      </c>
      <c r="E119" s="32" t="s">
        <v>1646</v>
      </c>
      <c r="F119" s="32" t="s">
        <v>19</v>
      </c>
      <c r="G119" s="32" t="s">
        <v>1648</v>
      </c>
      <c r="H119" s="36" t="s">
        <v>33</v>
      </c>
    </row>
    <row r="120" spans="1:8" ht="23.25" x14ac:dyDescent="0.35">
      <c r="A120" s="31" t="s">
        <v>1421</v>
      </c>
      <c r="B120" s="31">
        <v>6</v>
      </c>
      <c r="C120" s="31" t="s">
        <v>161</v>
      </c>
      <c r="D120" s="31" t="s">
        <v>1641</v>
      </c>
      <c r="E120" s="31" t="s">
        <v>1646</v>
      </c>
      <c r="F120" s="31" t="s">
        <v>21</v>
      </c>
      <c r="G120" s="31" t="s">
        <v>1649</v>
      </c>
      <c r="H120" s="35" t="s">
        <v>33</v>
      </c>
    </row>
    <row r="121" spans="1:8" x14ac:dyDescent="0.35">
      <c r="A121" s="32" t="s">
        <v>1421</v>
      </c>
      <c r="B121" s="32">
        <v>7</v>
      </c>
      <c r="C121" s="32" t="s">
        <v>198</v>
      </c>
      <c r="D121" s="32" t="s">
        <v>1650</v>
      </c>
      <c r="E121" s="32" t="s">
        <v>1651</v>
      </c>
      <c r="F121" s="32" t="s">
        <v>25</v>
      </c>
      <c r="G121" s="32" t="s">
        <v>1652</v>
      </c>
      <c r="H121" s="36" t="s">
        <v>34</v>
      </c>
    </row>
    <row r="122" spans="1:8" x14ac:dyDescent="0.35">
      <c r="A122" s="31" t="s">
        <v>1421</v>
      </c>
      <c r="B122" s="31">
        <v>7</v>
      </c>
      <c r="C122" s="31" t="s">
        <v>198</v>
      </c>
      <c r="D122" s="31" t="s">
        <v>1650</v>
      </c>
      <c r="E122" s="31" t="s">
        <v>1653</v>
      </c>
      <c r="F122" s="31" t="s">
        <v>21</v>
      </c>
      <c r="G122" s="31" t="s">
        <v>1654</v>
      </c>
      <c r="H122" s="35" t="s">
        <v>33</v>
      </c>
    </row>
    <row r="123" spans="1:8" x14ac:dyDescent="0.35">
      <c r="A123" s="32" t="s">
        <v>1421</v>
      </c>
      <c r="B123" s="32">
        <v>7</v>
      </c>
      <c r="C123" s="32" t="s">
        <v>198</v>
      </c>
      <c r="D123" s="32" t="s">
        <v>1650</v>
      </c>
      <c r="E123" s="32" t="s">
        <v>1655</v>
      </c>
      <c r="F123" s="32" t="s">
        <v>18</v>
      </c>
      <c r="G123" s="32" t="s">
        <v>1656</v>
      </c>
      <c r="H123" s="36" t="s">
        <v>33</v>
      </c>
    </row>
    <row r="124" spans="1:8" x14ac:dyDescent="0.35">
      <c r="A124" s="31" t="s">
        <v>1421</v>
      </c>
      <c r="B124" s="31">
        <v>7</v>
      </c>
      <c r="C124" s="31" t="s">
        <v>198</v>
      </c>
      <c r="D124" s="31" t="s">
        <v>1650</v>
      </c>
      <c r="E124" s="31" t="s">
        <v>1657</v>
      </c>
      <c r="F124" s="31" t="s">
        <v>21</v>
      </c>
      <c r="G124" s="31" t="s">
        <v>1658</v>
      </c>
      <c r="H124" s="35" t="s">
        <v>33</v>
      </c>
    </row>
    <row r="125" spans="1:8" x14ac:dyDescent="0.35">
      <c r="A125" s="32" t="s">
        <v>1421</v>
      </c>
      <c r="B125" s="32">
        <v>7</v>
      </c>
      <c r="C125" s="32" t="s">
        <v>198</v>
      </c>
      <c r="D125" s="32" t="s">
        <v>1650</v>
      </c>
      <c r="E125" s="32" t="s">
        <v>1659</v>
      </c>
      <c r="F125" s="32" t="s">
        <v>23</v>
      </c>
      <c r="G125" s="32" t="s">
        <v>1660</v>
      </c>
      <c r="H125" s="36" t="s">
        <v>33</v>
      </c>
    </row>
    <row r="126" spans="1:8" ht="23.25" x14ac:dyDescent="0.35">
      <c r="A126" s="31" t="s">
        <v>1421</v>
      </c>
      <c r="B126" s="31">
        <v>7</v>
      </c>
      <c r="C126" s="31" t="s">
        <v>198</v>
      </c>
      <c r="D126" s="31" t="s">
        <v>1650</v>
      </c>
      <c r="E126" s="31" t="s">
        <v>1661</v>
      </c>
      <c r="F126" s="31" t="s">
        <v>25</v>
      </c>
      <c r="G126" s="31" t="s">
        <v>1662</v>
      </c>
      <c r="H126" s="35" t="s">
        <v>34</v>
      </c>
    </row>
    <row r="127" spans="1:8" x14ac:dyDescent="0.35">
      <c r="A127" s="32" t="s">
        <v>1421</v>
      </c>
      <c r="B127" s="32">
        <v>7</v>
      </c>
      <c r="C127" s="32" t="s">
        <v>198</v>
      </c>
      <c r="D127" s="32" t="s">
        <v>1663</v>
      </c>
      <c r="E127" s="32"/>
      <c r="F127" s="32" t="s">
        <v>18</v>
      </c>
      <c r="G127" s="32" t="s">
        <v>1664</v>
      </c>
      <c r="H127" s="36" t="s">
        <v>33</v>
      </c>
    </row>
    <row r="128" spans="1:8" x14ac:dyDescent="0.35">
      <c r="A128" s="31" t="s">
        <v>1421</v>
      </c>
      <c r="B128" s="31">
        <v>7</v>
      </c>
      <c r="C128" s="31" t="s">
        <v>198</v>
      </c>
      <c r="D128" s="31" t="s">
        <v>1663</v>
      </c>
      <c r="E128" s="31" t="s">
        <v>1665</v>
      </c>
      <c r="F128" s="31" t="s">
        <v>21</v>
      </c>
      <c r="G128" s="31" t="s">
        <v>1666</v>
      </c>
      <c r="H128" s="35" t="s">
        <v>33</v>
      </c>
    </row>
    <row r="129" spans="1:8" x14ac:dyDescent="0.35">
      <c r="A129" s="32" t="s">
        <v>1421</v>
      </c>
      <c r="B129" s="32">
        <v>7</v>
      </c>
      <c r="C129" s="32" t="s">
        <v>198</v>
      </c>
      <c r="D129" s="32" t="s">
        <v>1663</v>
      </c>
      <c r="E129" s="32" t="s">
        <v>1667</v>
      </c>
      <c r="F129" s="32" t="s">
        <v>25</v>
      </c>
      <c r="G129" s="32" t="s">
        <v>1668</v>
      </c>
      <c r="H129" s="36" t="s">
        <v>33</v>
      </c>
    </row>
    <row r="130" spans="1:8" x14ac:dyDescent="0.35">
      <c r="A130" s="31" t="s">
        <v>1421</v>
      </c>
      <c r="B130" s="31">
        <v>7</v>
      </c>
      <c r="C130" s="31" t="s">
        <v>198</v>
      </c>
      <c r="D130" s="31" t="s">
        <v>1663</v>
      </c>
      <c r="E130" s="31" t="s">
        <v>1669</v>
      </c>
      <c r="F130" s="31" t="s">
        <v>25</v>
      </c>
      <c r="G130" s="31" t="s">
        <v>1670</v>
      </c>
      <c r="H130" s="35" t="s">
        <v>33</v>
      </c>
    </row>
    <row r="131" spans="1:8" x14ac:dyDescent="0.35">
      <c r="A131" s="32" t="s">
        <v>1421</v>
      </c>
      <c r="B131" s="32">
        <v>7</v>
      </c>
      <c r="C131" s="32" t="s">
        <v>198</v>
      </c>
      <c r="D131" s="32" t="s">
        <v>1663</v>
      </c>
      <c r="E131" s="32" t="s">
        <v>1671</v>
      </c>
      <c r="F131" s="32" t="s">
        <v>21</v>
      </c>
      <c r="G131" s="32" t="s">
        <v>1672</v>
      </c>
      <c r="H131" s="36" t="s">
        <v>33</v>
      </c>
    </row>
    <row r="132" spans="1:8" x14ac:dyDescent="0.35">
      <c r="A132" s="31" t="s">
        <v>1421</v>
      </c>
      <c r="B132" s="31">
        <v>7</v>
      </c>
      <c r="C132" s="31" t="s">
        <v>198</v>
      </c>
      <c r="D132" s="31" t="s">
        <v>1673</v>
      </c>
      <c r="E132" s="31" t="s">
        <v>1674</v>
      </c>
      <c r="F132" s="31" t="s">
        <v>25</v>
      </c>
      <c r="G132" s="31" t="s">
        <v>1675</v>
      </c>
      <c r="H132" s="35" t="s">
        <v>34</v>
      </c>
    </row>
    <row r="133" spans="1:8" x14ac:dyDescent="0.35">
      <c r="A133" s="32" t="s">
        <v>1421</v>
      </c>
      <c r="B133" s="32">
        <v>7</v>
      </c>
      <c r="C133" s="32" t="s">
        <v>198</v>
      </c>
      <c r="D133" s="32" t="s">
        <v>1673</v>
      </c>
      <c r="E133" s="32" t="s">
        <v>1674</v>
      </c>
      <c r="F133" s="32" t="s">
        <v>21</v>
      </c>
      <c r="G133" s="32" t="s">
        <v>1676</v>
      </c>
      <c r="H133" s="36" t="s">
        <v>33</v>
      </c>
    </row>
    <row r="134" spans="1:8" ht="23.25" x14ac:dyDescent="0.35">
      <c r="A134" s="31" t="s">
        <v>1421</v>
      </c>
      <c r="B134" s="31">
        <v>7</v>
      </c>
      <c r="C134" s="31" t="s">
        <v>198</v>
      </c>
      <c r="D134" s="31" t="s">
        <v>1673</v>
      </c>
      <c r="E134" s="31" t="s">
        <v>1677</v>
      </c>
      <c r="F134" s="31" t="s">
        <v>25</v>
      </c>
      <c r="G134" s="31" t="s">
        <v>1678</v>
      </c>
      <c r="H134" s="35" t="s">
        <v>34</v>
      </c>
    </row>
    <row r="135" spans="1:8" x14ac:dyDescent="0.35">
      <c r="A135" s="32" t="s">
        <v>1421</v>
      </c>
      <c r="B135" s="32">
        <v>7</v>
      </c>
      <c r="C135" s="32" t="s">
        <v>198</v>
      </c>
      <c r="D135" s="32" t="s">
        <v>1673</v>
      </c>
      <c r="E135" s="32" t="s">
        <v>1679</v>
      </c>
      <c r="F135" s="32" t="s">
        <v>21</v>
      </c>
      <c r="G135" s="32" t="s">
        <v>1680</v>
      </c>
      <c r="H135" s="36" t="s">
        <v>33</v>
      </c>
    </row>
    <row r="136" spans="1:8" x14ac:dyDescent="0.35">
      <c r="A136" s="31" t="s">
        <v>1421</v>
      </c>
      <c r="B136" s="31">
        <v>7</v>
      </c>
      <c r="C136" s="31" t="s">
        <v>198</v>
      </c>
      <c r="D136" s="31" t="s">
        <v>1673</v>
      </c>
      <c r="E136" s="31" t="s">
        <v>1679</v>
      </c>
      <c r="F136" s="31" t="s">
        <v>21</v>
      </c>
      <c r="G136" s="31" t="s">
        <v>1676</v>
      </c>
      <c r="H136" s="35" t="s">
        <v>33</v>
      </c>
    </row>
    <row r="137" spans="1:8" x14ac:dyDescent="0.35">
      <c r="A137" s="32" t="s">
        <v>1421</v>
      </c>
      <c r="B137" s="32">
        <v>7</v>
      </c>
      <c r="C137" s="32" t="s">
        <v>198</v>
      </c>
      <c r="D137" s="32" t="s">
        <v>1673</v>
      </c>
      <c r="E137" s="32" t="s">
        <v>1681</v>
      </c>
      <c r="F137" s="32" t="s">
        <v>18</v>
      </c>
      <c r="G137" s="32" t="s">
        <v>1682</v>
      </c>
      <c r="H137" s="36" t="s">
        <v>33</v>
      </c>
    </row>
    <row r="138" spans="1:8" x14ac:dyDescent="0.35">
      <c r="A138" s="31" t="s">
        <v>1421</v>
      </c>
      <c r="B138" s="31">
        <v>7</v>
      </c>
      <c r="C138" s="31" t="s">
        <v>198</v>
      </c>
      <c r="D138" s="31" t="s">
        <v>1673</v>
      </c>
      <c r="E138" s="31" t="s">
        <v>1683</v>
      </c>
      <c r="F138" s="31" t="s">
        <v>18</v>
      </c>
      <c r="G138" s="31" t="s">
        <v>1684</v>
      </c>
      <c r="H138" s="35" t="s">
        <v>33</v>
      </c>
    </row>
    <row r="139" spans="1:8" x14ac:dyDescent="0.35">
      <c r="A139" s="32" t="s">
        <v>1421</v>
      </c>
      <c r="B139" s="32">
        <v>7</v>
      </c>
      <c r="C139" s="32" t="s">
        <v>198</v>
      </c>
      <c r="D139" s="32" t="s">
        <v>1673</v>
      </c>
      <c r="E139" s="32" t="s">
        <v>1685</v>
      </c>
      <c r="F139" s="32" t="s">
        <v>20</v>
      </c>
      <c r="G139" s="32" t="s">
        <v>1686</v>
      </c>
      <c r="H139" s="36" t="s">
        <v>33</v>
      </c>
    </row>
    <row r="140" spans="1:8" ht="23.25" x14ac:dyDescent="0.35">
      <c r="A140" s="31" t="s">
        <v>1421</v>
      </c>
      <c r="B140" s="31">
        <v>7</v>
      </c>
      <c r="C140" s="31" t="s">
        <v>198</v>
      </c>
      <c r="D140" s="31" t="s">
        <v>1673</v>
      </c>
      <c r="E140" s="31" t="s">
        <v>1687</v>
      </c>
      <c r="F140" s="31" t="s">
        <v>25</v>
      </c>
      <c r="G140" s="31" t="s">
        <v>1688</v>
      </c>
      <c r="H140" s="35" t="s">
        <v>34</v>
      </c>
    </row>
    <row r="141" spans="1:8" ht="23.25" x14ac:dyDescent="0.35">
      <c r="A141" s="32" t="s">
        <v>1421</v>
      </c>
      <c r="B141" s="32">
        <v>8</v>
      </c>
      <c r="C141" s="32" t="s">
        <v>210</v>
      </c>
      <c r="D141" s="32" t="s">
        <v>1689</v>
      </c>
      <c r="E141" s="32" t="s">
        <v>1690</v>
      </c>
      <c r="F141" s="32" t="s">
        <v>25</v>
      </c>
      <c r="G141" s="32" t="s">
        <v>1691</v>
      </c>
      <c r="H141" s="36" t="s">
        <v>34</v>
      </c>
    </row>
    <row r="142" spans="1:8" x14ac:dyDescent="0.35">
      <c r="A142" s="31" t="s">
        <v>1421</v>
      </c>
      <c r="B142" s="31">
        <v>8</v>
      </c>
      <c r="C142" s="31" t="s">
        <v>210</v>
      </c>
      <c r="D142" s="31" t="s">
        <v>1689</v>
      </c>
      <c r="E142" s="31" t="s">
        <v>1692</v>
      </c>
      <c r="F142" s="31" t="s">
        <v>21</v>
      </c>
      <c r="G142" s="31" t="s">
        <v>1693</v>
      </c>
      <c r="H142" s="35" t="s">
        <v>33</v>
      </c>
    </row>
    <row r="143" spans="1:8" x14ac:dyDescent="0.35">
      <c r="A143" s="32" t="s">
        <v>1421</v>
      </c>
      <c r="B143" s="32">
        <v>8</v>
      </c>
      <c r="C143" s="32" t="s">
        <v>210</v>
      </c>
      <c r="D143" s="32" t="s">
        <v>1689</v>
      </c>
      <c r="E143" s="32" t="s">
        <v>1694</v>
      </c>
      <c r="F143" s="32" t="s">
        <v>21</v>
      </c>
      <c r="G143" s="32" t="s">
        <v>1695</v>
      </c>
      <c r="H143" s="36" t="s">
        <v>33</v>
      </c>
    </row>
    <row r="144" spans="1:8" x14ac:dyDescent="0.35">
      <c r="A144" s="31" t="s">
        <v>1421</v>
      </c>
      <c r="B144" s="31">
        <v>8</v>
      </c>
      <c r="C144" s="31" t="s">
        <v>210</v>
      </c>
      <c r="D144" s="31" t="s">
        <v>1689</v>
      </c>
      <c r="E144" s="31" t="s">
        <v>1696</v>
      </c>
      <c r="F144" s="31" t="s">
        <v>25</v>
      </c>
      <c r="G144" s="31" t="s">
        <v>1485</v>
      </c>
      <c r="H144" s="35" t="s">
        <v>33</v>
      </c>
    </row>
    <row r="145" spans="1:8" x14ac:dyDescent="0.35">
      <c r="A145" s="32" t="s">
        <v>1421</v>
      </c>
      <c r="B145" s="32">
        <v>8</v>
      </c>
      <c r="C145" s="32" t="s">
        <v>210</v>
      </c>
      <c r="D145" s="32" t="s">
        <v>1689</v>
      </c>
      <c r="E145" s="32" t="s">
        <v>1697</v>
      </c>
      <c r="F145" s="32" t="s">
        <v>25</v>
      </c>
      <c r="G145" s="32" t="s">
        <v>1698</v>
      </c>
      <c r="H145" s="36" t="s">
        <v>33</v>
      </c>
    </row>
    <row r="146" spans="1:8" ht="23.25" x14ac:dyDescent="0.35">
      <c r="A146" s="31" t="s">
        <v>1421</v>
      </c>
      <c r="B146" s="31">
        <v>8</v>
      </c>
      <c r="C146" s="31" t="s">
        <v>210</v>
      </c>
      <c r="D146" s="31" t="s">
        <v>1689</v>
      </c>
      <c r="E146" s="31" t="s">
        <v>1699</v>
      </c>
      <c r="F146" s="31" t="s">
        <v>23</v>
      </c>
      <c r="G146" s="31" t="s">
        <v>1700</v>
      </c>
      <c r="H146" s="35" t="s">
        <v>33</v>
      </c>
    </row>
    <row r="147" spans="1:8" ht="23.25" x14ac:dyDescent="0.35">
      <c r="A147" s="32" t="s">
        <v>1421</v>
      </c>
      <c r="B147" s="32">
        <v>8</v>
      </c>
      <c r="C147" s="32" t="s">
        <v>210</v>
      </c>
      <c r="D147" s="32" t="s">
        <v>1689</v>
      </c>
      <c r="E147" s="32" t="s">
        <v>1699</v>
      </c>
      <c r="F147" s="32" t="s">
        <v>25</v>
      </c>
      <c r="G147" s="32" t="s">
        <v>1701</v>
      </c>
      <c r="H147" s="36" t="s">
        <v>33</v>
      </c>
    </row>
    <row r="148" spans="1:8" ht="23.25" x14ac:dyDescent="0.35">
      <c r="A148" s="31" t="s">
        <v>1421</v>
      </c>
      <c r="B148" s="31">
        <v>8</v>
      </c>
      <c r="C148" s="31" t="s">
        <v>210</v>
      </c>
      <c r="D148" s="31" t="s">
        <v>1702</v>
      </c>
      <c r="E148" s="31" t="s">
        <v>1703</v>
      </c>
      <c r="F148" s="31" t="s">
        <v>25</v>
      </c>
      <c r="G148" s="31" t="s">
        <v>1704</v>
      </c>
      <c r="H148" s="35" t="s">
        <v>33</v>
      </c>
    </row>
    <row r="149" spans="1:8" x14ac:dyDescent="0.35">
      <c r="A149" s="32" t="s">
        <v>1421</v>
      </c>
      <c r="B149" s="32">
        <v>8</v>
      </c>
      <c r="C149" s="32" t="s">
        <v>210</v>
      </c>
      <c r="D149" s="32" t="s">
        <v>1702</v>
      </c>
      <c r="E149" s="32" t="s">
        <v>1705</v>
      </c>
      <c r="F149" s="32" t="s">
        <v>25</v>
      </c>
      <c r="G149" s="32" t="s">
        <v>1706</v>
      </c>
      <c r="H149" s="36" t="s">
        <v>33</v>
      </c>
    </row>
    <row r="150" spans="1:8" x14ac:dyDescent="0.35">
      <c r="A150" s="31" t="s">
        <v>1421</v>
      </c>
      <c r="B150" s="31">
        <v>8</v>
      </c>
      <c r="C150" s="31" t="s">
        <v>210</v>
      </c>
      <c r="D150" s="31" t="s">
        <v>1702</v>
      </c>
      <c r="E150" s="31" t="s">
        <v>1705</v>
      </c>
      <c r="F150" s="31" t="s">
        <v>18</v>
      </c>
      <c r="G150" s="31" t="s">
        <v>1707</v>
      </c>
      <c r="H150" s="35" t="s">
        <v>33</v>
      </c>
    </row>
    <row r="151" spans="1:8" ht="23.25" x14ac:dyDescent="0.35">
      <c r="A151" s="32" t="s">
        <v>1421</v>
      </c>
      <c r="B151" s="32">
        <v>8</v>
      </c>
      <c r="C151" s="32" t="s">
        <v>210</v>
      </c>
      <c r="D151" s="32" t="s">
        <v>1702</v>
      </c>
      <c r="E151" s="32" t="s">
        <v>1708</v>
      </c>
      <c r="F151" s="32" t="s">
        <v>25</v>
      </c>
      <c r="G151" s="32" t="s">
        <v>1709</v>
      </c>
      <c r="H151" s="36" t="s">
        <v>33</v>
      </c>
    </row>
    <row r="152" spans="1:8" x14ac:dyDescent="0.35">
      <c r="A152" s="31" t="s">
        <v>1421</v>
      </c>
      <c r="B152" s="31">
        <v>8</v>
      </c>
      <c r="C152" s="31" t="s">
        <v>210</v>
      </c>
      <c r="D152" s="31" t="s">
        <v>1702</v>
      </c>
      <c r="E152" s="31" t="s">
        <v>1710</v>
      </c>
      <c r="F152" s="31" t="s">
        <v>25</v>
      </c>
      <c r="G152" s="31" t="s">
        <v>1711</v>
      </c>
      <c r="H152" s="35" t="s">
        <v>33</v>
      </c>
    </row>
    <row r="153" spans="1:8" x14ac:dyDescent="0.35">
      <c r="A153" s="32" t="s">
        <v>1421</v>
      </c>
      <c r="B153" s="32">
        <v>8</v>
      </c>
      <c r="C153" s="32" t="s">
        <v>210</v>
      </c>
      <c r="D153" s="32" t="s">
        <v>1712</v>
      </c>
      <c r="E153" s="32" t="s">
        <v>1713</v>
      </c>
      <c r="F153" s="32" t="s">
        <v>19</v>
      </c>
      <c r="G153" s="32" t="s">
        <v>1714</v>
      </c>
      <c r="H153" s="36" t="s">
        <v>60</v>
      </c>
    </row>
    <row r="154" spans="1:8" x14ac:dyDescent="0.35">
      <c r="A154" s="31" t="s">
        <v>1421</v>
      </c>
      <c r="B154" s="31">
        <v>8</v>
      </c>
      <c r="C154" s="31" t="s">
        <v>210</v>
      </c>
      <c r="D154" s="31" t="s">
        <v>1712</v>
      </c>
      <c r="E154" s="31" t="s">
        <v>1715</v>
      </c>
      <c r="F154" s="31" t="s">
        <v>21</v>
      </c>
      <c r="G154" s="31" t="s">
        <v>1716</v>
      </c>
      <c r="H154" s="35" t="s">
        <v>60</v>
      </c>
    </row>
    <row r="155" spans="1:8" x14ac:dyDescent="0.35">
      <c r="A155" s="32" t="s">
        <v>1421</v>
      </c>
      <c r="B155" s="32">
        <v>8</v>
      </c>
      <c r="C155" s="32" t="s">
        <v>210</v>
      </c>
      <c r="D155" s="32" t="s">
        <v>1712</v>
      </c>
      <c r="E155" s="32" t="s">
        <v>1717</v>
      </c>
      <c r="F155" s="32" t="s">
        <v>21</v>
      </c>
      <c r="G155" s="32" t="s">
        <v>1695</v>
      </c>
      <c r="H155" s="36" t="s">
        <v>33</v>
      </c>
    </row>
    <row r="156" spans="1:8" x14ac:dyDescent="0.35">
      <c r="A156" s="31" t="s">
        <v>1421</v>
      </c>
      <c r="B156" s="31">
        <v>8</v>
      </c>
      <c r="C156" s="31" t="s">
        <v>210</v>
      </c>
      <c r="D156" s="31" t="s">
        <v>1712</v>
      </c>
      <c r="E156" s="31" t="s">
        <v>1718</v>
      </c>
      <c r="F156" s="31" t="s">
        <v>25</v>
      </c>
      <c r="G156" s="31" t="s">
        <v>1719</v>
      </c>
      <c r="H156" s="35" t="s">
        <v>33</v>
      </c>
    </row>
    <row r="157" spans="1:8" x14ac:dyDescent="0.35">
      <c r="A157" s="32" t="s">
        <v>1421</v>
      </c>
      <c r="B157" s="32">
        <v>8</v>
      </c>
      <c r="C157" s="32" t="s">
        <v>210</v>
      </c>
      <c r="D157" s="32" t="s">
        <v>1712</v>
      </c>
      <c r="E157" s="32" t="s">
        <v>1720</v>
      </c>
      <c r="F157" s="32" t="s">
        <v>18</v>
      </c>
      <c r="G157" s="32" t="s">
        <v>1721</v>
      </c>
      <c r="H157" s="36" t="s">
        <v>33</v>
      </c>
    </row>
    <row r="158" spans="1:8" x14ac:dyDescent="0.35">
      <c r="A158" s="31" t="s">
        <v>1421</v>
      </c>
      <c r="B158" s="31">
        <v>8</v>
      </c>
      <c r="C158" s="31" t="s">
        <v>210</v>
      </c>
      <c r="D158" s="31" t="s">
        <v>1712</v>
      </c>
      <c r="E158" s="31" t="s">
        <v>1720</v>
      </c>
      <c r="F158" s="31" t="s">
        <v>19</v>
      </c>
      <c r="G158" s="31" t="s">
        <v>1722</v>
      </c>
      <c r="H158" s="35" t="s">
        <v>33</v>
      </c>
    </row>
    <row r="159" spans="1:8" x14ac:dyDescent="0.35">
      <c r="A159" s="32" t="s">
        <v>1421</v>
      </c>
      <c r="B159" s="32">
        <v>8</v>
      </c>
      <c r="C159" s="32" t="s">
        <v>210</v>
      </c>
      <c r="D159" s="32" t="s">
        <v>1712</v>
      </c>
      <c r="E159" s="32" t="s">
        <v>1723</v>
      </c>
      <c r="F159" s="32" t="s">
        <v>21</v>
      </c>
      <c r="G159" s="32" t="s">
        <v>1724</v>
      </c>
      <c r="H159" s="36" t="s">
        <v>33</v>
      </c>
    </row>
    <row r="160" spans="1:8" ht="23.25" x14ac:dyDescent="0.35">
      <c r="A160" s="31" t="s">
        <v>1421</v>
      </c>
      <c r="B160" s="31">
        <v>8</v>
      </c>
      <c r="C160" s="31" t="s">
        <v>210</v>
      </c>
      <c r="D160" s="31" t="s">
        <v>1712</v>
      </c>
      <c r="E160" s="31" t="s">
        <v>1725</v>
      </c>
      <c r="F160" s="31" t="s">
        <v>25</v>
      </c>
      <c r="G160" s="31" t="s">
        <v>1726</v>
      </c>
      <c r="H160" s="35" t="s">
        <v>34</v>
      </c>
    </row>
    <row r="161" spans="1:8" x14ac:dyDescent="0.35">
      <c r="A161" s="32" t="s">
        <v>1421</v>
      </c>
      <c r="B161" s="32">
        <v>8</v>
      </c>
      <c r="C161" s="32" t="s">
        <v>210</v>
      </c>
      <c r="D161" s="32" t="s">
        <v>1712</v>
      </c>
      <c r="E161" s="32" t="s">
        <v>1727</v>
      </c>
      <c r="F161" s="32" t="s">
        <v>23</v>
      </c>
      <c r="G161" s="32" t="s">
        <v>1728</v>
      </c>
      <c r="H161" s="36" t="s">
        <v>33</v>
      </c>
    </row>
    <row r="162" spans="1:8" x14ac:dyDescent="0.35">
      <c r="A162" s="31" t="s">
        <v>1421</v>
      </c>
      <c r="B162" s="31">
        <v>8</v>
      </c>
      <c r="C162" s="31" t="s">
        <v>210</v>
      </c>
      <c r="D162" s="31" t="s">
        <v>1712</v>
      </c>
      <c r="E162" s="31" t="s">
        <v>1727</v>
      </c>
      <c r="F162" s="31" t="s">
        <v>21</v>
      </c>
      <c r="G162" s="31" t="s">
        <v>1729</v>
      </c>
      <c r="H162" s="35" t="s">
        <v>33</v>
      </c>
    </row>
    <row r="163" spans="1:8" ht="23.25" x14ac:dyDescent="0.35">
      <c r="A163" s="32" t="s">
        <v>1421</v>
      </c>
      <c r="B163" s="32">
        <v>9</v>
      </c>
      <c r="C163" s="32" t="s">
        <v>249</v>
      </c>
      <c r="D163" s="32" t="s">
        <v>1730</v>
      </c>
      <c r="E163" s="32" t="s">
        <v>1731</v>
      </c>
      <c r="F163" s="32" t="s">
        <v>19</v>
      </c>
      <c r="G163" s="32" t="s">
        <v>1732</v>
      </c>
      <c r="H163" s="36" t="s">
        <v>33</v>
      </c>
    </row>
    <row r="164" spans="1:8" ht="23.25" x14ac:dyDescent="0.35">
      <c r="A164" s="31" t="s">
        <v>1421</v>
      </c>
      <c r="B164" s="31">
        <v>9</v>
      </c>
      <c r="C164" s="31" t="s">
        <v>249</v>
      </c>
      <c r="D164" s="31" t="s">
        <v>1730</v>
      </c>
      <c r="E164" s="31" t="s">
        <v>1733</v>
      </c>
      <c r="F164" s="31" t="s">
        <v>21</v>
      </c>
      <c r="G164" s="31" t="s">
        <v>1734</v>
      </c>
      <c r="H164" s="35" t="s">
        <v>33</v>
      </c>
    </row>
    <row r="165" spans="1:8" ht="23.25" x14ac:dyDescent="0.35">
      <c r="A165" s="32" t="s">
        <v>1421</v>
      </c>
      <c r="B165" s="32">
        <v>9</v>
      </c>
      <c r="C165" s="32" t="s">
        <v>249</v>
      </c>
      <c r="D165" s="32" t="s">
        <v>1730</v>
      </c>
      <c r="E165" s="32" t="s">
        <v>1733</v>
      </c>
      <c r="F165" s="32" t="s">
        <v>21</v>
      </c>
      <c r="G165" s="32" t="s">
        <v>1735</v>
      </c>
      <c r="H165" s="36" t="s">
        <v>33</v>
      </c>
    </row>
    <row r="166" spans="1:8" ht="23.25" x14ac:dyDescent="0.35">
      <c r="A166" s="31" t="s">
        <v>1421</v>
      </c>
      <c r="B166" s="31">
        <v>9</v>
      </c>
      <c r="C166" s="31" t="s">
        <v>249</v>
      </c>
      <c r="D166" s="31" t="s">
        <v>1730</v>
      </c>
      <c r="E166" s="31" t="s">
        <v>1736</v>
      </c>
      <c r="F166" s="31" t="s">
        <v>19</v>
      </c>
      <c r="G166" s="31" t="s">
        <v>1737</v>
      </c>
      <c r="H166" s="35" t="s">
        <v>33</v>
      </c>
    </row>
    <row r="167" spans="1:8" ht="23.25" x14ac:dyDescent="0.35">
      <c r="A167" s="32" t="s">
        <v>1421</v>
      </c>
      <c r="B167" s="32">
        <v>9</v>
      </c>
      <c r="C167" s="32" t="s">
        <v>249</v>
      </c>
      <c r="D167" s="32" t="s">
        <v>1730</v>
      </c>
      <c r="E167" s="32" t="s">
        <v>1736</v>
      </c>
      <c r="F167" s="32" t="s">
        <v>19</v>
      </c>
      <c r="G167" s="32" t="s">
        <v>1738</v>
      </c>
      <c r="H167" s="36" t="s">
        <v>33</v>
      </c>
    </row>
    <row r="168" spans="1:8" ht="23.25" x14ac:dyDescent="0.35">
      <c r="A168" s="31" t="s">
        <v>1421</v>
      </c>
      <c r="B168" s="31">
        <v>9</v>
      </c>
      <c r="C168" s="31" t="s">
        <v>249</v>
      </c>
      <c r="D168" s="31" t="s">
        <v>1730</v>
      </c>
      <c r="E168" s="31" t="s">
        <v>1736</v>
      </c>
      <c r="F168" s="31" t="s">
        <v>21</v>
      </c>
      <c r="G168" s="31" t="s">
        <v>1739</v>
      </c>
      <c r="H168" s="35" t="s">
        <v>33</v>
      </c>
    </row>
    <row r="169" spans="1:8" ht="23.25" x14ac:dyDescent="0.35">
      <c r="A169" s="32" t="s">
        <v>1421</v>
      </c>
      <c r="B169" s="32">
        <v>9</v>
      </c>
      <c r="C169" s="32" t="s">
        <v>249</v>
      </c>
      <c r="D169" s="32" t="s">
        <v>1730</v>
      </c>
      <c r="E169" s="32" t="s">
        <v>1740</v>
      </c>
      <c r="F169" s="32" t="s">
        <v>21</v>
      </c>
      <c r="G169" s="32" t="s">
        <v>1741</v>
      </c>
      <c r="H169" s="36" t="s">
        <v>33</v>
      </c>
    </row>
    <row r="170" spans="1:8" ht="23.25" x14ac:dyDescent="0.35">
      <c r="A170" s="31" t="s">
        <v>1421</v>
      </c>
      <c r="B170" s="31">
        <v>9</v>
      </c>
      <c r="C170" s="31" t="s">
        <v>249</v>
      </c>
      <c r="D170" s="31" t="s">
        <v>1730</v>
      </c>
      <c r="E170" s="31" t="s">
        <v>1742</v>
      </c>
      <c r="F170" s="31" t="s">
        <v>25</v>
      </c>
      <c r="G170" s="31" t="s">
        <v>1743</v>
      </c>
      <c r="H170" s="35" t="s">
        <v>34</v>
      </c>
    </row>
    <row r="171" spans="1:8" ht="23.25" x14ac:dyDescent="0.35">
      <c r="A171" s="32" t="s">
        <v>1421</v>
      </c>
      <c r="B171" s="32">
        <v>9</v>
      </c>
      <c r="C171" s="32" t="s">
        <v>249</v>
      </c>
      <c r="D171" s="32" t="s">
        <v>1730</v>
      </c>
      <c r="E171" s="32" t="s">
        <v>1744</v>
      </c>
      <c r="F171" s="32" t="s">
        <v>21</v>
      </c>
      <c r="G171" s="32" t="s">
        <v>1745</v>
      </c>
      <c r="H171" s="36" t="s">
        <v>33</v>
      </c>
    </row>
    <row r="172" spans="1:8" ht="23.25" x14ac:dyDescent="0.35">
      <c r="A172" s="31" t="s">
        <v>1421</v>
      </c>
      <c r="B172" s="31">
        <v>9</v>
      </c>
      <c r="C172" s="31" t="s">
        <v>249</v>
      </c>
      <c r="D172" s="31" t="s">
        <v>1730</v>
      </c>
      <c r="E172" s="31" t="s">
        <v>1746</v>
      </c>
      <c r="F172" s="31" t="s">
        <v>25</v>
      </c>
      <c r="G172" s="31" t="s">
        <v>1747</v>
      </c>
      <c r="H172" s="35" t="s">
        <v>33</v>
      </c>
    </row>
    <row r="173" spans="1:8" ht="23.25" x14ac:dyDescent="0.35">
      <c r="A173" s="32" t="s">
        <v>1421</v>
      </c>
      <c r="B173" s="32">
        <v>9</v>
      </c>
      <c r="C173" s="32" t="s">
        <v>249</v>
      </c>
      <c r="D173" s="32" t="s">
        <v>1730</v>
      </c>
      <c r="E173" s="32" t="s">
        <v>1746</v>
      </c>
      <c r="F173" s="32" t="s">
        <v>25</v>
      </c>
      <c r="G173" s="32" t="s">
        <v>1612</v>
      </c>
      <c r="H173" s="36" t="s">
        <v>34</v>
      </c>
    </row>
    <row r="174" spans="1:8" ht="23.25" x14ac:dyDescent="0.35">
      <c r="A174" s="31" t="s">
        <v>1421</v>
      </c>
      <c r="B174" s="31">
        <v>9</v>
      </c>
      <c r="C174" s="31" t="s">
        <v>249</v>
      </c>
      <c r="D174" s="31" t="s">
        <v>1525</v>
      </c>
      <c r="E174" s="31" t="s">
        <v>1748</v>
      </c>
      <c r="F174" s="31" t="s">
        <v>19</v>
      </c>
      <c r="G174" s="31" t="s">
        <v>1749</v>
      </c>
      <c r="H174" s="35" t="s">
        <v>33</v>
      </c>
    </row>
    <row r="175" spans="1:8" ht="23.25" x14ac:dyDescent="0.35">
      <c r="A175" s="32" t="s">
        <v>1421</v>
      </c>
      <c r="B175" s="32">
        <v>9</v>
      </c>
      <c r="C175" s="32" t="s">
        <v>249</v>
      </c>
      <c r="D175" s="32" t="s">
        <v>1196</v>
      </c>
      <c r="E175" s="32" t="s">
        <v>1750</v>
      </c>
      <c r="F175" s="32" t="s">
        <v>21</v>
      </c>
      <c r="G175" s="32" t="s">
        <v>1751</v>
      </c>
      <c r="H175" s="36" t="s">
        <v>33</v>
      </c>
    </row>
    <row r="176" spans="1:8" ht="23.25" x14ac:dyDescent="0.35">
      <c r="A176" s="31" t="s">
        <v>1421</v>
      </c>
      <c r="B176" s="31">
        <v>9</v>
      </c>
      <c r="C176" s="31" t="s">
        <v>249</v>
      </c>
      <c r="D176" s="31" t="s">
        <v>1196</v>
      </c>
      <c r="E176" s="31" t="s">
        <v>1750</v>
      </c>
      <c r="F176" s="31" t="s">
        <v>25</v>
      </c>
      <c r="G176" s="31" t="s">
        <v>1752</v>
      </c>
      <c r="H176" s="35" t="s">
        <v>34</v>
      </c>
    </row>
    <row r="177" spans="1:8" ht="23.25" x14ac:dyDescent="0.35">
      <c r="A177" s="32" t="s">
        <v>1421</v>
      </c>
      <c r="B177" s="32">
        <v>9</v>
      </c>
      <c r="C177" s="32" t="s">
        <v>249</v>
      </c>
      <c r="D177" s="32" t="s">
        <v>1196</v>
      </c>
      <c r="E177" s="32" t="s">
        <v>1753</v>
      </c>
      <c r="F177" s="32" t="s">
        <v>21</v>
      </c>
      <c r="G177" s="32" t="s">
        <v>1754</v>
      </c>
      <c r="H177" s="36" t="s">
        <v>60</v>
      </c>
    </row>
    <row r="178" spans="1:8" ht="23.25" x14ac:dyDescent="0.35">
      <c r="A178" s="31" t="s">
        <v>1421</v>
      </c>
      <c r="B178" s="31">
        <v>9</v>
      </c>
      <c r="C178" s="31" t="s">
        <v>249</v>
      </c>
      <c r="D178" s="31" t="s">
        <v>1196</v>
      </c>
      <c r="E178" s="31" t="s">
        <v>1755</v>
      </c>
      <c r="F178" s="31" t="s">
        <v>19</v>
      </c>
      <c r="G178" s="31" t="s">
        <v>1756</v>
      </c>
      <c r="H178" s="35" t="s">
        <v>33</v>
      </c>
    </row>
    <row r="179" spans="1:8" ht="23.25" x14ac:dyDescent="0.35">
      <c r="A179" s="32" t="s">
        <v>1421</v>
      </c>
      <c r="B179" s="32">
        <v>9</v>
      </c>
      <c r="C179" s="32" t="s">
        <v>249</v>
      </c>
      <c r="D179" s="32" t="s">
        <v>1196</v>
      </c>
      <c r="E179" s="32" t="s">
        <v>1757</v>
      </c>
      <c r="F179" s="32" t="s">
        <v>25</v>
      </c>
      <c r="G179" s="32" t="s">
        <v>1485</v>
      </c>
      <c r="H179" s="36" t="s">
        <v>33</v>
      </c>
    </row>
    <row r="180" spans="1:8" ht="23.25" x14ac:dyDescent="0.35">
      <c r="A180" s="31" t="s">
        <v>1421</v>
      </c>
      <c r="B180" s="31">
        <v>9</v>
      </c>
      <c r="C180" s="31" t="s">
        <v>249</v>
      </c>
      <c r="D180" s="31" t="s">
        <v>1196</v>
      </c>
      <c r="E180" s="31" t="s">
        <v>1758</v>
      </c>
      <c r="F180" s="31" t="s">
        <v>18</v>
      </c>
      <c r="G180" s="31" t="s">
        <v>1759</v>
      </c>
      <c r="H180" s="35" t="s">
        <v>33</v>
      </c>
    </row>
    <row r="181" spans="1:8" ht="23.25" x14ac:dyDescent="0.35">
      <c r="A181" s="32" t="s">
        <v>1421</v>
      </c>
      <c r="B181" s="32">
        <v>9</v>
      </c>
      <c r="C181" s="32" t="s">
        <v>249</v>
      </c>
      <c r="D181" s="32" t="s">
        <v>1196</v>
      </c>
      <c r="E181" s="32" t="s">
        <v>1760</v>
      </c>
      <c r="F181" s="32" t="s">
        <v>25</v>
      </c>
      <c r="G181" s="32" t="s">
        <v>1761</v>
      </c>
      <c r="H181" s="36" t="s">
        <v>33</v>
      </c>
    </row>
    <row r="182" spans="1:8" ht="23.25" x14ac:dyDescent="0.35">
      <c r="A182" s="31" t="s">
        <v>1421</v>
      </c>
      <c r="B182" s="31">
        <v>9</v>
      </c>
      <c r="C182" s="31" t="s">
        <v>249</v>
      </c>
      <c r="D182" s="31" t="s">
        <v>1202</v>
      </c>
      <c r="E182" s="31" t="s">
        <v>1762</v>
      </c>
      <c r="F182" s="31" t="s">
        <v>25</v>
      </c>
      <c r="G182" s="31" t="s">
        <v>1763</v>
      </c>
      <c r="H182" s="35" t="s">
        <v>34</v>
      </c>
    </row>
    <row r="183" spans="1:8" ht="23.25" x14ac:dyDescent="0.35">
      <c r="A183" s="32" t="s">
        <v>1421</v>
      </c>
      <c r="B183" s="32">
        <v>9</v>
      </c>
      <c r="C183" s="32" t="s">
        <v>249</v>
      </c>
      <c r="D183" s="32" t="s">
        <v>1202</v>
      </c>
      <c r="E183" s="32" t="s">
        <v>1764</v>
      </c>
      <c r="F183" s="32" t="s">
        <v>25</v>
      </c>
      <c r="G183" s="32" t="s">
        <v>1765</v>
      </c>
      <c r="H183" s="36" t="s">
        <v>34</v>
      </c>
    </row>
    <row r="184" spans="1:8" ht="23.25" x14ac:dyDescent="0.35">
      <c r="A184" s="31" t="s">
        <v>1421</v>
      </c>
      <c r="B184" s="31">
        <v>9</v>
      </c>
      <c r="C184" s="31" t="s">
        <v>249</v>
      </c>
      <c r="D184" s="31" t="s">
        <v>1202</v>
      </c>
      <c r="E184" s="31" t="s">
        <v>1766</v>
      </c>
      <c r="F184" s="31" t="s">
        <v>25</v>
      </c>
      <c r="G184" s="31" t="s">
        <v>1761</v>
      </c>
      <c r="H184" s="35" t="s">
        <v>33</v>
      </c>
    </row>
    <row r="185" spans="1:8" ht="23.25" x14ac:dyDescent="0.35">
      <c r="A185" s="32" t="s">
        <v>1421</v>
      </c>
      <c r="B185" s="32">
        <v>9</v>
      </c>
      <c r="C185" s="32" t="s">
        <v>249</v>
      </c>
      <c r="D185" s="32" t="s">
        <v>1205</v>
      </c>
      <c r="E185" s="32" t="s">
        <v>1767</v>
      </c>
      <c r="F185" s="32" t="s">
        <v>25</v>
      </c>
      <c r="G185" s="32" t="s">
        <v>1768</v>
      </c>
      <c r="H185" s="36" t="s">
        <v>34</v>
      </c>
    </row>
    <row r="186" spans="1:8" ht="23.25" x14ac:dyDescent="0.35">
      <c r="A186" s="31" t="s">
        <v>1421</v>
      </c>
      <c r="B186" s="31">
        <v>9</v>
      </c>
      <c r="C186" s="31" t="s">
        <v>249</v>
      </c>
      <c r="D186" s="31" t="s">
        <v>1205</v>
      </c>
      <c r="E186" s="31" t="s">
        <v>1769</v>
      </c>
      <c r="F186" s="31" t="s">
        <v>19</v>
      </c>
      <c r="G186" s="31" t="s">
        <v>1770</v>
      </c>
      <c r="H186" s="35" t="s">
        <v>33</v>
      </c>
    </row>
    <row r="187" spans="1:8" ht="23.25" x14ac:dyDescent="0.35">
      <c r="A187" s="32" t="s">
        <v>1421</v>
      </c>
      <c r="B187" s="32">
        <v>9</v>
      </c>
      <c r="C187" s="32" t="s">
        <v>249</v>
      </c>
      <c r="D187" s="32" t="s">
        <v>1205</v>
      </c>
      <c r="E187" s="32" t="s">
        <v>1771</v>
      </c>
      <c r="F187" s="32" t="s">
        <v>18</v>
      </c>
      <c r="G187" s="32" t="s">
        <v>1772</v>
      </c>
      <c r="H187" s="36" t="s">
        <v>33</v>
      </c>
    </row>
    <row r="188" spans="1:8" ht="23.25" x14ac:dyDescent="0.35">
      <c r="A188" s="31" t="s">
        <v>1421</v>
      </c>
      <c r="B188" s="31">
        <v>9</v>
      </c>
      <c r="C188" s="31" t="s">
        <v>249</v>
      </c>
      <c r="D188" s="31" t="s">
        <v>1205</v>
      </c>
      <c r="E188" s="31" t="s">
        <v>1773</v>
      </c>
      <c r="F188" s="31" t="s">
        <v>25</v>
      </c>
      <c r="G188" s="31" t="s">
        <v>1774</v>
      </c>
      <c r="H188" s="35" t="s">
        <v>33</v>
      </c>
    </row>
    <row r="189" spans="1:8" ht="23.25" x14ac:dyDescent="0.35">
      <c r="A189" s="32" t="s">
        <v>1421</v>
      </c>
      <c r="B189" s="32">
        <v>9</v>
      </c>
      <c r="C189" s="32" t="s">
        <v>249</v>
      </c>
      <c r="D189" s="32" t="s">
        <v>1205</v>
      </c>
      <c r="E189" s="32" t="s">
        <v>1775</v>
      </c>
      <c r="F189" s="32" t="s">
        <v>25</v>
      </c>
      <c r="G189" s="32" t="s">
        <v>1776</v>
      </c>
      <c r="H189" s="36" t="s">
        <v>33</v>
      </c>
    </row>
    <row r="190" spans="1:8" ht="23.25" x14ac:dyDescent="0.35">
      <c r="A190" s="31" t="s">
        <v>1421</v>
      </c>
      <c r="B190" s="31">
        <v>9</v>
      </c>
      <c r="C190" s="31" t="s">
        <v>249</v>
      </c>
      <c r="D190" s="31" t="s">
        <v>1205</v>
      </c>
      <c r="E190" s="31" t="s">
        <v>1775</v>
      </c>
      <c r="F190" s="31" t="s">
        <v>25</v>
      </c>
      <c r="G190" s="31" t="s">
        <v>1777</v>
      </c>
      <c r="H190" s="35" t="s">
        <v>33</v>
      </c>
    </row>
    <row r="191" spans="1:8" x14ac:dyDescent="0.35">
      <c r="A191" s="32" t="s">
        <v>1421</v>
      </c>
      <c r="B191" s="32">
        <v>10</v>
      </c>
      <c r="C191" s="32" t="s">
        <v>283</v>
      </c>
      <c r="D191" s="32" t="s">
        <v>1208</v>
      </c>
      <c r="E191" s="32" t="s">
        <v>1778</v>
      </c>
      <c r="F191" s="32" t="s">
        <v>23</v>
      </c>
      <c r="G191" s="32" t="s">
        <v>1779</v>
      </c>
      <c r="H191" s="36" t="s">
        <v>60</v>
      </c>
    </row>
    <row r="192" spans="1:8" x14ac:dyDescent="0.35">
      <c r="A192" s="31" t="s">
        <v>1421</v>
      </c>
      <c r="B192" s="31">
        <v>10</v>
      </c>
      <c r="C192" s="31" t="s">
        <v>283</v>
      </c>
      <c r="D192" s="31" t="s">
        <v>1780</v>
      </c>
      <c r="E192" s="31" t="s">
        <v>1781</v>
      </c>
      <c r="F192" s="31" t="s">
        <v>25</v>
      </c>
      <c r="G192" s="31" t="s">
        <v>1782</v>
      </c>
      <c r="H192" s="35" t="s">
        <v>34</v>
      </c>
    </row>
    <row r="193" spans="1:8" x14ac:dyDescent="0.35">
      <c r="A193" s="32" t="s">
        <v>1421</v>
      </c>
      <c r="B193" s="32">
        <v>10</v>
      </c>
      <c r="C193" s="32" t="s">
        <v>283</v>
      </c>
      <c r="D193" s="32" t="s">
        <v>1780</v>
      </c>
      <c r="E193" s="32" t="s">
        <v>1783</v>
      </c>
      <c r="F193" s="32" t="s">
        <v>21</v>
      </c>
      <c r="G193" s="32" t="s">
        <v>1784</v>
      </c>
      <c r="H193" s="36" t="s">
        <v>33</v>
      </c>
    </row>
    <row r="194" spans="1:8" x14ac:dyDescent="0.35">
      <c r="A194" s="31" t="s">
        <v>1421</v>
      </c>
      <c r="B194" s="31">
        <v>10</v>
      </c>
      <c r="C194" s="31" t="s">
        <v>283</v>
      </c>
      <c r="D194" s="31" t="s">
        <v>1785</v>
      </c>
      <c r="E194" s="31" t="s">
        <v>1786</v>
      </c>
      <c r="F194" s="31" t="s">
        <v>21</v>
      </c>
      <c r="G194" s="31" t="s">
        <v>1787</v>
      </c>
      <c r="H194" s="35" t="s">
        <v>34</v>
      </c>
    </row>
    <row r="195" spans="1:8" x14ac:dyDescent="0.35">
      <c r="A195" s="32" t="s">
        <v>1421</v>
      </c>
      <c r="B195" s="32">
        <v>10</v>
      </c>
      <c r="C195" s="32" t="s">
        <v>283</v>
      </c>
      <c r="D195" s="32" t="s">
        <v>1785</v>
      </c>
      <c r="E195" s="32" t="s">
        <v>1788</v>
      </c>
      <c r="F195" s="32" t="s">
        <v>18</v>
      </c>
      <c r="G195" s="32" t="s">
        <v>1789</v>
      </c>
      <c r="H195" s="36" t="s">
        <v>33</v>
      </c>
    </row>
    <row r="196" spans="1:8" ht="23.25" x14ac:dyDescent="0.35">
      <c r="A196" s="31" t="s">
        <v>1421</v>
      </c>
      <c r="B196" s="31">
        <v>11</v>
      </c>
      <c r="C196" s="31" t="s">
        <v>304</v>
      </c>
      <c r="D196" s="31" t="s">
        <v>1790</v>
      </c>
      <c r="E196" s="31" t="s">
        <v>1791</v>
      </c>
      <c r="F196" s="31" t="s">
        <v>21</v>
      </c>
      <c r="G196" s="31" t="s">
        <v>1792</v>
      </c>
      <c r="H196" s="35" t="s">
        <v>33</v>
      </c>
    </row>
    <row r="197" spans="1:8" ht="23.25" x14ac:dyDescent="0.35">
      <c r="A197" s="32" t="s">
        <v>1421</v>
      </c>
      <c r="B197" s="32">
        <v>11</v>
      </c>
      <c r="C197" s="32" t="s">
        <v>304</v>
      </c>
      <c r="D197" s="32" t="s">
        <v>1790</v>
      </c>
      <c r="E197" s="32" t="s">
        <v>1793</v>
      </c>
      <c r="F197" s="32" t="s">
        <v>21</v>
      </c>
      <c r="G197" s="32" t="s">
        <v>1794</v>
      </c>
      <c r="H197" s="36" t="s">
        <v>33</v>
      </c>
    </row>
    <row r="198" spans="1:8" ht="23.25" x14ac:dyDescent="0.35">
      <c r="A198" s="31" t="s">
        <v>1421</v>
      </c>
      <c r="B198" s="31">
        <v>11</v>
      </c>
      <c r="C198" s="31" t="s">
        <v>304</v>
      </c>
      <c r="D198" s="31" t="s">
        <v>1790</v>
      </c>
      <c r="E198" s="31" t="s">
        <v>1795</v>
      </c>
      <c r="F198" s="31" t="s">
        <v>23</v>
      </c>
      <c r="G198" s="31" t="s">
        <v>1796</v>
      </c>
      <c r="H198" s="35" t="s">
        <v>33</v>
      </c>
    </row>
    <row r="199" spans="1:8" ht="23.25" x14ac:dyDescent="0.35">
      <c r="A199" s="32" t="s">
        <v>1421</v>
      </c>
      <c r="B199" s="32">
        <v>11</v>
      </c>
      <c r="C199" s="32" t="s">
        <v>304</v>
      </c>
      <c r="D199" s="32" t="s">
        <v>1790</v>
      </c>
      <c r="E199" s="32" t="s">
        <v>1797</v>
      </c>
      <c r="F199" s="32" t="s">
        <v>21</v>
      </c>
      <c r="G199" s="32" t="s">
        <v>1798</v>
      </c>
      <c r="H199" s="36" t="s">
        <v>33</v>
      </c>
    </row>
    <row r="200" spans="1:8" ht="23.25" x14ac:dyDescent="0.35">
      <c r="A200" s="31" t="s">
        <v>1421</v>
      </c>
      <c r="B200" s="31">
        <v>11</v>
      </c>
      <c r="C200" s="31" t="s">
        <v>304</v>
      </c>
      <c r="D200" s="31" t="s">
        <v>1790</v>
      </c>
      <c r="E200" s="31" t="s">
        <v>1799</v>
      </c>
      <c r="F200" s="31" t="s">
        <v>18</v>
      </c>
      <c r="G200" s="31" t="s">
        <v>1800</v>
      </c>
      <c r="H200" s="35" t="s">
        <v>33</v>
      </c>
    </row>
    <row r="201" spans="1:8" ht="23.25" x14ac:dyDescent="0.35">
      <c r="A201" s="32" t="s">
        <v>1421</v>
      </c>
      <c r="B201" s="32">
        <v>11</v>
      </c>
      <c r="C201" s="32" t="s">
        <v>304</v>
      </c>
      <c r="D201" s="32" t="s">
        <v>1790</v>
      </c>
      <c r="E201" s="32" t="s">
        <v>1801</v>
      </c>
      <c r="F201" s="32" t="s">
        <v>21</v>
      </c>
      <c r="G201" s="32" t="s">
        <v>1798</v>
      </c>
      <c r="H201" s="36" t="s">
        <v>33</v>
      </c>
    </row>
    <row r="202" spans="1:8" ht="23.25" x14ac:dyDescent="0.35">
      <c r="A202" s="31" t="s">
        <v>1421</v>
      </c>
      <c r="B202" s="31">
        <v>11</v>
      </c>
      <c r="C202" s="31" t="s">
        <v>304</v>
      </c>
      <c r="D202" s="31" t="s">
        <v>1790</v>
      </c>
      <c r="E202" s="31" t="s">
        <v>1802</v>
      </c>
      <c r="F202" s="31" t="s">
        <v>21</v>
      </c>
      <c r="G202" s="31" t="s">
        <v>1803</v>
      </c>
      <c r="H202" s="35" t="s">
        <v>33</v>
      </c>
    </row>
    <row r="203" spans="1:8" ht="23.25" x14ac:dyDescent="0.35">
      <c r="A203" s="32" t="s">
        <v>1421</v>
      </c>
      <c r="B203" s="32">
        <v>11</v>
      </c>
      <c r="C203" s="32" t="s">
        <v>304</v>
      </c>
      <c r="D203" s="32" t="s">
        <v>1804</v>
      </c>
      <c r="E203" s="32" t="s">
        <v>1805</v>
      </c>
      <c r="F203" s="32" t="s">
        <v>25</v>
      </c>
      <c r="G203" s="32" t="s">
        <v>1806</v>
      </c>
      <c r="H203" s="36" t="s">
        <v>34</v>
      </c>
    </row>
    <row r="204" spans="1:8" ht="23.25" x14ac:dyDescent="0.35">
      <c r="A204" s="31" t="s">
        <v>1421</v>
      </c>
      <c r="B204" s="31">
        <v>11</v>
      </c>
      <c r="C204" s="31" t="s">
        <v>304</v>
      </c>
      <c r="D204" s="31" t="s">
        <v>1804</v>
      </c>
      <c r="E204" s="31" t="s">
        <v>1807</v>
      </c>
      <c r="F204" s="31" t="s">
        <v>18</v>
      </c>
      <c r="G204" s="31" t="s">
        <v>1808</v>
      </c>
      <c r="H204" s="35" t="s">
        <v>33</v>
      </c>
    </row>
    <row r="205" spans="1:8" ht="23.25" x14ac:dyDescent="0.35">
      <c r="A205" s="32" t="s">
        <v>1421</v>
      </c>
      <c r="B205" s="32">
        <v>11</v>
      </c>
      <c r="C205" s="32" t="s">
        <v>304</v>
      </c>
      <c r="D205" s="32" t="s">
        <v>1804</v>
      </c>
      <c r="E205" s="32" t="s">
        <v>1809</v>
      </c>
      <c r="F205" s="32" t="s">
        <v>21</v>
      </c>
      <c r="G205" s="32" t="s">
        <v>1810</v>
      </c>
      <c r="H205" s="36" t="s">
        <v>60</v>
      </c>
    </row>
    <row r="206" spans="1:8" ht="23.25" x14ac:dyDescent="0.35">
      <c r="A206" s="31" t="s">
        <v>1421</v>
      </c>
      <c r="B206" s="31">
        <v>11</v>
      </c>
      <c r="C206" s="31" t="s">
        <v>304</v>
      </c>
      <c r="D206" s="31" t="s">
        <v>1804</v>
      </c>
      <c r="E206" s="31" t="s">
        <v>1811</v>
      </c>
      <c r="F206" s="31" t="s">
        <v>25</v>
      </c>
      <c r="G206" s="31" t="s">
        <v>1812</v>
      </c>
      <c r="H206" s="35" t="s">
        <v>34</v>
      </c>
    </row>
    <row r="207" spans="1:8" ht="23.25" x14ac:dyDescent="0.35">
      <c r="A207" s="32" t="s">
        <v>1421</v>
      </c>
      <c r="B207" s="32">
        <v>11</v>
      </c>
      <c r="C207" s="32" t="s">
        <v>304</v>
      </c>
      <c r="D207" s="32" t="s">
        <v>1804</v>
      </c>
      <c r="E207" s="32" t="s">
        <v>1813</v>
      </c>
      <c r="F207" s="32" t="s">
        <v>21</v>
      </c>
      <c r="G207" s="32" t="s">
        <v>1814</v>
      </c>
      <c r="H207" s="36" t="s">
        <v>33</v>
      </c>
    </row>
    <row r="208" spans="1:8" ht="23.25" x14ac:dyDescent="0.35">
      <c r="A208" s="31" t="s">
        <v>1421</v>
      </c>
      <c r="B208" s="31">
        <v>11</v>
      </c>
      <c r="C208" s="31" t="s">
        <v>304</v>
      </c>
      <c r="D208" s="31" t="s">
        <v>1804</v>
      </c>
      <c r="E208" s="31" t="s">
        <v>1815</v>
      </c>
      <c r="F208" s="31" t="s">
        <v>21</v>
      </c>
      <c r="G208" s="31" t="s">
        <v>1816</v>
      </c>
      <c r="H208" s="35" t="s">
        <v>33</v>
      </c>
    </row>
    <row r="209" spans="1:8" ht="23.25" x14ac:dyDescent="0.35">
      <c r="A209" s="32" t="s">
        <v>1421</v>
      </c>
      <c r="B209" s="32">
        <v>11</v>
      </c>
      <c r="C209" s="32" t="s">
        <v>304</v>
      </c>
      <c r="D209" s="32" t="s">
        <v>1804</v>
      </c>
      <c r="E209" s="32" t="s">
        <v>1817</v>
      </c>
      <c r="F209" s="32" t="s">
        <v>25</v>
      </c>
      <c r="G209" s="32" t="s">
        <v>1818</v>
      </c>
      <c r="H209" s="36" t="s">
        <v>33</v>
      </c>
    </row>
    <row r="210" spans="1:8" ht="23.25" x14ac:dyDescent="0.35">
      <c r="A210" s="31" t="s">
        <v>1421</v>
      </c>
      <c r="B210" s="31">
        <v>11</v>
      </c>
      <c r="C210" s="31" t="s">
        <v>304</v>
      </c>
      <c r="D210" s="31" t="s">
        <v>1819</v>
      </c>
      <c r="E210" s="31" t="s">
        <v>1820</v>
      </c>
      <c r="F210" s="31" t="s">
        <v>21</v>
      </c>
      <c r="G210" s="31" t="s">
        <v>1821</v>
      </c>
      <c r="H210" s="35" t="s">
        <v>33</v>
      </c>
    </row>
    <row r="211" spans="1:8" ht="23.25" x14ac:dyDescent="0.35">
      <c r="A211" s="32" t="s">
        <v>1421</v>
      </c>
      <c r="B211" s="32">
        <v>11</v>
      </c>
      <c r="C211" s="32" t="s">
        <v>304</v>
      </c>
      <c r="D211" s="32" t="s">
        <v>1819</v>
      </c>
      <c r="E211" s="32" t="s">
        <v>1822</v>
      </c>
      <c r="F211" s="32" t="s">
        <v>20</v>
      </c>
      <c r="G211" s="32" t="s">
        <v>1823</v>
      </c>
      <c r="H211" s="36" t="s">
        <v>60</v>
      </c>
    </row>
    <row r="212" spans="1:8" ht="23.25" x14ac:dyDescent="0.35">
      <c r="A212" s="31" t="s">
        <v>1421</v>
      </c>
      <c r="B212" s="31">
        <v>11</v>
      </c>
      <c r="C212" s="31" t="s">
        <v>304</v>
      </c>
      <c r="D212" s="31" t="s">
        <v>1819</v>
      </c>
      <c r="E212" s="31" t="s">
        <v>1824</v>
      </c>
      <c r="F212" s="31" t="s">
        <v>25</v>
      </c>
      <c r="G212" s="31" t="s">
        <v>1825</v>
      </c>
      <c r="H212" s="35" t="s">
        <v>33</v>
      </c>
    </row>
    <row r="213" spans="1:8" ht="23.25" x14ac:dyDescent="0.35">
      <c r="A213" s="32" t="s">
        <v>1421</v>
      </c>
      <c r="B213" s="32">
        <v>11</v>
      </c>
      <c r="C213" s="32" t="s">
        <v>304</v>
      </c>
      <c r="D213" s="32" t="s">
        <v>1819</v>
      </c>
      <c r="E213" s="32" t="s">
        <v>1824</v>
      </c>
      <c r="F213" s="32" t="s">
        <v>25</v>
      </c>
      <c r="G213" s="32" t="s">
        <v>1826</v>
      </c>
      <c r="H213" s="36" t="s">
        <v>33</v>
      </c>
    </row>
    <row r="214" spans="1:8" ht="23.25" x14ac:dyDescent="0.35">
      <c r="A214" s="31" t="s">
        <v>1421</v>
      </c>
      <c r="B214" s="31">
        <v>11</v>
      </c>
      <c r="C214" s="31" t="s">
        <v>304</v>
      </c>
      <c r="D214" s="31" t="s">
        <v>1819</v>
      </c>
      <c r="E214" s="31" t="s">
        <v>1827</v>
      </c>
      <c r="F214" s="31" t="s">
        <v>21</v>
      </c>
      <c r="G214" s="31" t="s">
        <v>1814</v>
      </c>
      <c r="H214" s="35" t="s">
        <v>33</v>
      </c>
    </row>
    <row r="215" spans="1:8" ht="23.25" x14ac:dyDescent="0.35">
      <c r="A215" s="32" t="s">
        <v>1421</v>
      </c>
      <c r="B215" s="32">
        <v>11</v>
      </c>
      <c r="C215" s="32" t="s">
        <v>304</v>
      </c>
      <c r="D215" s="32" t="s">
        <v>1819</v>
      </c>
      <c r="E215" s="32" t="s">
        <v>1828</v>
      </c>
      <c r="F215" s="32" t="s">
        <v>25</v>
      </c>
      <c r="G215" s="32" t="s">
        <v>1829</v>
      </c>
      <c r="H215" s="36" t="s">
        <v>33</v>
      </c>
    </row>
    <row r="216" spans="1:8" ht="23.25" x14ac:dyDescent="0.35">
      <c r="A216" s="31" t="s">
        <v>1421</v>
      </c>
      <c r="B216" s="31">
        <v>12</v>
      </c>
      <c r="C216" s="31" t="s">
        <v>313</v>
      </c>
      <c r="D216" s="31" t="s">
        <v>1830</v>
      </c>
      <c r="E216" s="31" t="s">
        <v>1831</v>
      </c>
      <c r="F216" s="31" t="s">
        <v>25</v>
      </c>
      <c r="G216" s="31" t="s">
        <v>1832</v>
      </c>
      <c r="H216" s="35" t="s">
        <v>34</v>
      </c>
    </row>
    <row r="217" spans="1:8" ht="23.25" x14ac:dyDescent="0.35">
      <c r="A217" s="32" t="s">
        <v>1421</v>
      </c>
      <c r="B217" s="32">
        <v>12</v>
      </c>
      <c r="C217" s="32" t="s">
        <v>313</v>
      </c>
      <c r="D217" s="32" t="s">
        <v>1830</v>
      </c>
      <c r="E217" s="32" t="s">
        <v>1833</v>
      </c>
      <c r="F217" s="32" t="s">
        <v>25</v>
      </c>
      <c r="G217" s="32" t="s">
        <v>1834</v>
      </c>
      <c r="H217" s="36" t="s">
        <v>33</v>
      </c>
    </row>
    <row r="218" spans="1:8" ht="23.25" x14ac:dyDescent="0.35">
      <c r="A218" s="31" t="s">
        <v>1421</v>
      </c>
      <c r="B218" s="31">
        <v>12</v>
      </c>
      <c r="C218" s="31" t="s">
        <v>313</v>
      </c>
      <c r="D218" s="31" t="s">
        <v>1830</v>
      </c>
      <c r="E218" s="31" t="s">
        <v>1835</v>
      </c>
      <c r="F218" s="31" t="s">
        <v>21</v>
      </c>
      <c r="G218" s="31" t="s">
        <v>1836</v>
      </c>
      <c r="H218" s="35" t="s">
        <v>33</v>
      </c>
    </row>
    <row r="219" spans="1:8" ht="23.25" x14ac:dyDescent="0.35">
      <c r="A219" s="32" t="s">
        <v>1421</v>
      </c>
      <c r="B219" s="32">
        <v>12</v>
      </c>
      <c r="C219" s="32" t="s">
        <v>313</v>
      </c>
      <c r="D219" s="32" t="s">
        <v>1830</v>
      </c>
      <c r="E219" s="32" t="s">
        <v>1835</v>
      </c>
      <c r="F219" s="32" t="s">
        <v>21</v>
      </c>
      <c r="G219" s="32" t="s">
        <v>1837</v>
      </c>
      <c r="H219" s="36" t="s">
        <v>33</v>
      </c>
    </row>
    <row r="220" spans="1:8" ht="23.25" x14ac:dyDescent="0.35">
      <c r="A220" s="31" t="s">
        <v>1421</v>
      </c>
      <c r="B220" s="31">
        <v>12</v>
      </c>
      <c r="C220" s="31" t="s">
        <v>313</v>
      </c>
      <c r="D220" s="31" t="s">
        <v>1830</v>
      </c>
      <c r="E220" s="31" t="s">
        <v>1838</v>
      </c>
      <c r="F220" s="31" t="s">
        <v>21</v>
      </c>
      <c r="G220" s="31" t="s">
        <v>1839</v>
      </c>
      <c r="H220" s="35" t="s">
        <v>33</v>
      </c>
    </row>
    <row r="221" spans="1:8" ht="23.25" x14ac:dyDescent="0.35">
      <c r="A221" s="32" t="s">
        <v>1421</v>
      </c>
      <c r="B221" s="32">
        <v>12</v>
      </c>
      <c r="C221" s="32" t="s">
        <v>313</v>
      </c>
      <c r="D221" s="32" t="s">
        <v>1830</v>
      </c>
      <c r="E221" s="32" t="s">
        <v>1840</v>
      </c>
      <c r="F221" s="32" t="s">
        <v>25</v>
      </c>
      <c r="G221" s="32" t="s">
        <v>1841</v>
      </c>
      <c r="H221" s="36" t="s">
        <v>33</v>
      </c>
    </row>
    <row r="222" spans="1:8" ht="23.25" x14ac:dyDescent="0.35">
      <c r="A222" s="31" t="s">
        <v>1421</v>
      </c>
      <c r="B222" s="31">
        <v>12</v>
      </c>
      <c r="C222" s="31" t="s">
        <v>313</v>
      </c>
      <c r="D222" s="31" t="s">
        <v>1830</v>
      </c>
      <c r="E222" s="31" t="s">
        <v>1842</v>
      </c>
      <c r="F222" s="31" t="s">
        <v>21</v>
      </c>
      <c r="G222" s="31" t="s">
        <v>1843</v>
      </c>
      <c r="H222" s="35" t="s">
        <v>33</v>
      </c>
    </row>
    <row r="223" spans="1:8" ht="23.25" x14ac:dyDescent="0.35">
      <c r="A223" s="32" t="s">
        <v>1421</v>
      </c>
      <c r="B223" s="32">
        <v>12</v>
      </c>
      <c r="C223" s="32" t="s">
        <v>313</v>
      </c>
      <c r="D223" s="32" t="s">
        <v>1844</v>
      </c>
      <c r="E223" s="32" t="s">
        <v>1845</v>
      </c>
      <c r="F223" s="32" t="s">
        <v>21</v>
      </c>
      <c r="G223" s="32" t="s">
        <v>1846</v>
      </c>
      <c r="H223" s="36" t="s">
        <v>33</v>
      </c>
    </row>
    <row r="224" spans="1:8" ht="23.25" x14ac:dyDescent="0.35">
      <c r="A224" s="31" t="s">
        <v>1421</v>
      </c>
      <c r="B224" s="31">
        <v>12</v>
      </c>
      <c r="C224" s="31" t="s">
        <v>313</v>
      </c>
      <c r="D224" s="31" t="s">
        <v>1844</v>
      </c>
      <c r="E224" s="31" t="s">
        <v>1847</v>
      </c>
      <c r="F224" s="31" t="s">
        <v>25</v>
      </c>
      <c r="G224" s="31" t="s">
        <v>1848</v>
      </c>
      <c r="H224" s="35" t="s">
        <v>34</v>
      </c>
    </row>
    <row r="225" spans="1:8" ht="23.25" x14ac:dyDescent="0.35">
      <c r="A225" s="32" t="s">
        <v>1421</v>
      </c>
      <c r="B225" s="32">
        <v>12</v>
      </c>
      <c r="C225" s="32" t="s">
        <v>313</v>
      </c>
      <c r="D225" s="32" t="s">
        <v>1844</v>
      </c>
      <c r="E225" s="32" t="s">
        <v>1849</v>
      </c>
      <c r="F225" s="32" t="s">
        <v>21</v>
      </c>
      <c r="G225" s="32" t="s">
        <v>1850</v>
      </c>
      <c r="H225" s="36" t="s">
        <v>33</v>
      </c>
    </row>
    <row r="226" spans="1:8" ht="23.25" x14ac:dyDescent="0.35">
      <c r="A226" s="31" t="s">
        <v>1421</v>
      </c>
      <c r="B226" s="31">
        <v>12</v>
      </c>
      <c r="C226" s="31" t="s">
        <v>313</v>
      </c>
      <c r="D226" s="31" t="s">
        <v>1844</v>
      </c>
      <c r="E226" s="31" t="s">
        <v>1849</v>
      </c>
      <c r="F226" s="31" t="s">
        <v>21</v>
      </c>
      <c r="G226" s="31" t="s">
        <v>1851</v>
      </c>
      <c r="H226" s="35" t="s">
        <v>33</v>
      </c>
    </row>
    <row r="227" spans="1:8" ht="23.25" x14ac:dyDescent="0.35">
      <c r="A227" s="32" t="s">
        <v>1421</v>
      </c>
      <c r="B227" s="32">
        <v>12</v>
      </c>
      <c r="C227" s="32" t="s">
        <v>313</v>
      </c>
      <c r="D227" s="32" t="s">
        <v>1844</v>
      </c>
      <c r="E227" s="32" t="s">
        <v>1852</v>
      </c>
      <c r="F227" s="32" t="s">
        <v>25</v>
      </c>
      <c r="G227" s="32" t="s">
        <v>1853</v>
      </c>
      <c r="H227" s="36" t="s">
        <v>60</v>
      </c>
    </row>
    <row r="228" spans="1:8" ht="23.25" x14ac:dyDescent="0.35">
      <c r="A228" s="31" t="s">
        <v>1421</v>
      </c>
      <c r="B228" s="31">
        <v>12</v>
      </c>
      <c r="C228" s="31" t="s">
        <v>313</v>
      </c>
      <c r="D228" s="31" t="s">
        <v>1854</v>
      </c>
      <c r="E228" s="31" t="s">
        <v>1855</v>
      </c>
      <c r="F228" s="31" t="s">
        <v>25</v>
      </c>
      <c r="G228" s="31" t="s">
        <v>1856</v>
      </c>
      <c r="H228" s="35" t="s">
        <v>34</v>
      </c>
    </row>
    <row r="229" spans="1:8" ht="23.25" x14ac:dyDescent="0.35">
      <c r="A229" s="32" t="s">
        <v>1421</v>
      </c>
      <c r="B229" s="32">
        <v>12</v>
      </c>
      <c r="C229" s="32" t="s">
        <v>313</v>
      </c>
      <c r="D229" s="32" t="s">
        <v>1854</v>
      </c>
      <c r="E229" s="32" t="s">
        <v>1857</v>
      </c>
      <c r="F229" s="32" t="s">
        <v>25</v>
      </c>
      <c r="G229" s="32" t="s">
        <v>1858</v>
      </c>
      <c r="H229" s="36" t="s">
        <v>33</v>
      </c>
    </row>
    <row r="230" spans="1:8" x14ac:dyDescent="0.35">
      <c r="A230" s="31" t="s">
        <v>1421</v>
      </c>
      <c r="B230" s="31">
        <v>13</v>
      </c>
      <c r="C230" s="31" t="s">
        <v>329</v>
      </c>
      <c r="D230" s="31" t="s">
        <v>1859</v>
      </c>
      <c r="E230" s="31" t="s">
        <v>1860</v>
      </c>
      <c r="F230" s="31" t="s">
        <v>21</v>
      </c>
      <c r="G230" s="31" t="s">
        <v>1861</v>
      </c>
      <c r="H230" s="35" t="s">
        <v>33</v>
      </c>
    </row>
    <row r="231" spans="1:8" x14ac:dyDescent="0.35">
      <c r="A231" s="32" t="s">
        <v>1421</v>
      </c>
      <c r="B231" s="32">
        <v>13</v>
      </c>
      <c r="C231" s="32" t="s">
        <v>329</v>
      </c>
      <c r="D231" s="32" t="s">
        <v>1859</v>
      </c>
      <c r="E231" s="32" t="s">
        <v>1862</v>
      </c>
      <c r="F231" s="32" t="s">
        <v>23</v>
      </c>
      <c r="G231" s="32" t="s">
        <v>1863</v>
      </c>
      <c r="H231" s="36" t="s">
        <v>33</v>
      </c>
    </row>
    <row r="232" spans="1:8" x14ac:dyDescent="0.35">
      <c r="A232" s="31" t="s">
        <v>1421</v>
      </c>
      <c r="B232" s="31">
        <v>13</v>
      </c>
      <c r="C232" s="31" t="s">
        <v>329</v>
      </c>
      <c r="D232" s="31" t="s">
        <v>1864</v>
      </c>
      <c r="E232" s="31" t="s">
        <v>1865</v>
      </c>
      <c r="F232" s="31" t="s">
        <v>21</v>
      </c>
      <c r="G232" s="31" t="s">
        <v>1866</v>
      </c>
      <c r="H232" s="35" t="s">
        <v>33</v>
      </c>
    </row>
    <row r="233" spans="1:8" x14ac:dyDescent="0.35">
      <c r="A233" s="32" t="s">
        <v>1421</v>
      </c>
      <c r="B233" s="32">
        <v>13</v>
      </c>
      <c r="C233" s="32" t="s">
        <v>329</v>
      </c>
      <c r="D233" s="32" t="s">
        <v>1864</v>
      </c>
      <c r="E233" s="32" t="s">
        <v>1865</v>
      </c>
      <c r="F233" s="32" t="s">
        <v>25</v>
      </c>
      <c r="G233" s="32" t="s">
        <v>1867</v>
      </c>
      <c r="H233" s="36" t="s">
        <v>34</v>
      </c>
    </row>
    <row r="234" spans="1:8" x14ac:dyDescent="0.35">
      <c r="A234" s="31" t="s">
        <v>1421</v>
      </c>
      <c r="B234" s="31">
        <v>13</v>
      </c>
      <c r="C234" s="31" t="s">
        <v>329</v>
      </c>
      <c r="D234" s="31" t="s">
        <v>1864</v>
      </c>
      <c r="E234" s="31" t="s">
        <v>1865</v>
      </c>
      <c r="F234" s="31" t="s">
        <v>25</v>
      </c>
      <c r="G234" s="31" t="s">
        <v>1868</v>
      </c>
      <c r="H234" s="35" t="s">
        <v>34</v>
      </c>
    </row>
    <row r="235" spans="1:8" x14ac:dyDescent="0.35">
      <c r="A235" s="32" t="s">
        <v>1421</v>
      </c>
      <c r="B235" s="32">
        <v>13</v>
      </c>
      <c r="C235" s="32" t="s">
        <v>329</v>
      </c>
      <c r="D235" s="32" t="s">
        <v>1864</v>
      </c>
      <c r="E235" s="32" t="s">
        <v>1869</v>
      </c>
      <c r="F235" s="32" t="s">
        <v>25</v>
      </c>
      <c r="G235" s="32" t="s">
        <v>1870</v>
      </c>
      <c r="H235" s="36" t="s">
        <v>34</v>
      </c>
    </row>
    <row r="236" spans="1:8" x14ac:dyDescent="0.35">
      <c r="A236" s="31" t="s">
        <v>1421</v>
      </c>
      <c r="B236" s="31">
        <v>13</v>
      </c>
      <c r="C236" s="31" t="s">
        <v>329</v>
      </c>
      <c r="D236" s="31" t="s">
        <v>1864</v>
      </c>
      <c r="E236" s="31" t="s">
        <v>1871</v>
      </c>
      <c r="F236" s="31" t="s">
        <v>21</v>
      </c>
      <c r="G236" s="31" t="s">
        <v>1872</v>
      </c>
      <c r="H236" s="35" t="s">
        <v>34</v>
      </c>
    </row>
    <row r="237" spans="1:8" ht="23.25" x14ac:dyDescent="0.35">
      <c r="A237" s="32" t="s">
        <v>1421</v>
      </c>
      <c r="B237" s="32">
        <v>13</v>
      </c>
      <c r="C237" s="32" t="s">
        <v>329</v>
      </c>
      <c r="D237" s="32" t="s">
        <v>1864</v>
      </c>
      <c r="E237" s="32" t="s">
        <v>1873</v>
      </c>
      <c r="F237" s="32" t="s">
        <v>25</v>
      </c>
      <c r="G237" s="32" t="s">
        <v>1874</v>
      </c>
      <c r="H237" s="36" t="s">
        <v>34</v>
      </c>
    </row>
    <row r="238" spans="1:8" x14ac:dyDescent="0.35">
      <c r="A238" s="31" t="s">
        <v>1421</v>
      </c>
      <c r="B238" s="31">
        <v>13</v>
      </c>
      <c r="C238" s="31" t="s">
        <v>329</v>
      </c>
      <c r="D238" s="31" t="s">
        <v>1864</v>
      </c>
      <c r="E238" s="31" t="s">
        <v>1875</v>
      </c>
      <c r="F238" s="31" t="s">
        <v>25</v>
      </c>
      <c r="G238" s="31" t="s">
        <v>1876</v>
      </c>
      <c r="H238" s="35" t="s">
        <v>33</v>
      </c>
    </row>
    <row r="239" spans="1:8" x14ac:dyDescent="0.35">
      <c r="A239" s="32" t="s">
        <v>1421</v>
      </c>
      <c r="B239" s="32">
        <v>13</v>
      </c>
      <c r="C239" s="32" t="s">
        <v>329</v>
      </c>
      <c r="D239" s="32" t="s">
        <v>1877</v>
      </c>
      <c r="E239" s="32" t="s">
        <v>1878</v>
      </c>
      <c r="F239" s="32" t="s">
        <v>21</v>
      </c>
      <c r="G239" s="32" t="s">
        <v>1866</v>
      </c>
      <c r="H239" s="36" t="s">
        <v>33</v>
      </c>
    </row>
    <row r="240" spans="1:8" ht="23.25" x14ac:dyDescent="0.35">
      <c r="A240" s="31" t="s">
        <v>1421</v>
      </c>
      <c r="B240" s="31">
        <v>14</v>
      </c>
      <c r="C240" s="31" t="s">
        <v>367</v>
      </c>
      <c r="D240" s="31" t="s">
        <v>1879</v>
      </c>
      <c r="E240" s="31" t="s">
        <v>1880</v>
      </c>
      <c r="F240" s="31" t="s">
        <v>21</v>
      </c>
      <c r="G240" s="31" t="s">
        <v>1881</v>
      </c>
      <c r="H240" s="35" t="s">
        <v>33</v>
      </c>
    </row>
    <row r="241" spans="1:8" ht="23.25" x14ac:dyDescent="0.35">
      <c r="A241" s="32" t="s">
        <v>1421</v>
      </c>
      <c r="B241" s="32">
        <v>14</v>
      </c>
      <c r="C241" s="32" t="s">
        <v>367</v>
      </c>
      <c r="D241" s="32" t="s">
        <v>1879</v>
      </c>
      <c r="E241" s="32" t="s">
        <v>1882</v>
      </c>
      <c r="F241" s="32" t="s">
        <v>23</v>
      </c>
      <c r="G241" s="32" t="s">
        <v>1883</v>
      </c>
      <c r="H241" s="36" t="s">
        <v>33</v>
      </c>
    </row>
    <row r="242" spans="1:8" ht="23.25" x14ac:dyDescent="0.35">
      <c r="A242" s="31" t="s">
        <v>1421</v>
      </c>
      <c r="B242" s="31">
        <v>14</v>
      </c>
      <c r="C242" s="31" t="s">
        <v>367</v>
      </c>
      <c r="D242" s="31" t="s">
        <v>1879</v>
      </c>
      <c r="E242" s="31" t="s">
        <v>1882</v>
      </c>
      <c r="F242" s="31" t="s">
        <v>23</v>
      </c>
      <c r="G242" s="31" t="s">
        <v>1884</v>
      </c>
      <c r="H242" s="35" t="s">
        <v>33</v>
      </c>
    </row>
    <row r="243" spans="1:8" ht="23.25" x14ac:dyDescent="0.35">
      <c r="A243" s="32" t="s">
        <v>1421</v>
      </c>
      <c r="B243" s="32">
        <v>14</v>
      </c>
      <c r="C243" s="32" t="s">
        <v>367</v>
      </c>
      <c r="D243" s="32" t="s">
        <v>1879</v>
      </c>
      <c r="E243" s="32" t="s">
        <v>1885</v>
      </c>
      <c r="F243" s="32" t="s">
        <v>19</v>
      </c>
      <c r="G243" s="32" t="s">
        <v>1886</v>
      </c>
      <c r="H243" s="36" t="s">
        <v>33</v>
      </c>
    </row>
    <row r="244" spans="1:8" ht="23.25" x14ac:dyDescent="0.35">
      <c r="A244" s="31" t="s">
        <v>1421</v>
      </c>
      <c r="B244" s="31">
        <v>14</v>
      </c>
      <c r="C244" s="31" t="s">
        <v>367</v>
      </c>
      <c r="D244" s="31" t="s">
        <v>1879</v>
      </c>
      <c r="E244" s="31" t="s">
        <v>1885</v>
      </c>
      <c r="F244" s="31" t="s">
        <v>18</v>
      </c>
      <c r="G244" s="31" t="s">
        <v>1887</v>
      </c>
      <c r="H244" s="35" t="s">
        <v>33</v>
      </c>
    </row>
    <row r="245" spans="1:8" ht="23.25" x14ac:dyDescent="0.35">
      <c r="A245" s="32" t="s">
        <v>1421</v>
      </c>
      <c r="B245" s="32">
        <v>14</v>
      </c>
      <c r="C245" s="32" t="s">
        <v>367</v>
      </c>
      <c r="D245" s="32" t="s">
        <v>1888</v>
      </c>
      <c r="E245" s="32" t="s">
        <v>1889</v>
      </c>
      <c r="F245" s="32" t="s">
        <v>21</v>
      </c>
      <c r="G245" s="32" t="s">
        <v>1890</v>
      </c>
      <c r="H245" s="36" t="s">
        <v>34</v>
      </c>
    </row>
    <row r="246" spans="1:8" ht="23.25" x14ac:dyDescent="0.35">
      <c r="A246" s="31" t="s">
        <v>1421</v>
      </c>
      <c r="B246" s="31">
        <v>14</v>
      </c>
      <c r="C246" s="31" t="s">
        <v>367</v>
      </c>
      <c r="D246" s="31" t="s">
        <v>1888</v>
      </c>
      <c r="E246" s="31" t="s">
        <v>1891</v>
      </c>
      <c r="F246" s="31" t="s">
        <v>19</v>
      </c>
      <c r="G246" s="31" t="s">
        <v>1892</v>
      </c>
      <c r="H246" s="35" t="s">
        <v>33</v>
      </c>
    </row>
    <row r="247" spans="1:8" ht="23.25" x14ac:dyDescent="0.35">
      <c r="A247" s="32" t="s">
        <v>1421</v>
      </c>
      <c r="B247" s="32">
        <v>14</v>
      </c>
      <c r="C247" s="32" t="s">
        <v>367</v>
      </c>
      <c r="D247" s="32" t="s">
        <v>1888</v>
      </c>
      <c r="E247" s="32" t="s">
        <v>1893</v>
      </c>
      <c r="F247" s="32" t="s">
        <v>18</v>
      </c>
      <c r="G247" s="32" t="s">
        <v>1894</v>
      </c>
      <c r="H247" s="36" t="s">
        <v>33</v>
      </c>
    </row>
    <row r="248" spans="1:8" ht="23.25" x14ac:dyDescent="0.35">
      <c r="A248" s="31" t="s">
        <v>1421</v>
      </c>
      <c r="B248" s="31">
        <v>14</v>
      </c>
      <c r="C248" s="31" t="s">
        <v>367</v>
      </c>
      <c r="D248" s="31" t="s">
        <v>1895</v>
      </c>
      <c r="E248" s="31" t="s">
        <v>1896</v>
      </c>
      <c r="F248" s="31" t="s">
        <v>19</v>
      </c>
      <c r="G248" s="31" t="s">
        <v>1897</v>
      </c>
      <c r="H248" s="35" t="s">
        <v>33</v>
      </c>
    </row>
    <row r="249" spans="1:8" ht="23.25" x14ac:dyDescent="0.35">
      <c r="A249" s="32" t="s">
        <v>1421</v>
      </c>
      <c r="B249" s="32">
        <v>14</v>
      </c>
      <c r="C249" s="32" t="s">
        <v>367</v>
      </c>
      <c r="D249" s="32" t="s">
        <v>1895</v>
      </c>
      <c r="E249" s="32" t="s">
        <v>1896</v>
      </c>
      <c r="F249" s="32" t="s">
        <v>21</v>
      </c>
      <c r="G249" s="32" t="s">
        <v>1898</v>
      </c>
      <c r="H249" s="36" t="s">
        <v>33</v>
      </c>
    </row>
    <row r="250" spans="1:8" ht="23.25" x14ac:dyDescent="0.35">
      <c r="A250" s="31" t="s">
        <v>1421</v>
      </c>
      <c r="B250" s="31">
        <v>14</v>
      </c>
      <c r="C250" s="31" t="s">
        <v>367</v>
      </c>
      <c r="D250" s="31" t="s">
        <v>1895</v>
      </c>
      <c r="E250" s="31" t="s">
        <v>1899</v>
      </c>
      <c r="F250" s="31" t="s">
        <v>21</v>
      </c>
      <c r="G250" s="31" t="s">
        <v>1890</v>
      </c>
      <c r="H250" s="35" t="s">
        <v>34</v>
      </c>
    </row>
    <row r="251" spans="1:8" ht="23.25" x14ac:dyDescent="0.35">
      <c r="A251" s="32" t="s">
        <v>1421</v>
      </c>
      <c r="B251" s="32">
        <v>14</v>
      </c>
      <c r="C251" s="32" t="s">
        <v>367</v>
      </c>
      <c r="D251" s="32" t="s">
        <v>1895</v>
      </c>
      <c r="E251" s="32" t="s">
        <v>1900</v>
      </c>
      <c r="F251" s="32" t="s">
        <v>19</v>
      </c>
      <c r="G251" s="32" t="s">
        <v>1897</v>
      </c>
      <c r="H251" s="36" t="s">
        <v>33</v>
      </c>
    </row>
    <row r="252" spans="1:8" ht="23.25" x14ac:dyDescent="0.35">
      <c r="A252" s="31" t="s">
        <v>1421</v>
      </c>
      <c r="B252" s="31">
        <v>14</v>
      </c>
      <c r="C252" s="31" t="s">
        <v>367</v>
      </c>
      <c r="D252" s="31" t="s">
        <v>1895</v>
      </c>
      <c r="E252" s="31" t="s">
        <v>1901</v>
      </c>
      <c r="F252" s="31" t="s">
        <v>19</v>
      </c>
      <c r="G252" s="31" t="s">
        <v>1902</v>
      </c>
      <c r="H252" s="35" t="s">
        <v>33</v>
      </c>
    </row>
    <row r="253" spans="1:8" ht="23.25" x14ac:dyDescent="0.35">
      <c r="A253" s="32" t="s">
        <v>1421</v>
      </c>
      <c r="B253" s="32">
        <v>15</v>
      </c>
      <c r="C253" s="32" t="s">
        <v>387</v>
      </c>
      <c r="D253" s="32" t="s">
        <v>1251</v>
      </c>
      <c r="E253" s="32" t="s">
        <v>1903</v>
      </c>
      <c r="F253" s="32" t="s">
        <v>21</v>
      </c>
      <c r="G253" s="32" t="s">
        <v>1904</v>
      </c>
      <c r="H253" s="36" t="s">
        <v>34</v>
      </c>
    </row>
    <row r="254" spans="1:8" ht="23.25" x14ac:dyDescent="0.35">
      <c r="A254" s="31" t="s">
        <v>1421</v>
      </c>
      <c r="B254" s="31">
        <v>15</v>
      </c>
      <c r="C254" s="31" t="s">
        <v>387</v>
      </c>
      <c r="D254" s="31" t="s">
        <v>1251</v>
      </c>
      <c r="E254" s="31" t="s">
        <v>1905</v>
      </c>
      <c r="F254" s="31" t="s">
        <v>21</v>
      </c>
      <c r="G254" s="31" t="s">
        <v>1906</v>
      </c>
      <c r="H254" s="35" t="s">
        <v>33</v>
      </c>
    </row>
    <row r="255" spans="1:8" ht="23.25" x14ac:dyDescent="0.35">
      <c r="A255" s="32" t="s">
        <v>1421</v>
      </c>
      <c r="B255" s="32">
        <v>15</v>
      </c>
      <c r="C255" s="32" t="s">
        <v>387</v>
      </c>
      <c r="D255" s="32" t="s">
        <v>1251</v>
      </c>
      <c r="E255" s="32" t="s">
        <v>1907</v>
      </c>
      <c r="F255" s="32" t="s">
        <v>21</v>
      </c>
      <c r="G255" s="32" t="s">
        <v>1908</v>
      </c>
      <c r="H255" s="36" t="s">
        <v>33</v>
      </c>
    </row>
    <row r="256" spans="1:8" ht="23.25" x14ac:dyDescent="0.35">
      <c r="A256" s="31" t="s">
        <v>1421</v>
      </c>
      <c r="B256" s="31">
        <v>15</v>
      </c>
      <c r="C256" s="31" t="s">
        <v>387</v>
      </c>
      <c r="D256" s="31" t="s">
        <v>1251</v>
      </c>
      <c r="E256" s="31" t="s">
        <v>1909</v>
      </c>
      <c r="F256" s="31" t="s">
        <v>25</v>
      </c>
      <c r="G256" s="31" t="s">
        <v>1910</v>
      </c>
      <c r="H256" s="35" t="s">
        <v>34</v>
      </c>
    </row>
    <row r="257" spans="1:8" ht="23.25" x14ac:dyDescent="0.35">
      <c r="A257" s="32" t="s">
        <v>1421</v>
      </c>
      <c r="B257" s="32">
        <v>15</v>
      </c>
      <c r="C257" s="32" t="s">
        <v>387</v>
      </c>
      <c r="D257" s="32" t="s">
        <v>1251</v>
      </c>
      <c r="E257" s="32" t="s">
        <v>1911</v>
      </c>
      <c r="F257" s="32" t="s">
        <v>25</v>
      </c>
      <c r="G257" s="32" t="s">
        <v>1912</v>
      </c>
      <c r="H257" s="36" t="s">
        <v>60</v>
      </c>
    </row>
    <row r="258" spans="1:8" ht="23.25" x14ac:dyDescent="0.35">
      <c r="A258" s="31" t="s">
        <v>1421</v>
      </c>
      <c r="B258" s="31">
        <v>15</v>
      </c>
      <c r="C258" s="31" t="s">
        <v>387</v>
      </c>
      <c r="D258" s="31" t="s">
        <v>1913</v>
      </c>
      <c r="E258" s="31" t="s">
        <v>1493</v>
      </c>
      <c r="F258" s="31" t="s">
        <v>25</v>
      </c>
      <c r="G258" s="31" t="s">
        <v>1914</v>
      </c>
      <c r="H258" s="35" t="s">
        <v>34</v>
      </c>
    </row>
    <row r="259" spans="1:8" ht="23.25" x14ac:dyDescent="0.35">
      <c r="A259" s="32" t="s">
        <v>1421</v>
      </c>
      <c r="B259" s="32">
        <v>15</v>
      </c>
      <c r="C259" s="32" t="s">
        <v>387</v>
      </c>
      <c r="D259" s="32" t="s">
        <v>1913</v>
      </c>
      <c r="E259" s="32" t="s">
        <v>1915</v>
      </c>
      <c r="F259" s="32" t="s">
        <v>18</v>
      </c>
      <c r="G259" s="32" t="s">
        <v>1916</v>
      </c>
      <c r="H259" s="36" t="s">
        <v>33</v>
      </c>
    </row>
    <row r="260" spans="1:8" ht="23.25" x14ac:dyDescent="0.35">
      <c r="A260" s="31" t="s">
        <v>1421</v>
      </c>
      <c r="B260" s="31">
        <v>15</v>
      </c>
      <c r="C260" s="31" t="s">
        <v>387</v>
      </c>
      <c r="D260" s="31" t="s">
        <v>1913</v>
      </c>
      <c r="E260" s="31" t="s">
        <v>1915</v>
      </c>
      <c r="F260" s="31" t="s">
        <v>18</v>
      </c>
      <c r="G260" s="31" t="s">
        <v>1917</v>
      </c>
      <c r="H260" s="35" t="s">
        <v>33</v>
      </c>
    </row>
    <row r="261" spans="1:8" ht="23.25" x14ac:dyDescent="0.35">
      <c r="A261" s="32" t="s">
        <v>1421</v>
      </c>
      <c r="B261" s="32">
        <v>15</v>
      </c>
      <c r="C261" s="32" t="s">
        <v>387</v>
      </c>
      <c r="D261" s="32" t="s">
        <v>1913</v>
      </c>
      <c r="E261" s="32" t="s">
        <v>1915</v>
      </c>
      <c r="F261" s="32" t="s">
        <v>18</v>
      </c>
      <c r="G261" s="32" t="s">
        <v>1918</v>
      </c>
      <c r="H261" s="36" t="s">
        <v>33</v>
      </c>
    </row>
    <row r="262" spans="1:8" ht="23.25" x14ac:dyDescent="0.35">
      <c r="A262" s="31" t="s">
        <v>1421</v>
      </c>
      <c r="B262" s="31">
        <v>15</v>
      </c>
      <c r="C262" s="31" t="s">
        <v>387</v>
      </c>
      <c r="D262" s="31" t="s">
        <v>1919</v>
      </c>
      <c r="E262" s="31" t="s">
        <v>1920</v>
      </c>
      <c r="F262" s="31" t="s">
        <v>21</v>
      </c>
      <c r="G262" s="31" t="s">
        <v>1921</v>
      </c>
      <c r="H262" s="35" t="s">
        <v>34</v>
      </c>
    </row>
    <row r="263" spans="1:8" ht="23.25" x14ac:dyDescent="0.35">
      <c r="A263" s="32" t="s">
        <v>1421</v>
      </c>
      <c r="B263" s="32">
        <v>15</v>
      </c>
      <c r="C263" s="32" t="s">
        <v>387</v>
      </c>
      <c r="D263" s="32" t="s">
        <v>1919</v>
      </c>
      <c r="E263" s="32" t="s">
        <v>1922</v>
      </c>
      <c r="F263" s="32" t="s">
        <v>18</v>
      </c>
      <c r="G263" s="32" t="s">
        <v>1923</v>
      </c>
      <c r="H263" s="36" t="s">
        <v>33</v>
      </c>
    </row>
    <row r="264" spans="1:8" ht="23.25" x14ac:dyDescent="0.35">
      <c r="A264" s="31" t="s">
        <v>1421</v>
      </c>
      <c r="B264" s="31">
        <v>15</v>
      </c>
      <c r="C264" s="31" t="s">
        <v>387</v>
      </c>
      <c r="D264" s="31" t="s">
        <v>1919</v>
      </c>
      <c r="E264" s="31" t="s">
        <v>1924</v>
      </c>
      <c r="F264" s="31" t="s">
        <v>21</v>
      </c>
      <c r="G264" s="31" t="s">
        <v>1925</v>
      </c>
      <c r="H264" s="35" t="s">
        <v>33</v>
      </c>
    </row>
    <row r="265" spans="1:8" ht="23.25" x14ac:dyDescent="0.35">
      <c r="A265" s="32" t="s">
        <v>1421</v>
      </c>
      <c r="B265" s="32">
        <v>15</v>
      </c>
      <c r="C265" s="32" t="s">
        <v>387</v>
      </c>
      <c r="D265" s="32" t="s">
        <v>1926</v>
      </c>
      <c r="E265" s="32" t="s">
        <v>1927</v>
      </c>
      <c r="F265" s="32" t="s">
        <v>18</v>
      </c>
      <c r="G265" s="32" t="s">
        <v>1923</v>
      </c>
      <c r="H265" s="36" t="s">
        <v>33</v>
      </c>
    </row>
    <row r="266" spans="1:8" ht="23.25" x14ac:dyDescent="0.35">
      <c r="A266" s="31" t="s">
        <v>1421</v>
      </c>
      <c r="B266" s="31">
        <v>15</v>
      </c>
      <c r="C266" s="31" t="s">
        <v>387</v>
      </c>
      <c r="D266" s="31" t="s">
        <v>1928</v>
      </c>
      <c r="E266" s="31" t="s">
        <v>1929</v>
      </c>
      <c r="F266" s="31" t="s">
        <v>21</v>
      </c>
      <c r="G266" s="31" t="s">
        <v>1930</v>
      </c>
      <c r="H266" s="35" t="s">
        <v>33</v>
      </c>
    </row>
    <row r="267" spans="1:8" ht="23.25" x14ac:dyDescent="0.35">
      <c r="A267" s="32" t="s">
        <v>1421</v>
      </c>
      <c r="B267" s="32">
        <v>15</v>
      </c>
      <c r="C267" s="32" t="s">
        <v>387</v>
      </c>
      <c r="D267" s="32" t="s">
        <v>1931</v>
      </c>
      <c r="E267" s="32" t="s">
        <v>1932</v>
      </c>
      <c r="F267" s="32" t="s">
        <v>21</v>
      </c>
      <c r="G267" s="32" t="s">
        <v>1933</v>
      </c>
      <c r="H267" s="36" t="s">
        <v>33</v>
      </c>
    </row>
    <row r="268" spans="1:8" ht="23.25" x14ac:dyDescent="0.35">
      <c r="A268" s="31" t="s">
        <v>1421</v>
      </c>
      <c r="B268" s="31">
        <v>15</v>
      </c>
      <c r="C268" s="31" t="s">
        <v>387</v>
      </c>
      <c r="D268" s="31" t="s">
        <v>1931</v>
      </c>
      <c r="E268" s="31" t="s">
        <v>1934</v>
      </c>
      <c r="F268" s="31" t="s">
        <v>21</v>
      </c>
      <c r="G268" s="31" t="s">
        <v>1935</v>
      </c>
      <c r="H268" s="35" t="s">
        <v>33</v>
      </c>
    </row>
    <row r="269" spans="1:8" ht="23.25" x14ac:dyDescent="0.35">
      <c r="A269" s="32" t="s">
        <v>1421</v>
      </c>
      <c r="B269" s="32">
        <v>15</v>
      </c>
      <c r="C269" s="32" t="s">
        <v>387</v>
      </c>
      <c r="D269" s="32" t="s">
        <v>1936</v>
      </c>
      <c r="E269" s="32" t="s">
        <v>1937</v>
      </c>
      <c r="F269" s="32" t="s">
        <v>25</v>
      </c>
      <c r="G269" s="32" t="s">
        <v>1938</v>
      </c>
      <c r="H269" s="36" t="s">
        <v>34</v>
      </c>
    </row>
    <row r="270" spans="1:8" ht="23.25" x14ac:dyDescent="0.35">
      <c r="A270" s="31" t="s">
        <v>1421</v>
      </c>
      <c r="B270" s="31">
        <v>15</v>
      </c>
      <c r="C270" s="31" t="s">
        <v>387</v>
      </c>
      <c r="D270" s="31" t="s">
        <v>1936</v>
      </c>
      <c r="E270" s="31" t="s">
        <v>1939</v>
      </c>
      <c r="F270" s="31" t="s">
        <v>21</v>
      </c>
      <c r="G270" s="31" t="s">
        <v>1940</v>
      </c>
      <c r="H270" s="35" t="s">
        <v>33</v>
      </c>
    </row>
    <row r="271" spans="1:8" ht="23.25" x14ac:dyDescent="0.35">
      <c r="A271" s="32" t="s">
        <v>1421</v>
      </c>
      <c r="B271" s="32">
        <v>15</v>
      </c>
      <c r="C271" s="32" t="s">
        <v>387</v>
      </c>
      <c r="D271" s="32" t="s">
        <v>1936</v>
      </c>
      <c r="E271" s="32" t="s">
        <v>1939</v>
      </c>
      <c r="F271" s="32" t="s">
        <v>25</v>
      </c>
      <c r="G271" s="32" t="s">
        <v>1941</v>
      </c>
      <c r="H271" s="36" t="s">
        <v>33</v>
      </c>
    </row>
    <row r="272" spans="1:8" ht="23.25" x14ac:dyDescent="0.35">
      <c r="A272" s="31" t="s">
        <v>1421</v>
      </c>
      <c r="B272" s="31">
        <v>15</v>
      </c>
      <c r="C272" s="31" t="s">
        <v>387</v>
      </c>
      <c r="D272" s="31" t="s">
        <v>1936</v>
      </c>
      <c r="E272" s="31" t="s">
        <v>1942</v>
      </c>
      <c r="F272" s="31" t="s">
        <v>25</v>
      </c>
      <c r="G272" s="31" t="s">
        <v>1943</v>
      </c>
      <c r="H272" s="35" t="s">
        <v>33</v>
      </c>
    </row>
    <row r="273" spans="1:8" ht="23.25" x14ac:dyDescent="0.35">
      <c r="A273" s="32" t="s">
        <v>1421</v>
      </c>
      <c r="B273" s="32">
        <v>15</v>
      </c>
      <c r="C273" s="32" t="s">
        <v>387</v>
      </c>
      <c r="D273" s="32" t="s">
        <v>1944</v>
      </c>
      <c r="E273" s="32" t="s">
        <v>1945</v>
      </c>
      <c r="F273" s="32" t="s">
        <v>25</v>
      </c>
      <c r="G273" s="32" t="s">
        <v>1946</v>
      </c>
      <c r="H273" s="36" t="s">
        <v>34</v>
      </c>
    </row>
    <row r="274" spans="1:8" ht="23.25" x14ac:dyDescent="0.35">
      <c r="A274" s="31" t="s">
        <v>1421</v>
      </c>
      <c r="B274" s="31">
        <v>16</v>
      </c>
      <c r="C274" s="31" t="s">
        <v>417</v>
      </c>
      <c r="D274" s="31" t="s">
        <v>1947</v>
      </c>
      <c r="E274" s="31" t="s">
        <v>1948</v>
      </c>
      <c r="F274" s="31" t="s">
        <v>21</v>
      </c>
      <c r="G274" s="31" t="s">
        <v>1949</v>
      </c>
      <c r="H274" s="35" t="s">
        <v>33</v>
      </c>
    </row>
    <row r="275" spans="1:8" ht="23.25" x14ac:dyDescent="0.35">
      <c r="A275" s="32" t="s">
        <v>1421</v>
      </c>
      <c r="B275" s="32">
        <v>16</v>
      </c>
      <c r="C275" s="32" t="s">
        <v>417</v>
      </c>
      <c r="D275" s="32" t="s">
        <v>1947</v>
      </c>
      <c r="E275" s="32" t="s">
        <v>1948</v>
      </c>
      <c r="F275" s="32" t="s">
        <v>21</v>
      </c>
      <c r="G275" s="32" t="s">
        <v>1950</v>
      </c>
      <c r="H275" s="36" t="s">
        <v>33</v>
      </c>
    </row>
    <row r="276" spans="1:8" ht="23.25" x14ac:dyDescent="0.35">
      <c r="A276" s="31" t="s">
        <v>1421</v>
      </c>
      <c r="B276" s="31">
        <v>16</v>
      </c>
      <c r="C276" s="31" t="s">
        <v>417</v>
      </c>
      <c r="D276" s="31" t="s">
        <v>1947</v>
      </c>
      <c r="E276" s="31" t="s">
        <v>1951</v>
      </c>
      <c r="F276" s="31" t="s">
        <v>18</v>
      </c>
      <c r="G276" s="31" t="s">
        <v>1952</v>
      </c>
      <c r="H276" s="35" t="s">
        <v>33</v>
      </c>
    </row>
    <row r="277" spans="1:8" ht="23.25" x14ac:dyDescent="0.35">
      <c r="A277" s="32" t="s">
        <v>1421</v>
      </c>
      <c r="B277" s="32">
        <v>16</v>
      </c>
      <c r="C277" s="32" t="s">
        <v>417</v>
      </c>
      <c r="D277" s="32" t="s">
        <v>1947</v>
      </c>
      <c r="E277" s="32" t="s">
        <v>1953</v>
      </c>
      <c r="F277" s="32" t="s">
        <v>18</v>
      </c>
      <c r="G277" s="32" t="s">
        <v>1952</v>
      </c>
      <c r="H277" s="36" t="s">
        <v>33</v>
      </c>
    </row>
    <row r="278" spans="1:8" ht="23.25" x14ac:dyDescent="0.35">
      <c r="A278" s="31" t="s">
        <v>1421</v>
      </c>
      <c r="B278" s="31">
        <v>16</v>
      </c>
      <c r="C278" s="31" t="s">
        <v>417</v>
      </c>
      <c r="D278" s="31" t="s">
        <v>1947</v>
      </c>
      <c r="E278" s="31" t="s">
        <v>1954</v>
      </c>
      <c r="F278" s="31" t="s">
        <v>25</v>
      </c>
      <c r="G278" s="31" t="s">
        <v>1955</v>
      </c>
      <c r="H278" s="35" t="s">
        <v>34</v>
      </c>
    </row>
    <row r="279" spans="1:8" ht="23.25" x14ac:dyDescent="0.35">
      <c r="A279" s="32" t="s">
        <v>1421</v>
      </c>
      <c r="B279" s="32">
        <v>16</v>
      </c>
      <c r="C279" s="32" t="s">
        <v>417</v>
      </c>
      <c r="D279" s="32" t="s">
        <v>1947</v>
      </c>
      <c r="E279" s="32" t="s">
        <v>1954</v>
      </c>
      <c r="F279" s="32" t="s">
        <v>21</v>
      </c>
      <c r="G279" s="32" t="s">
        <v>1956</v>
      </c>
      <c r="H279" s="36" t="s">
        <v>33</v>
      </c>
    </row>
    <row r="280" spans="1:8" ht="23.25" x14ac:dyDescent="0.35">
      <c r="A280" s="31" t="s">
        <v>1421</v>
      </c>
      <c r="B280" s="31">
        <v>16</v>
      </c>
      <c r="C280" s="31" t="s">
        <v>417</v>
      </c>
      <c r="D280" s="31" t="s">
        <v>1957</v>
      </c>
      <c r="E280" s="31" t="s">
        <v>1493</v>
      </c>
      <c r="F280" s="31" t="s">
        <v>18</v>
      </c>
      <c r="G280" s="31" t="s">
        <v>1958</v>
      </c>
      <c r="H280" s="35" t="s">
        <v>33</v>
      </c>
    </row>
    <row r="281" spans="1:8" ht="23.25" x14ac:dyDescent="0.35">
      <c r="A281" s="32" t="s">
        <v>1421</v>
      </c>
      <c r="B281" s="32">
        <v>16</v>
      </c>
      <c r="C281" s="32" t="s">
        <v>417</v>
      </c>
      <c r="D281" s="32" t="s">
        <v>1957</v>
      </c>
      <c r="E281" s="32" t="s">
        <v>1959</v>
      </c>
      <c r="F281" s="32" t="s">
        <v>21</v>
      </c>
      <c r="G281" s="32" t="s">
        <v>1960</v>
      </c>
      <c r="H281" s="36" t="s">
        <v>33</v>
      </c>
    </row>
    <row r="282" spans="1:8" ht="23.25" x14ac:dyDescent="0.35">
      <c r="A282" s="31" t="s">
        <v>1421</v>
      </c>
      <c r="B282" s="31">
        <v>16</v>
      </c>
      <c r="C282" s="31" t="s">
        <v>417</v>
      </c>
      <c r="D282" s="31" t="s">
        <v>1961</v>
      </c>
      <c r="E282" s="31" t="s">
        <v>1962</v>
      </c>
      <c r="F282" s="31" t="s">
        <v>21</v>
      </c>
      <c r="G282" s="31" t="s">
        <v>1963</v>
      </c>
      <c r="H282" s="35" t="s">
        <v>33</v>
      </c>
    </row>
    <row r="283" spans="1:8" ht="23.25" x14ac:dyDescent="0.35">
      <c r="A283" s="32" t="s">
        <v>1421</v>
      </c>
      <c r="B283" s="32">
        <v>16</v>
      </c>
      <c r="C283" s="32" t="s">
        <v>417</v>
      </c>
      <c r="D283" s="32" t="s">
        <v>1961</v>
      </c>
      <c r="E283" s="32" t="s">
        <v>1964</v>
      </c>
      <c r="F283" s="32" t="s">
        <v>18</v>
      </c>
      <c r="G283" s="32" t="s">
        <v>1965</v>
      </c>
      <c r="H283" s="36" t="s">
        <v>33</v>
      </c>
    </row>
    <row r="284" spans="1:8" ht="23.25" x14ac:dyDescent="0.35">
      <c r="A284" s="31" t="s">
        <v>1421</v>
      </c>
      <c r="B284" s="31">
        <v>16</v>
      </c>
      <c r="C284" s="31" t="s">
        <v>417</v>
      </c>
      <c r="D284" s="31" t="s">
        <v>1961</v>
      </c>
      <c r="E284" s="31" t="s">
        <v>1964</v>
      </c>
      <c r="F284" s="31" t="s">
        <v>21</v>
      </c>
      <c r="G284" s="31" t="s">
        <v>1966</v>
      </c>
      <c r="H284" s="35" t="s">
        <v>33</v>
      </c>
    </row>
    <row r="285" spans="1:8" ht="23.25" x14ac:dyDescent="0.35">
      <c r="A285" s="32" t="s">
        <v>1421</v>
      </c>
      <c r="B285" s="32">
        <v>16</v>
      </c>
      <c r="C285" s="32" t="s">
        <v>417</v>
      </c>
      <c r="D285" s="32" t="s">
        <v>1961</v>
      </c>
      <c r="E285" s="32" t="s">
        <v>1967</v>
      </c>
      <c r="F285" s="32" t="s">
        <v>21</v>
      </c>
      <c r="G285" s="32" t="s">
        <v>1968</v>
      </c>
      <c r="H285" s="36" t="s">
        <v>33</v>
      </c>
    </row>
    <row r="286" spans="1:8" ht="23.25" x14ac:dyDescent="0.35">
      <c r="A286" s="31" t="s">
        <v>1421</v>
      </c>
      <c r="B286" s="31">
        <v>16</v>
      </c>
      <c r="C286" s="31" t="s">
        <v>417</v>
      </c>
      <c r="D286" s="31" t="s">
        <v>1969</v>
      </c>
      <c r="E286" s="31" t="s">
        <v>1970</v>
      </c>
      <c r="F286" s="31" t="s">
        <v>18</v>
      </c>
      <c r="G286" s="31" t="s">
        <v>1971</v>
      </c>
      <c r="H286" s="35" t="s">
        <v>34</v>
      </c>
    </row>
    <row r="287" spans="1:8" ht="23.25" x14ac:dyDescent="0.35">
      <c r="A287" s="32" t="s">
        <v>1421</v>
      </c>
      <c r="B287" s="32">
        <v>16</v>
      </c>
      <c r="C287" s="32" t="s">
        <v>417</v>
      </c>
      <c r="D287" s="32" t="s">
        <v>1969</v>
      </c>
      <c r="E287" s="32" t="s">
        <v>1972</v>
      </c>
      <c r="F287" s="32" t="s">
        <v>21</v>
      </c>
      <c r="G287" s="32" t="s">
        <v>1973</v>
      </c>
      <c r="H287" s="36" t="s">
        <v>33</v>
      </c>
    </row>
    <row r="288" spans="1:8" ht="23.25" x14ac:dyDescent="0.35">
      <c r="A288" s="31" t="s">
        <v>1421</v>
      </c>
      <c r="B288" s="31">
        <v>16</v>
      </c>
      <c r="C288" s="31" t="s">
        <v>417</v>
      </c>
      <c r="D288" s="31" t="s">
        <v>1974</v>
      </c>
      <c r="E288" s="31" t="s">
        <v>1975</v>
      </c>
      <c r="F288" s="31" t="s">
        <v>21</v>
      </c>
      <c r="G288" s="31" t="s">
        <v>1976</v>
      </c>
      <c r="H288" s="35" t="s">
        <v>33</v>
      </c>
    </row>
    <row r="289" spans="1:8" ht="23.25" x14ac:dyDescent="0.35">
      <c r="A289" s="32" t="s">
        <v>1421</v>
      </c>
      <c r="B289" s="32">
        <v>16</v>
      </c>
      <c r="C289" s="32" t="s">
        <v>417</v>
      </c>
      <c r="D289" s="32" t="s">
        <v>1974</v>
      </c>
      <c r="E289" s="32" t="s">
        <v>1977</v>
      </c>
      <c r="F289" s="32" t="s">
        <v>19</v>
      </c>
      <c r="G289" s="32" t="s">
        <v>1978</v>
      </c>
      <c r="H289" s="36" t="s">
        <v>33</v>
      </c>
    </row>
    <row r="290" spans="1:8" ht="23.25" x14ac:dyDescent="0.35">
      <c r="A290" s="31" t="s">
        <v>1421</v>
      </c>
      <c r="B290" s="31">
        <v>16</v>
      </c>
      <c r="C290" s="31" t="s">
        <v>417</v>
      </c>
      <c r="D290" s="31" t="s">
        <v>1974</v>
      </c>
      <c r="E290" s="31" t="s">
        <v>1979</v>
      </c>
      <c r="F290" s="31" t="s">
        <v>21</v>
      </c>
      <c r="G290" s="31" t="s">
        <v>1980</v>
      </c>
      <c r="H290" s="35" t="s">
        <v>33</v>
      </c>
    </row>
    <row r="291" spans="1:8" ht="23.25" x14ac:dyDescent="0.35">
      <c r="A291" s="32" t="s">
        <v>1421</v>
      </c>
      <c r="B291" s="32">
        <v>16</v>
      </c>
      <c r="C291" s="32" t="s">
        <v>417</v>
      </c>
      <c r="D291" s="32" t="s">
        <v>1974</v>
      </c>
      <c r="E291" s="32" t="s">
        <v>1979</v>
      </c>
      <c r="F291" s="32" t="s">
        <v>21</v>
      </c>
      <c r="G291" s="32" t="s">
        <v>1981</v>
      </c>
      <c r="H291" s="36" t="s">
        <v>33</v>
      </c>
    </row>
    <row r="292" spans="1:8" ht="23.25" x14ac:dyDescent="0.35">
      <c r="A292" s="31" t="s">
        <v>1421</v>
      </c>
      <c r="B292" s="31">
        <v>16</v>
      </c>
      <c r="C292" s="31" t="s">
        <v>417</v>
      </c>
      <c r="D292" s="31" t="s">
        <v>1974</v>
      </c>
      <c r="E292" s="31" t="s">
        <v>1982</v>
      </c>
      <c r="F292" s="31" t="s">
        <v>19</v>
      </c>
      <c r="G292" s="31" t="s">
        <v>1983</v>
      </c>
      <c r="H292" s="35" t="s">
        <v>34</v>
      </c>
    </row>
    <row r="293" spans="1:8" ht="23.25" x14ac:dyDescent="0.35">
      <c r="A293" s="32" t="s">
        <v>1421</v>
      </c>
      <c r="B293" s="32">
        <v>16</v>
      </c>
      <c r="C293" s="32" t="s">
        <v>417</v>
      </c>
      <c r="D293" s="32" t="s">
        <v>1974</v>
      </c>
      <c r="E293" s="32" t="s">
        <v>1982</v>
      </c>
      <c r="F293" s="32" t="s">
        <v>21</v>
      </c>
      <c r="G293" s="32" t="s">
        <v>1984</v>
      </c>
      <c r="H293" s="36" t="s">
        <v>33</v>
      </c>
    </row>
    <row r="294" spans="1:8" ht="23.25" x14ac:dyDescent="0.35">
      <c r="A294" s="31" t="s">
        <v>1421</v>
      </c>
      <c r="B294" s="31">
        <v>16</v>
      </c>
      <c r="C294" s="31" t="s">
        <v>417</v>
      </c>
      <c r="D294" s="31" t="s">
        <v>1974</v>
      </c>
      <c r="E294" s="31" t="s">
        <v>1985</v>
      </c>
      <c r="F294" s="31" t="s">
        <v>21</v>
      </c>
      <c r="G294" s="31" t="s">
        <v>1986</v>
      </c>
      <c r="H294" s="35" t="s">
        <v>33</v>
      </c>
    </row>
    <row r="295" spans="1:8" ht="23.25" x14ac:dyDescent="0.35">
      <c r="A295" s="32" t="s">
        <v>1421</v>
      </c>
      <c r="B295" s="32">
        <v>16</v>
      </c>
      <c r="C295" s="32" t="s">
        <v>417</v>
      </c>
      <c r="D295" s="32" t="s">
        <v>1974</v>
      </c>
      <c r="E295" s="32" t="s">
        <v>1987</v>
      </c>
      <c r="F295" s="32" t="s">
        <v>21</v>
      </c>
      <c r="G295" s="32" t="s">
        <v>1988</v>
      </c>
      <c r="H295" s="36" t="s">
        <v>33</v>
      </c>
    </row>
    <row r="296" spans="1:8" x14ac:dyDescent="0.35">
      <c r="A296" s="31" t="s">
        <v>1421</v>
      </c>
      <c r="B296" s="31">
        <v>17</v>
      </c>
      <c r="C296" s="31" t="s">
        <v>442</v>
      </c>
      <c r="D296" s="31" t="s">
        <v>1989</v>
      </c>
      <c r="E296" s="31" t="s">
        <v>1990</v>
      </c>
      <c r="F296" s="31" t="s">
        <v>25</v>
      </c>
      <c r="G296" s="31" t="s">
        <v>1991</v>
      </c>
      <c r="H296" s="35" t="s">
        <v>34</v>
      </c>
    </row>
    <row r="297" spans="1:8" x14ac:dyDescent="0.35">
      <c r="A297" s="32" t="s">
        <v>1421</v>
      </c>
      <c r="B297" s="32">
        <v>17</v>
      </c>
      <c r="C297" s="32" t="s">
        <v>442</v>
      </c>
      <c r="D297" s="32" t="s">
        <v>1989</v>
      </c>
      <c r="E297" s="32" t="s">
        <v>1992</v>
      </c>
      <c r="F297" s="32" t="s">
        <v>25</v>
      </c>
      <c r="G297" s="32" t="s">
        <v>1993</v>
      </c>
      <c r="H297" s="36" t="s">
        <v>60</v>
      </c>
    </row>
    <row r="298" spans="1:8" x14ac:dyDescent="0.35">
      <c r="A298" s="31" t="s">
        <v>1421</v>
      </c>
      <c r="B298" s="31">
        <v>17</v>
      </c>
      <c r="C298" s="31" t="s">
        <v>442</v>
      </c>
      <c r="D298" s="31" t="s">
        <v>1989</v>
      </c>
      <c r="E298" s="31" t="s">
        <v>1994</v>
      </c>
      <c r="F298" s="31" t="s">
        <v>25</v>
      </c>
      <c r="G298" s="31" t="s">
        <v>1995</v>
      </c>
      <c r="H298" s="35" t="s">
        <v>33</v>
      </c>
    </row>
    <row r="299" spans="1:8" x14ac:dyDescent="0.35">
      <c r="A299" s="32" t="s">
        <v>1421</v>
      </c>
      <c r="B299" s="32">
        <v>17</v>
      </c>
      <c r="C299" s="32" t="s">
        <v>442</v>
      </c>
      <c r="D299" s="32" t="s">
        <v>1989</v>
      </c>
      <c r="E299" s="32" t="s">
        <v>1996</v>
      </c>
      <c r="F299" s="32" t="s">
        <v>21</v>
      </c>
      <c r="G299" s="32" t="s">
        <v>1997</v>
      </c>
      <c r="H299" s="36" t="s">
        <v>33</v>
      </c>
    </row>
    <row r="300" spans="1:8" x14ac:dyDescent="0.35">
      <c r="A300" s="31" t="s">
        <v>1421</v>
      </c>
      <c r="B300" s="31">
        <v>17</v>
      </c>
      <c r="C300" s="31" t="s">
        <v>442</v>
      </c>
      <c r="D300" s="31" t="s">
        <v>1989</v>
      </c>
      <c r="E300" s="31" t="s">
        <v>1998</v>
      </c>
      <c r="F300" s="31" t="s">
        <v>18</v>
      </c>
      <c r="G300" s="31" t="s">
        <v>1999</v>
      </c>
      <c r="H300" s="35" t="s">
        <v>33</v>
      </c>
    </row>
    <row r="301" spans="1:8" x14ac:dyDescent="0.35">
      <c r="A301" s="32" t="s">
        <v>1421</v>
      </c>
      <c r="B301" s="32">
        <v>17</v>
      </c>
      <c r="C301" s="32" t="s">
        <v>442</v>
      </c>
      <c r="D301" s="32" t="s">
        <v>1989</v>
      </c>
      <c r="E301" s="32" t="s">
        <v>2000</v>
      </c>
      <c r="F301" s="32" t="s">
        <v>23</v>
      </c>
      <c r="G301" s="32" t="s">
        <v>2001</v>
      </c>
      <c r="H301" s="36" t="s">
        <v>33</v>
      </c>
    </row>
    <row r="302" spans="1:8" x14ac:dyDescent="0.35">
      <c r="A302" s="31" t="s">
        <v>1421</v>
      </c>
      <c r="B302" s="31">
        <v>17</v>
      </c>
      <c r="C302" s="31" t="s">
        <v>442</v>
      </c>
      <c r="D302" s="31" t="s">
        <v>1989</v>
      </c>
      <c r="E302" s="31" t="s">
        <v>2002</v>
      </c>
      <c r="F302" s="31" t="s">
        <v>23</v>
      </c>
      <c r="G302" s="31" t="s">
        <v>2003</v>
      </c>
      <c r="H302" s="35" t="s">
        <v>34</v>
      </c>
    </row>
    <row r="303" spans="1:8" x14ac:dyDescent="0.35">
      <c r="A303" s="32" t="s">
        <v>1421</v>
      </c>
      <c r="B303" s="32">
        <v>17</v>
      </c>
      <c r="C303" s="32" t="s">
        <v>442</v>
      </c>
      <c r="D303" s="32" t="s">
        <v>1989</v>
      </c>
      <c r="E303" s="32" t="s">
        <v>2004</v>
      </c>
      <c r="F303" s="32" t="s">
        <v>25</v>
      </c>
      <c r="G303" s="32" t="s">
        <v>2005</v>
      </c>
      <c r="H303" s="36" t="s">
        <v>34</v>
      </c>
    </row>
    <row r="304" spans="1:8" x14ac:dyDescent="0.35">
      <c r="A304" s="31" t="s">
        <v>1421</v>
      </c>
      <c r="B304" s="31">
        <v>17</v>
      </c>
      <c r="C304" s="31" t="s">
        <v>442</v>
      </c>
      <c r="D304" s="31" t="s">
        <v>2006</v>
      </c>
      <c r="E304" s="31" t="s">
        <v>2007</v>
      </c>
      <c r="F304" s="31" t="s">
        <v>25</v>
      </c>
      <c r="G304" s="31" t="s">
        <v>2008</v>
      </c>
      <c r="H304" s="35" t="s">
        <v>34</v>
      </c>
    </row>
    <row r="305" spans="1:8" x14ac:dyDescent="0.35">
      <c r="A305" s="32" t="s">
        <v>1421</v>
      </c>
      <c r="B305" s="32">
        <v>17</v>
      </c>
      <c r="C305" s="32" t="s">
        <v>442</v>
      </c>
      <c r="D305" s="32" t="s">
        <v>2006</v>
      </c>
      <c r="E305" s="32" t="s">
        <v>2009</v>
      </c>
      <c r="F305" s="32" t="s">
        <v>19</v>
      </c>
      <c r="G305" s="32" t="s">
        <v>2010</v>
      </c>
      <c r="H305" s="36" t="s">
        <v>33</v>
      </c>
    </row>
    <row r="306" spans="1:8" x14ac:dyDescent="0.35">
      <c r="A306" s="31" t="s">
        <v>1421</v>
      </c>
      <c r="B306" s="31">
        <v>17</v>
      </c>
      <c r="C306" s="31" t="s">
        <v>442</v>
      </c>
      <c r="D306" s="31" t="s">
        <v>2006</v>
      </c>
      <c r="E306" s="31" t="s">
        <v>2011</v>
      </c>
      <c r="F306" s="31" t="s">
        <v>21</v>
      </c>
      <c r="G306" s="31" t="s">
        <v>2012</v>
      </c>
      <c r="H306" s="35" t="s">
        <v>33</v>
      </c>
    </row>
    <row r="307" spans="1:8" ht="23.25" x14ac:dyDescent="0.35">
      <c r="A307" s="32" t="s">
        <v>1421</v>
      </c>
      <c r="B307" s="32">
        <v>17</v>
      </c>
      <c r="C307" s="32" t="s">
        <v>442</v>
      </c>
      <c r="D307" s="32" t="s">
        <v>2006</v>
      </c>
      <c r="E307" s="32" t="s">
        <v>2013</v>
      </c>
      <c r="F307" s="32" t="s">
        <v>19</v>
      </c>
      <c r="G307" s="32" t="s">
        <v>2014</v>
      </c>
      <c r="H307" s="36" t="s">
        <v>33</v>
      </c>
    </row>
    <row r="308" spans="1:8" x14ac:dyDescent="0.35">
      <c r="A308" s="31" t="s">
        <v>1421</v>
      </c>
      <c r="B308" s="31">
        <v>17</v>
      </c>
      <c r="C308" s="31" t="s">
        <v>442</v>
      </c>
      <c r="D308" s="31" t="s">
        <v>2006</v>
      </c>
      <c r="E308" s="31" t="s">
        <v>2015</v>
      </c>
      <c r="F308" s="31" t="s">
        <v>18</v>
      </c>
      <c r="G308" s="31" t="s">
        <v>2016</v>
      </c>
      <c r="H308" s="35" t="s">
        <v>33</v>
      </c>
    </row>
    <row r="309" spans="1:8" ht="23.25" x14ac:dyDescent="0.35">
      <c r="A309" s="32" t="s">
        <v>1421</v>
      </c>
      <c r="B309" s="32">
        <v>17</v>
      </c>
      <c r="C309" s="32" t="s">
        <v>442</v>
      </c>
      <c r="D309" s="32" t="s">
        <v>2006</v>
      </c>
      <c r="E309" s="32" t="s">
        <v>2017</v>
      </c>
      <c r="F309" s="32" t="s">
        <v>18</v>
      </c>
      <c r="G309" s="32" t="s">
        <v>2018</v>
      </c>
      <c r="H309" s="36" t="s">
        <v>33</v>
      </c>
    </row>
    <row r="310" spans="1:8" x14ac:dyDescent="0.35">
      <c r="A310" s="31" t="s">
        <v>1421</v>
      </c>
      <c r="B310" s="31">
        <v>17</v>
      </c>
      <c r="C310" s="31" t="s">
        <v>442</v>
      </c>
      <c r="D310" s="31" t="s">
        <v>2006</v>
      </c>
      <c r="E310" s="31" t="s">
        <v>2019</v>
      </c>
      <c r="F310" s="31" t="s">
        <v>21</v>
      </c>
      <c r="G310" s="31" t="s">
        <v>2020</v>
      </c>
      <c r="H310" s="35" t="s">
        <v>33</v>
      </c>
    </row>
    <row r="311" spans="1:8" x14ac:dyDescent="0.35">
      <c r="A311" s="32" t="s">
        <v>1421</v>
      </c>
      <c r="B311" s="32">
        <v>17</v>
      </c>
      <c r="C311" s="32" t="s">
        <v>442</v>
      </c>
      <c r="D311" s="32" t="s">
        <v>2021</v>
      </c>
      <c r="E311" s="32" t="s">
        <v>2022</v>
      </c>
      <c r="F311" s="32" t="s">
        <v>23</v>
      </c>
      <c r="G311" s="32" t="s">
        <v>2023</v>
      </c>
      <c r="H311" s="36" t="s">
        <v>33</v>
      </c>
    </row>
    <row r="312" spans="1:8" x14ac:dyDescent="0.35">
      <c r="A312" s="31" t="s">
        <v>1421</v>
      </c>
      <c r="B312" s="31">
        <v>17</v>
      </c>
      <c r="C312" s="31" t="s">
        <v>442</v>
      </c>
      <c r="D312" s="31" t="s">
        <v>2021</v>
      </c>
      <c r="E312" s="31" t="s">
        <v>2024</v>
      </c>
      <c r="F312" s="31" t="s">
        <v>21</v>
      </c>
      <c r="G312" s="31" t="s">
        <v>2025</v>
      </c>
      <c r="H312" s="35" t="s">
        <v>33</v>
      </c>
    </row>
    <row r="313" spans="1:8" ht="23.25" x14ac:dyDescent="0.35">
      <c r="A313" s="32" t="s">
        <v>1421</v>
      </c>
      <c r="B313" s="32">
        <v>17</v>
      </c>
      <c r="C313" s="32" t="s">
        <v>442</v>
      </c>
      <c r="D313" s="32" t="s">
        <v>2021</v>
      </c>
      <c r="E313" s="32" t="s">
        <v>2026</v>
      </c>
      <c r="F313" s="32" t="s">
        <v>19</v>
      </c>
      <c r="G313" s="32" t="s">
        <v>2014</v>
      </c>
      <c r="H313" s="36" t="s">
        <v>34</v>
      </c>
    </row>
    <row r="314" spans="1:8" x14ac:dyDescent="0.35">
      <c r="A314" s="31" t="s">
        <v>1421</v>
      </c>
      <c r="B314" s="31">
        <v>17</v>
      </c>
      <c r="C314" s="31" t="s">
        <v>442</v>
      </c>
      <c r="D314" s="31" t="s">
        <v>2021</v>
      </c>
      <c r="E314" s="31" t="s">
        <v>2027</v>
      </c>
      <c r="F314" s="31" t="s">
        <v>19</v>
      </c>
      <c r="G314" s="31" t="s">
        <v>2028</v>
      </c>
      <c r="H314" s="35" t="s">
        <v>33</v>
      </c>
    </row>
    <row r="315" spans="1:8" x14ac:dyDescent="0.35">
      <c r="A315" s="32" t="s">
        <v>1421</v>
      </c>
      <c r="B315" s="32">
        <v>17</v>
      </c>
      <c r="C315" s="32" t="s">
        <v>442</v>
      </c>
      <c r="D315" s="32" t="s">
        <v>2021</v>
      </c>
      <c r="E315" s="32" t="s">
        <v>2029</v>
      </c>
      <c r="F315" s="32" t="s">
        <v>23</v>
      </c>
      <c r="G315" s="32" t="s">
        <v>2030</v>
      </c>
      <c r="H315" s="36" t="s">
        <v>33</v>
      </c>
    </row>
    <row r="316" spans="1:8" x14ac:dyDescent="0.35">
      <c r="A316" s="31" t="s">
        <v>1421</v>
      </c>
      <c r="B316" s="31">
        <v>18</v>
      </c>
      <c r="C316" s="31" t="s">
        <v>472</v>
      </c>
      <c r="D316" s="31" t="s">
        <v>2031</v>
      </c>
      <c r="E316" s="31" t="s">
        <v>2032</v>
      </c>
      <c r="F316" s="31" t="s">
        <v>19</v>
      </c>
      <c r="G316" s="31" t="s">
        <v>2033</v>
      </c>
      <c r="H316" s="35" t="s">
        <v>33</v>
      </c>
    </row>
    <row r="317" spans="1:8" x14ac:dyDescent="0.35">
      <c r="A317" s="32" t="s">
        <v>1421</v>
      </c>
      <c r="B317" s="32">
        <v>18</v>
      </c>
      <c r="C317" s="32" t="s">
        <v>472</v>
      </c>
      <c r="D317" s="32" t="s">
        <v>2031</v>
      </c>
      <c r="E317" s="32" t="s">
        <v>2034</v>
      </c>
      <c r="F317" s="32" t="s">
        <v>21</v>
      </c>
      <c r="G317" s="32" t="s">
        <v>2035</v>
      </c>
      <c r="H317" s="36" t="s">
        <v>33</v>
      </c>
    </row>
    <row r="318" spans="1:8" x14ac:dyDescent="0.35">
      <c r="A318" s="31" t="s">
        <v>1421</v>
      </c>
      <c r="B318" s="31">
        <v>18</v>
      </c>
      <c r="C318" s="31" t="s">
        <v>472</v>
      </c>
      <c r="D318" s="31" t="s">
        <v>2031</v>
      </c>
      <c r="E318" s="31" t="s">
        <v>2036</v>
      </c>
      <c r="F318" s="31" t="s">
        <v>21</v>
      </c>
      <c r="G318" s="31" t="s">
        <v>2037</v>
      </c>
      <c r="H318" s="35" t="s">
        <v>33</v>
      </c>
    </row>
    <row r="319" spans="1:8" x14ac:dyDescent="0.35">
      <c r="A319" s="32" t="s">
        <v>1421</v>
      </c>
      <c r="B319" s="32">
        <v>18</v>
      </c>
      <c r="C319" s="32" t="s">
        <v>472</v>
      </c>
      <c r="D319" s="32" t="s">
        <v>2031</v>
      </c>
      <c r="E319" s="32" t="s">
        <v>2038</v>
      </c>
      <c r="F319" s="32" t="s">
        <v>21</v>
      </c>
      <c r="G319" s="32" t="s">
        <v>2039</v>
      </c>
      <c r="H319" s="36" t="s">
        <v>33</v>
      </c>
    </row>
    <row r="320" spans="1:8" x14ac:dyDescent="0.35">
      <c r="A320" s="31" t="s">
        <v>1421</v>
      </c>
      <c r="B320" s="31">
        <v>18</v>
      </c>
      <c r="C320" s="31" t="s">
        <v>472</v>
      </c>
      <c r="D320" s="31" t="s">
        <v>2031</v>
      </c>
      <c r="E320" s="31" t="s">
        <v>2040</v>
      </c>
      <c r="F320" s="31" t="s">
        <v>19</v>
      </c>
      <c r="G320" s="31" t="s">
        <v>2041</v>
      </c>
      <c r="H320" s="35" t="s">
        <v>33</v>
      </c>
    </row>
    <row r="321" spans="1:8" x14ac:dyDescent="0.35">
      <c r="A321" s="32" t="s">
        <v>1421</v>
      </c>
      <c r="B321" s="32">
        <v>18</v>
      </c>
      <c r="C321" s="32" t="s">
        <v>472</v>
      </c>
      <c r="D321" s="32" t="s">
        <v>2031</v>
      </c>
      <c r="E321" s="32" t="s">
        <v>2042</v>
      </c>
      <c r="F321" s="32" t="s">
        <v>19</v>
      </c>
      <c r="G321" s="32" t="s">
        <v>2043</v>
      </c>
      <c r="H321" s="36" t="s">
        <v>33</v>
      </c>
    </row>
    <row r="322" spans="1:8" x14ac:dyDescent="0.35">
      <c r="A322" s="31" t="s">
        <v>1421</v>
      </c>
      <c r="B322" s="31">
        <v>18</v>
      </c>
      <c r="C322" s="31" t="s">
        <v>472</v>
      </c>
      <c r="D322" s="31" t="s">
        <v>2031</v>
      </c>
      <c r="E322" s="31" t="s">
        <v>2042</v>
      </c>
      <c r="F322" s="31" t="s">
        <v>25</v>
      </c>
      <c r="G322" s="31" t="s">
        <v>2044</v>
      </c>
      <c r="H322" s="35" t="s">
        <v>34</v>
      </c>
    </row>
    <row r="323" spans="1:8" x14ac:dyDescent="0.35">
      <c r="A323" s="32" t="s">
        <v>1421</v>
      </c>
      <c r="B323" s="32">
        <v>18</v>
      </c>
      <c r="C323" s="32" t="s">
        <v>472</v>
      </c>
      <c r="D323" s="32" t="s">
        <v>2045</v>
      </c>
      <c r="E323" s="32" t="s">
        <v>2046</v>
      </c>
      <c r="F323" s="32" t="s">
        <v>19</v>
      </c>
      <c r="G323" s="32" t="s">
        <v>2041</v>
      </c>
      <c r="H323" s="36" t="s">
        <v>33</v>
      </c>
    </row>
    <row r="324" spans="1:8" x14ac:dyDescent="0.35">
      <c r="A324" s="31" t="s">
        <v>1421</v>
      </c>
      <c r="B324" s="31">
        <v>18</v>
      </c>
      <c r="C324" s="31" t="s">
        <v>472</v>
      </c>
      <c r="D324" s="31" t="s">
        <v>2047</v>
      </c>
      <c r="E324" s="31" t="s">
        <v>2048</v>
      </c>
      <c r="F324" s="31" t="s">
        <v>19</v>
      </c>
      <c r="G324" s="31" t="s">
        <v>2049</v>
      </c>
      <c r="H324" s="35" t="s">
        <v>33</v>
      </c>
    </row>
    <row r="325" spans="1:8" x14ac:dyDescent="0.35">
      <c r="A325" s="32" t="s">
        <v>1421</v>
      </c>
      <c r="B325" s="32">
        <v>18</v>
      </c>
      <c r="C325" s="32" t="s">
        <v>472</v>
      </c>
      <c r="D325" s="32" t="s">
        <v>2047</v>
      </c>
      <c r="E325" s="32" t="s">
        <v>2050</v>
      </c>
      <c r="F325" s="32" t="s">
        <v>21</v>
      </c>
      <c r="G325" s="32" t="s">
        <v>2051</v>
      </c>
      <c r="H325" s="36" t="s">
        <v>33</v>
      </c>
    </row>
    <row r="326" spans="1:8" x14ac:dyDescent="0.35">
      <c r="A326" s="31" t="s">
        <v>1421</v>
      </c>
      <c r="B326" s="31">
        <v>18</v>
      </c>
      <c r="C326" s="31" t="s">
        <v>472</v>
      </c>
      <c r="D326" s="31" t="s">
        <v>2047</v>
      </c>
      <c r="E326" s="31" t="s">
        <v>2052</v>
      </c>
      <c r="F326" s="31" t="s">
        <v>18</v>
      </c>
      <c r="G326" s="31" t="s">
        <v>2053</v>
      </c>
      <c r="H326" s="35" t="s">
        <v>33</v>
      </c>
    </row>
    <row r="327" spans="1:8" x14ac:dyDescent="0.35">
      <c r="A327" s="32" t="s">
        <v>1421</v>
      </c>
      <c r="B327" s="32">
        <v>18</v>
      </c>
      <c r="C327" s="32" t="s">
        <v>472</v>
      </c>
      <c r="D327" s="32" t="s">
        <v>2047</v>
      </c>
      <c r="E327" s="32" t="s">
        <v>2054</v>
      </c>
      <c r="F327" s="32" t="s">
        <v>20</v>
      </c>
      <c r="G327" s="32" t="s">
        <v>2055</v>
      </c>
      <c r="H327" s="36" t="s">
        <v>33</v>
      </c>
    </row>
    <row r="328" spans="1:8" x14ac:dyDescent="0.35">
      <c r="A328" s="31" t="s">
        <v>1421</v>
      </c>
      <c r="B328" s="31">
        <v>18</v>
      </c>
      <c r="C328" s="31" t="s">
        <v>472</v>
      </c>
      <c r="D328" s="31" t="s">
        <v>2047</v>
      </c>
      <c r="E328" s="31" t="s">
        <v>2056</v>
      </c>
      <c r="F328" s="31" t="s">
        <v>25</v>
      </c>
      <c r="G328" s="31" t="s">
        <v>2057</v>
      </c>
      <c r="H328" s="35" t="s">
        <v>34</v>
      </c>
    </row>
    <row r="329" spans="1:8" x14ac:dyDescent="0.35">
      <c r="A329" s="32" t="s">
        <v>1421</v>
      </c>
      <c r="B329" s="32">
        <v>19</v>
      </c>
      <c r="C329" s="32" t="s">
        <v>2058</v>
      </c>
      <c r="D329" s="32" t="s">
        <v>2059</v>
      </c>
      <c r="E329" s="32" t="s">
        <v>2060</v>
      </c>
      <c r="F329" s="32" t="s">
        <v>25</v>
      </c>
      <c r="G329" s="32" t="s">
        <v>2061</v>
      </c>
      <c r="H329" s="36" t="s">
        <v>34</v>
      </c>
    </row>
    <row r="330" spans="1:8" x14ac:dyDescent="0.35">
      <c r="A330" s="31" t="s">
        <v>1421</v>
      </c>
      <c r="B330" s="31">
        <v>19</v>
      </c>
      <c r="C330" s="31" t="s">
        <v>2058</v>
      </c>
      <c r="D330" s="31" t="s">
        <v>2059</v>
      </c>
      <c r="E330" s="31" t="s">
        <v>2062</v>
      </c>
      <c r="F330" s="31" t="s">
        <v>25</v>
      </c>
      <c r="G330" s="31" t="s">
        <v>2063</v>
      </c>
      <c r="H330" s="35" t="s">
        <v>34</v>
      </c>
    </row>
    <row r="331" spans="1:8" x14ac:dyDescent="0.35">
      <c r="A331" s="32" t="s">
        <v>1421</v>
      </c>
      <c r="B331" s="32">
        <v>19</v>
      </c>
      <c r="C331" s="32" t="s">
        <v>2058</v>
      </c>
      <c r="D331" s="32" t="s">
        <v>2059</v>
      </c>
      <c r="E331" s="32" t="s">
        <v>2064</v>
      </c>
      <c r="F331" s="32" t="s">
        <v>19</v>
      </c>
      <c r="G331" s="32" t="s">
        <v>1756</v>
      </c>
      <c r="H331" s="36" t="s">
        <v>33</v>
      </c>
    </row>
    <row r="332" spans="1:8" x14ac:dyDescent="0.35">
      <c r="A332" s="31" t="s">
        <v>1421</v>
      </c>
      <c r="B332" s="31">
        <v>19</v>
      </c>
      <c r="C332" s="31" t="s">
        <v>2058</v>
      </c>
      <c r="D332" s="31" t="s">
        <v>2059</v>
      </c>
      <c r="E332" s="31" t="s">
        <v>2064</v>
      </c>
      <c r="F332" s="31" t="s">
        <v>21</v>
      </c>
      <c r="G332" s="31" t="s">
        <v>2065</v>
      </c>
      <c r="H332" s="35" t="s">
        <v>33</v>
      </c>
    </row>
    <row r="333" spans="1:8" x14ac:dyDescent="0.35">
      <c r="A333" s="32" t="s">
        <v>1421</v>
      </c>
      <c r="B333" s="32">
        <v>19</v>
      </c>
      <c r="C333" s="32" t="s">
        <v>2058</v>
      </c>
      <c r="D333" s="32" t="s">
        <v>1276</v>
      </c>
      <c r="E333" s="32" t="s">
        <v>2066</v>
      </c>
      <c r="F333" s="32" t="s">
        <v>21</v>
      </c>
      <c r="G333" s="32" t="s">
        <v>2067</v>
      </c>
      <c r="H333" s="36" t="s">
        <v>60</v>
      </c>
    </row>
    <row r="334" spans="1:8" x14ac:dyDescent="0.35">
      <c r="A334" s="31" t="s">
        <v>1421</v>
      </c>
      <c r="B334" s="31">
        <v>19</v>
      </c>
      <c r="C334" s="31" t="s">
        <v>2058</v>
      </c>
      <c r="D334" s="31" t="s">
        <v>1276</v>
      </c>
      <c r="E334" s="31" t="s">
        <v>2068</v>
      </c>
      <c r="F334" s="31" t="s">
        <v>18</v>
      </c>
      <c r="G334" s="31" t="s">
        <v>2069</v>
      </c>
      <c r="H334" s="35" t="s">
        <v>33</v>
      </c>
    </row>
    <row r="335" spans="1:8" x14ac:dyDescent="0.35">
      <c r="A335" s="32" t="s">
        <v>1421</v>
      </c>
      <c r="B335" s="32">
        <v>19</v>
      </c>
      <c r="C335" s="32" t="s">
        <v>2058</v>
      </c>
      <c r="D335" s="32" t="s">
        <v>2070</v>
      </c>
      <c r="E335" s="32" t="s">
        <v>2071</v>
      </c>
      <c r="F335" s="32" t="s">
        <v>18</v>
      </c>
      <c r="G335" s="32" t="s">
        <v>2072</v>
      </c>
      <c r="H335" s="36" t="s">
        <v>33</v>
      </c>
    </row>
    <row r="336" spans="1:8" x14ac:dyDescent="0.35">
      <c r="A336" s="31" t="s">
        <v>1421</v>
      </c>
      <c r="B336" s="31">
        <v>19</v>
      </c>
      <c r="C336" s="31" t="s">
        <v>2058</v>
      </c>
      <c r="D336" s="31" t="s">
        <v>2070</v>
      </c>
      <c r="E336" s="31" t="s">
        <v>2073</v>
      </c>
      <c r="F336" s="31" t="s">
        <v>18</v>
      </c>
      <c r="G336" s="31" t="s">
        <v>2074</v>
      </c>
      <c r="H336" s="35" t="s">
        <v>60</v>
      </c>
    </row>
    <row r="337" spans="1:8" x14ac:dyDescent="0.35">
      <c r="A337" s="32" t="s">
        <v>1421</v>
      </c>
      <c r="B337" s="32">
        <v>20</v>
      </c>
      <c r="C337" s="32" t="s">
        <v>519</v>
      </c>
      <c r="D337" s="32" t="s">
        <v>2075</v>
      </c>
      <c r="E337" s="32" t="s">
        <v>2076</v>
      </c>
      <c r="F337" s="32" t="s">
        <v>21</v>
      </c>
      <c r="G337" s="32" t="s">
        <v>2077</v>
      </c>
      <c r="H337" s="36" t="s">
        <v>33</v>
      </c>
    </row>
    <row r="338" spans="1:8" x14ac:dyDescent="0.35">
      <c r="A338" s="31" t="s">
        <v>1421</v>
      </c>
      <c r="B338" s="31">
        <v>20</v>
      </c>
      <c r="C338" s="31" t="s">
        <v>519</v>
      </c>
      <c r="D338" s="31" t="s">
        <v>2075</v>
      </c>
      <c r="E338" s="31" t="s">
        <v>2076</v>
      </c>
      <c r="F338" s="31" t="s">
        <v>25</v>
      </c>
      <c r="G338" s="31" t="s">
        <v>2078</v>
      </c>
      <c r="H338" s="35" t="s">
        <v>33</v>
      </c>
    </row>
    <row r="339" spans="1:8" x14ac:dyDescent="0.35">
      <c r="A339" s="32" t="s">
        <v>1421</v>
      </c>
      <c r="B339" s="32">
        <v>20</v>
      </c>
      <c r="C339" s="32" t="s">
        <v>519</v>
      </c>
      <c r="D339" s="32" t="s">
        <v>2075</v>
      </c>
      <c r="E339" s="32" t="s">
        <v>2079</v>
      </c>
      <c r="F339" s="32" t="s">
        <v>23</v>
      </c>
      <c r="G339" s="32" t="s">
        <v>2080</v>
      </c>
      <c r="H339" s="36" t="s">
        <v>33</v>
      </c>
    </row>
    <row r="340" spans="1:8" x14ac:dyDescent="0.35">
      <c r="A340" s="31" t="s">
        <v>1421</v>
      </c>
      <c r="B340" s="31">
        <v>20</v>
      </c>
      <c r="C340" s="31" t="s">
        <v>519</v>
      </c>
      <c r="D340" s="31" t="s">
        <v>2075</v>
      </c>
      <c r="E340" s="31" t="s">
        <v>2081</v>
      </c>
      <c r="F340" s="31" t="s">
        <v>23</v>
      </c>
      <c r="G340" s="31" t="s">
        <v>2082</v>
      </c>
      <c r="H340" s="35" t="s">
        <v>33</v>
      </c>
    </row>
    <row r="341" spans="1:8" x14ac:dyDescent="0.35">
      <c r="A341" s="32" t="s">
        <v>1421</v>
      </c>
      <c r="B341" s="32">
        <v>20</v>
      </c>
      <c r="C341" s="32" t="s">
        <v>519</v>
      </c>
      <c r="D341" s="32" t="s">
        <v>2075</v>
      </c>
      <c r="E341" s="32" t="s">
        <v>2081</v>
      </c>
      <c r="F341" s="32" t="s">
        <v>23</v>
      </c>
      <c r="G341" s="32" t="s">
        <v>2083</v>
      </c>
      <c r="H341" s="36" t="s">
        <v>33</v>
      </c>
    </row>
    <row r="342" spans="1:8" x14ac:dyDescent="0.35">
      <c r="A342" s="31" t="s">
        <v>1421</v>
      </c>
      <c r="B342" s="31">
        <v>20</v>
      </c>
      <c r="C342" s="31" t="s">
        <v>519</v>
      </c>
      <c r="D342" s="31" t="s">
        <v>2084</v>
      </c>
      <c r="E342" s="31" t="s">
        <v>2085</v>
      </c>
      <c r="F342" s="31" t="s">
        <v>25</v>
      </c>
      <c r="G342" s="31" t="s">
        <v>2086</v>
      </c>
      <c r="H342" s="35" t="s">
        <v>34</v>
      </c>
    </row>
    <row r="343" spans="1:8" x14ac:dyDescent="0.35">
      <c r="A343" s="32" t="s">
        <v>1421</v>
      </c>
      <c r="B343" s="32">
        <v>20</v>
      </c>
      <c r="C343" s="32" t="s">
        <v>519</v>
      </c>
      <c r="D343" s="32" t="s">
        <v>2084</v>
      </c>
      <c r="E343" s="32" t="s">
        <v>2087</v>
      </c>
      <c r="F343" s="32" t="s">
        <v>21</v>
      </c>
      <c r="G343" s="32" t="s">
        <v>2088</v>
      </c>
      <c r="H343" s="36" t="s">
        <v>33</v>
      </c>
    </row>
    <row r="344" spans="1:8" x14ac:dyDescent="0.35">
      <c r="A344" s="31" t="s">
        <v>1421</v>
      </c>
      <c r="B344" s="31">
        <v>20</v>
      </c>
      <c r="C344" s="31" t="s">
        <v>519</v>
      </c>
      <c r="D344" s="31" t="s">
        <v>2084</v>
      </c>
      <c r="E344" s="31" t="s">
        <v>2089</v>
      </c>
      <c r="F344" s="31" t="s">
        <v>25</v>
      </c>
      <c r="G344" s="31" t="s">
        <v>2090</v>
      </c>
      <c r="H344" s="35" t="s">
        <v>34</v>
      </c>
    </row>
    <row r="345" spans="1:8" x14ac:dyDescent="0.35">
      <c r="A345" s="32" t="s">
        <v>1421</v>
      </c>
      <c r="B345" s="32">
        <v>20</v>
      </c>
      <c r="C345" s="32" t="s">
        <v>519</v>
      </c>
      <c r="D345" s="32" t="s">
        <v>2091</v>
      </c>
      <c r="E345" s="32" t="s">
        <v>2092</v>
      </c>
      <c r="F345" s="32" t="s">
        <v>21</v>
      </c>
      <c r="G345" s="32" t="s">
        <v>2093</v>
      </c>
      <c r="H345" s="36" t="s">
        <v>33</v>
      </c>
    </row>
    <row r="346" spans="1:8" x14ac:dyDescent="0.35">
      <c r="A346" s="31" t="s">
        <v>1421</v>
      </c>
      <c r="B346" s="31">
        <v>20</v>
      </c>
      <c r="C346" s="31" t="s">
        <v>519</v>
      </c>
      <c r="D346" s="31" t="s">
        <v>2094</v>
      </c>
      <c r="E346" s="31" t="s">
        <v>2095</v>
      </c>
      <c r="F346" s="31" t="s">
        <v>21</v>
      </c>
      <c r="G346" s="31" t="s">
        <v>2096</v>
      </c>
      <c r="H346" s="35" t="s">
        <v>60</v>
      </c>
    </row>
    <row r="347" spans="1:8" ht="23.25" x14ac:dyDescent="0.35">
      <c r="A347" s="32" t="s">
        <v>1421</v>
      </c>
      <c r="B347" s="32">
        <v>20</v>
      </c>
      <c r="C347" s="32" t="s">
        <v>519</v>
      </c>
      <c r="D347" s="32" t="s">
        <v>2094</v>
      </c>
      <c r="E347" s="32" t="s">
        <v>2097</v>
      </c>
      <c r="F347" s="32" t="s">
        <v>21</v>
      </c>
      <c r="G347" s="32" t="s">
        <v>2098</v>
      </c>
      <c r="H347" s="36" t="s">
        <v>33</v>
      </c>
    </row>
    <row r="348" spans="1:8" x14ac:dyDescent="0.35">
      <c r="A348" s="31" t="s">
        <v>1421</v>
      </c>
      <c r="B348" s="31">
        <v>20</v>
      </c>
      <c r="C348" s="31" t="s">
        <v>519</v>
      </c>
      <c r="D348" s="31" t="s">
        <v>2099</v>
      </c>
      <c r="E348" s="31" t="s">
        <v>2100</v>
      </c>
      <c r="F348" s="31" t="s">
        <v>25</v>
      </c>
      <c r="G348" s="31" t="s">
        <v>2101</v>
      </c>
      <c r="H348" s="35" t="s">
        <v>33</v>
      </c>
    </row>
    <row r="349" spans="1:8" x14ac:dyDescent="0.35">
      <c r="A349" s="32" t="s">
        <v>1421</v>
      </c>
      <c r="B349" s="32">
        <v>20</v>
      </c>
      <c r="C349" s="32" t="s">
        <v>519</v>
      </c>
      <c r="D349" s="32" t="s">
        <v>2099</v>
      </c>
      <c r="E349" s="32" t="s">
        <v>2102</v>
      </c>
      <c r="F349" s="32" t="s">
        <v>21</v>
      </c>
      <c r="G349" s="32" t="s">
        <v>2103</v>
      </c>
      <c r="H349" s="36" t="s">
        <v>33</v>
      </c>
    </row>
    <row r="350" spans="1:8" x14ac:dyDescent="0.35">
      <c r="A350" s="31" t="s">
        <v>1421</v>
      </c>
      <c r="B350" s="31">
        <v>20</v>
      </c>
      <c r="C350" s="31" t="s">
        <v>519</v>
      </c>
      <c r="D350" s="31" t="s">
        <v>2099</v>
      </c>
      <c r="E350" s="31" t="s">
        <v>2104</v>
      </c>
      <c r="F350" s="31" t="s">
        <v>19</v>
      </c>
      <c r="G350" s="31" t="s">
        <v>2105</v>
      </c>
      <c r="H350" s="35" t="s">
        <v>33</v>
      </c>
    </row>
    <row r="351" spans="1:8" x14ac:dyDescent="0.35">
      <c r="A351" s="32" t="s">
        <v>1421</v>
      </c>
      <c r="B351" s="32">
        <v>20</v>
      </c>
      <c r="C351" s="32" t="s">
        <v>519</v>
      </c>
      <c r="D351" s="32" t="s">
        <v>2099</v>
      </c>
      <c r="E351" s="32" t="s">
        <v>2104</v>
      </c>
      <c r="F351" s="32" t="s">
        <v>21</v>
      </c>
      <c r="G351" s="32" t="s">
        <v>2106</v>
      </c>
      <c r="H351" s="36" t="s">
        <v>33</v>
      </c>
    </row>
    <row r="352" spans="1:8" x14ac:dyDescent="0.35">
      <c r="A352" s="31" t="s">
        <v>1421</v>
      </c>
      <c r="B352" s="31">
        <v>20</v>
      </c>
      <c r="C352" s="31" t="s">
        <v>519</v>
      </c>
      <c r="D352" s="31" t="s">
        <v>2099</v>
      </c>
      <c r="E352" s="31" t="s">
        <v>2107</v>
      </c>
      <c r="F352" s="31" t="s">
        <v>21</v>
      </c>
      <c r="G352" s="31" t="s">
        <v>2108</v>
      </c>
      <c r="H352" s="35" t="s">
        <v>33</v>
      </c>
    </row>
    <row r="353" spans="1:8" x14ac:dyDescent="0.35">
      <c r="A353" s="32" t="s">
        <v>1421</v>
      </c>
      <c r="B353" s="32">
        <v>20</v>
      </c>
      <c r="C353" s="32" t="s">
        <v>519</v>
      </c>
      <c r="D353" s="32" t="s">
        <v>2109</v>
      </c>
      <c r="E353" s="32" t="s">
        <v>2110</v>
      </c>
      <c r="F353" s="32" t="s">
        <v>19</v>
      </c>
      <c r="G353" s="32" t="s">
        <v>2105</v>
      </c>
      <c r="H353" s="36" t="s">
        <v>33</v>
      </c>
    </row>
    <row r="354" spans="1:8" x14ac:dyDescent="0.35">
      <c r="A354" s="31" t="s">
        <v>1421</v>
      </c>
      <c r="B354" s="31">
        <v>20</v>
      </c>
      <c r="C354" s="31" t="s">
        <v>519</v>
      </c>
      <c r="D354" s="31" t="s">
        <v>2109</v>
      </c>
      <c r="E354" s="31" t="s">
        <v>2111</v>
      </c>
      <c r="F354" s="31" t="s">
        <v>20</v>
      </c>
      <c r="G354" s="31" t="s">
        <v>2112</v>
      </c>
      <c r="H354" s="35" t="s">
        <v>33</v>
      </c>
    </row>
    <row r="355" spans="1:8" x14ac:dyDescent="0.35">
      <c r="A355" s="32" t="s">
        <v>1421</v>
      </c>
      <c r="B355" s="32">
        <v>20</v>
      </c>
      <c r="C355" s="32" t="s">
        <v>519</v>
      </c>
      <c r="D355" s="32" t="s">
        <v>2113</v>
      </c>
      <c r="E355" s="32" t="s">
        <v>2114</v>
      </c>
      <c r="F355" s="32" t="s">
        <v>25</v>
      </c>
      <c r="G355" s="32" t="s">
        <v>2115</v>
      </c>
      <c r="H355" s="36" t="s">
        <v>33</v>
      </c>
    </row>
    <row r="356" spans="1:8" x14ac:dyDescent="0.35">
      <c r="A356" s="31" t="s">
        <v>1421</v>
      </c>
      <c r="B356" s="31">
        <v>20</v>
      </c>
      <c r="C356" s="31" t="s">
        <v>519</v>
      </c>
      <c r="D356" s="31" t="s">
        <v>2116</v>
      </c>
      <c r="E356" s="31" t="s">
        <v>2117</v>
      </c>
      <c r="F356" s="31" t="s">
        <v>19</v>
      </c>
      <c r="G356" s="31" t="s">
        <v>2118</v>
      </c>
      <c r="H356" s="35" t="s">
        <v>60</v>
      </c>
    </row>
    <row r="357" spans="1:8" ht="23.25" x14ac:dyDescent="0.35">
      <c r="A357" s="32" t="s">
        <v>1421</v>
      </c>
      <c r="B357" s="32">
        <v>20</v>
      </c>
      <c r="C357" s="32" t="s">
        <v>519</v>
      </c>
      <c r="D357" s="32" t="s">
        <v>2116</v>
      </c>
      <c r="E357" s="32" t="s">
        <v>2119</v>
      </c>
      <c r="F357" s="32" t="s">
        <v>25</v>
      </c>
      <c r="G357" s="32" t="s">
        <v>2120</v>
      </c>
      <c r="H357" s="36" t="s">
        <v>60</v>
      </c>
    </row>
    <row r="358" spans="1:8" x14ac:dyDescent="0.35">
      <c r="A358" s="31" t="s">
        <v>1421</v>
      </c>
      <c r="B358" s="31">
        <v>20</v>
      </c>
      <c r="C358" s="31" t="s">
        <v>519</v>
      </c>
      <c r="D358" s="31" t="s">
        <v>2116</v>
      </c>
      <c r="E358" s="31" t="s">
        <v>2121</v>
      </c>
      <c r="F358" s="31" t="s">
        <v>21</v>
      </c>
      <c r="G358" s="31" t="s">
        <v>2122</v>
      </c>
      <c r="H358" s="35" t="s">
        <v>33</v>
      </c>
    </row>
    <row r="359" spans="1:8" x14ac:dyDescent="0.35">
      <c r="A359" s="32" t="s">
        <v>1421</v>
      </c>
      <c r="B359" s="32">
        <v>20</v>
      </c>
      <c r="C359" s="32" t="s">
        <v>519</v>
      </c>
      <c r="D359" s="32" t="s">
        <v>2116</v>
      </c>
      <c r="E359" s="32" t="s">
        <v>2123</v>
      </c>
      <c r="F359" s="32" t="s">
        <v>25</v>
      </c>
      <c r="G359" s="32" t="s">
        <v>2124</v>
      </c>
      <c r="H359" s="36" t="s">
        <v>34</v>
      </c>
    </row>
  </sheetData>
  <autoFilter ref="A1:H359" xr:uid="{6A6B8E42-BAF5-4AC5-82D1-5136B559D4B3}"/>
  <dataValidations count="2">
    <dataValidation type="list" allowBlank="1" showErrorMessage="1" sqref="F2:F77" xr:uid="{F27C35C7-1098-4A35-8B5C-7C32052BB787}">
      <formula1>"material,move_legality,piece_placement,piece_relations,geometry,reasoning,other"</formula1>
    </dataValidation>
    <dataValidation type="list" allowBlank="1" showErrorMessage="1" sqref="A2:A12" xr:uid="{AF663F89-D78C-4051-90B8-ED1ABE6F4D6E}">
      <formula1>"Deepseek V3.2,Kimi K2.5,Qwen 3.5 397B A17B,Llama 4 Maverick,Opus 4.6,GPT 5.4,Gemini 3.1 Pro"</formula1>
      <formula2>0</formula2>
    </dataValidation>
  </dataValidations>
  <pageMargins left="0.7" right="0.7" top="0.75" bottom="0.75"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764F4-AE6B-4296-B786-9E4C7BC2F700}">
  <sheetPr>
    <tabColor rgb="FF7030A0"/>
  </sheetPr>
  <dimension ref="A1:I359"/>
  <sheetViews>
    <sheetView zoomScaleNormal="100" workbookViewId="0">
      <pane ySplit="1" topLeftCell="A2" activePane="bottomLeft" state="frozen"/>
      <selection pane="bottomLeft" activeCell="A2" sqref="A2"/>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37" t="s">
        <v>6</v>
      </c>
      <c r="B1" s="10" t="s">
        <v>7</v>
      </c>
      <c r="C1" s="10" t="s">
        <v>8</v>
      </c>
      <c r="D1" s="10" t="s">
        <v>9</v>
      </c>
      <c r="E1" s="10" t="s">
        <v>10</v>
      </c>
      <c r="F1" s="10" t="s">
        <v>11</v>
      </c>
      <c r="G1" s="10" t="s">
        <v>12</v>
      </c>
      <c r="H1" s="10" t="s">
        <v>13</v>
      </c>
      <c r="I1" s="10" t="s">
        <v>14</v>
      </c>
    </row>
    <row r="2" spans="1:9" ht="13.15" x14ac:dyDescent="0.35">
      <c r="A2" s="21">
        <v>1</v>
      </c>
      <c r="B2" s="16">
        <f>'Data DEEPSEEK'!B2</f>
        <v>1</v>
      </c>
      <c r="C2" s="22" t="str">
        <f>'Data DEEPSEEK'!F2</f>
        <v>reasoning</v>
      </c>
      <c r="D2" s="16" t="str">
        <f>LOWER(TRIM('Data DEEPSEEK'!H2))</f>
        <v>medium</v>
      </c>
      <c r="E2" s="23">
        <f>IF(ISNUMBER(SEARCH("move_legality",C2)),Parameters!$B$4,IF(ISNUMBER(SEARCH("piece_placement",C2)),Parameters!$B$5,IF(ISNUMBER(SEARCH("material",C2)),Parameters!$B$6,IF(ISNUMBER(SEARCH("piece_relations",C2)),Parameters!$B$7,IF(ISNUMBER(SEARCH("geometry",C2)),Parameters!$B$8,IF(ISNUMBER(SEARCH("reasoning",C2)),Parameters!$B$9,Parameters!$B$10))))))</f>
        <v>2</v>
      </c>
      <c r="F2" s="23">
        <f>IF(D2="major",Parameters!$B$14,IF(D2="medium",Parameters!$B$15,Parameters!$B$16))</f>
        <v>2</v>
      </c>
      <c r="G2" s="16">
        <f t="shared" ref="G2" si="0">COUNTIFS($B$2:$B$12,B2,$C$2:$C$12,C2,$F$2:$F$12,"&gt;"&amp;F2)+COUNTIFS($B$2:$B$12,B2,$C$2:$C$12,C2,$F$2:$F$12,F2,$A$2:$A$12,"&lt;="&amp;A2)</f>
        <v>1</v>
      </c>
      <c r="H2" s="24">
        <f>Parameters!$B$20^(G2-1)</f>
        <v>1</v>
      </c>
      <c r="I2" s="18">
        <f>E2*F2*H2</f>
        <v>4</v>
      </c>
    </row>
    <row r="3" spans="1:9" ht="13.15" x14ac:dyDescent="0.35">
      <c r="A3" s="21">
        <v>2</v>
      </c>
      <c r="B3" s="16">
        <f>'Data DEEPSEEK'!B3</f>
        <v>1</v>
      </c>
      <c r="C3" s="22" t="str">
        <f>'Data DEEPSEEK'!F3</f>
        <v>reasoning</v>
      </c>
      <c r="D3" s="16" t="str">
        <f>LOWER(TRIM('Data DEEPSEEK'!H3))</f>
        <v>medium</v>
      </c>
      <c r="E3" s="23">
        <f>IF(ISNUMBER(SEARCH("move_legality",C3)),Parameters!$B$4,IF(ISNUMBER(SEARCH("piece_placement",C3)),Parameters!$B$5,IF(ISNUMBER(SEARCH("material",C3)),Parameters!$B$6,IF(ISNUMBER(SEARCH("piece_relations",C3)),Parameters!$B$7,IF(ISNUMBER(SEARCH("geometry",C3)),Parameters!$B$8,IF(ISNUMBER(SEARCH("reasoning",C3)),Parameters!$B$9,Parameters!$B$10))))))</f>
        <v>2</v>
      </c>
      <c r="F3" s="23">
        <f>IF(D3="major",Parameters!$B$14,IF(D3="medium",Parameters!$B$15,Parameters!$B$16))</f>
        <v>2</v>
      </c>
      <c r="G3" s="16">
        <f t="shared" ref="G3:G66" si="1">COUNTIFS($B$2:$B$12,B3,$C$2:$C$12,C3,$F$2:$F$12,"&gt;"&amp;F3)+COUNTIFS($B$2:$B$12,B3,$C$2:$C$12,C3,$F$2:$F$12,F3,$A$2:$A$12,"&lt;="&amp;A3)</f>
        <v>2</v>
      </c>
      <c r="H3" s="24">
        <f>Parameters!$B$20^(G3-1)</f>
        <v>0.7</v>
      </c>
      <c r="I3" s="18">
        <f t="shared" ref="I3:I66" si="2">E3*F3*H3</f>
        <v>2.8</v>
      </c>
    </row>
    <row r="4" spans="1:9" ht="13.15" x14ac:dyDescent="0.35">
      <c r="A4" s="21">
        <v>3</v>
      </c>
      <c r="B4" s="16">
        <f>'Data DEEPSEEK'!B4</f>
        <v>1</v>
      </c>
      <c r="C4" s="22" t="str">
        <f>'Data DEEPSEEK'!F4</f>
        <v>reasoning</v>
      </c>
      <c r="D4" s="16" t="str">
        <f>LOWER(TRIM('Data DEEPSEEK'!H4))</f>
        <v>medium</v>
      </c>
      <c r="E4" s="23">
        <f>IF(ISNUMBER(SEARCH("move_legality",C4)),Parameters!$B$4,IF(ISNUMBER(SEARCH("piece_placement",C4)),Parameters!$B$5,IF(ISNUMBER(SEARCH("material",C4)),Parameters!$B$6,IF(ISNUMBER(SEARCH("piece_relations",C4)),Parameters!$B$7,IF(ISNUMBER(SEARCH("geometry",C4)),Parameters!$B$8,IF(ISNUMBER(SEARCH("reasoning",C4)),Parameters!$B$9,Parameters!$B$10))))))</f>
        <v>2</v>
      </c>
      <c r="F4" s="23">
        <f>IF(D4="major",Parameters!$B$14,IF(D4="medium",Parameters!$B$15,Parameters!$B$16))</f>
        <v>2</v>
      </c>
      <c r="G4" s="16">
        <f t="shared" si="1"/>
        <v>3</v>
      </c>
      <c r="H4" s="24">
        <f>Parameters!$B$20^(G4-1)</f>
        <v>0.48999999999999994</v>
      </c>
      <c r="I4" s="18">
        <f t="shared" si="2"/>
        <v>1.9599999999999997</v>
      </c>
    </row>
    <row r="5" spans="1:9" ht="13.15" x14ac:dyDescent="0.35">
      <c r="A5" s="21">
        <v>4</v>
      </c>
      <c r="B5" s="16">
        <f>'Data DEEPSEEK'!B5</f>
        <v>1</v>
      </c>
      <c r="C5" s="22" t="str">
        <f>'Data DEEPSEEK'!F5</f>
        <v>piece_relations</v>
      </c>
      <c r="D5" s="16" t="str">
        <f>LOWER(TRIM('Data DEEPSEEK'!H5))</f>
        <v>major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4</v>
      </c>
      <c r="F5" s="23">
        <f>IF(D5="major",Parameters!$B$14,IF(D5="medium",Parameters!$B$15,Parameters!$B$16))</f>
        <v>3</v>
      </c>
      <c r="G5" s="16">
        <f t="shared" si="1"/>
        <v>1</v>
      </c>
      <c r="H5" s="24">
        <f>Parameters!$B$20^(G5-1)</f>
        <v>1</v>
      </c>
      <c r="I5" s="18">
        <f t="shared" si="2"/>
        <v>12</v>
      </c>
    </row>
    <row r="6" spans="1:9" ht="13.15" x14ac:dyDescent="0.35">
      <c r="A6" s="21">
        <v>5</v>
      </c>
      <c r="B6" s="16">
        <f>'Data DEEPSEEK'!B6</f>
        <v>1</v>
      </c>
      <c r="C6" s="22" t="str">
        <f>'Data DEEPSEEK'!F6</f>
        <v>reasoning</v>
      </c>
      <c r="D6" s="16" t="str">
        <f>LOWER(TRIM('Data DEEPSEEK'!H6))</f>
        <v>medium</v>
      </c>
      <c r="E6" s="23">
        <f>IF(ISNUMBER(SEARCH("move_legality",C6)),Parameters!$B$4,IF(ISNUMBER(SEARCH("piece_placement",C6)),Parameters!$B$5,IF(ISNUMBER(SEARCH("material",C6)),Parameters!$B$6,IF(ISNUMBER(SEARCH("piece_relations",C6)),Parameters!$B$7,IF(ISNUMBER(SEARCH("geometry",C6)),Parameters!$B$8,IF(ISNUMBER(SEARCH("reasoning",C6)),Parameters!$B$9,Parameters!$B$10))))))</f>
        <v>2</v>
      </c>
      <c r="F6" s="23">
        <f>IF(D6="major",Parameters!$B$14,IF(D6="medium",Parameters!$B$15,Parameters!$B$16))</f>
        <v>2</v>
      </c>
      <c r="G6" s="16">
        <f t="shared" si="1"/>
        <v>4</v>
      </c>
      <c r="H6" s="24">
        <f>Parameters!$B$20^(G6-1)</f>
        <v>0.34299999999999992</v>
      </c>
      <c r="I6" s="18">
        <f t="shared" si="2"/>
        <v>1.3719999999999997</v>
      </c>
    </row>
    <row r="7" spans="1:9" ht="13.15" x14ac:dyDescent="0.35">
      <c r="A7" s="21">
        <v>6</v>
      </c>
      <c r="B7" s="16">
        <f>'Data DEEPSEEK'!B7</f>
        <v>1</v>
      </c>
      <c r="C7" s="22" t="str">
        <f>'Data DEEPSEEK'!F7</f>
        <v>move_legality</v>
      </c>
      <c r="D7" s="16" t="str">
        <f>LOWER(TRIM('Data DEEPSEEK'!H7))</f>
        <v>major</v>
      </c>
      <c r="E7" s="23">
        <f>IF(ISNUMBER(SEARCH("move_legality",C7)),Parameters!$B$4,IF(ISNUMBER(SEARCH("piece_placement",C7)),Parameters!$B$5,IF(ISNUMBER(SEARCH("material",C7)),Parameters!$B$6,IF(ISNUMBER(SEARCH("piece_relations",C7)),Parameters!$B$7,IF(ISNUMBER(SEARCH("geometry",C7)),Parameters!$B$8,IF(ISNUMBER(SEARCH("reasoning",C7)),Parameters!$B$9,Parameters!$B$10))))))</f>
        <v>8</v>
      </c>
      <c r="F7" s="23">
        <f>IF(D7="major",Parameters!$B$14,IF(D7="medium",Parameters!$B$15,Parameters!$B$16))</f>
        <v>3</v>
      </c>
      <c r="G7" s="16">
        <f t="shared" si="1"/>
        <v>1</v>
      </c>
      <c r="H7" s="24">
        <f>Parameters!$B$20^(G7-1)</f>
        <v>1</v>
      </c>
      <c r="I7" s="18">
        <f t="shared" si="2"/>
        <v>24</v>
      </c>
    </row>
    <row r="8" spans="1:9" ht="13.15" x14ac:dyDescent="0.35">
      <c r="A8" s="21">
        <v>7</v>
      </c>
      <c r="B8" s="16">
        <f>'Data DEEPSEEK'!B8</f>
        <v>1</v>
      </c>
      <c r="C8" s="22" t="str">
        <f>'Data DEEPSEEK'!F8</f>
        <v>move_legality</v>
      </c>
      <c r="D8" s="16" t="str">
        <f>LOWER(TRIM('Data DEEPSEEK'!H8))</f>
        <v>medium</v>
      </c>
      <c r="E8" s="23">
        <f>IF(ISNUMBER(SEARCH("move_legality",C8)),Parameters!$B$4,IF(ISNUMBER(SEARCH("piece_placement",C8)),Parameters!$B$5,IF(ISNUMBER(SEARCH("material",C8)),Parameters!$B$6,IF(ISNUMBER(SEARCH("piece_relations",C8)),Parameters!$B$7,IF(ISNUMBER(SEARCH("geometry",C8)),Parameters!$B$8,IF(ISNUMBER(SEARCH("reasoning",C8)),Parameters!$B$9,Parameters!$B$10))))))</f>
        <v>8</v>
      </c>
      <c r="F8" s="23">
        <f>IF(D8="major",Parameters!$B$14,IF(D8="medium",Parameters!$B$15,Parameters!$B$16))</f>
        <v>2</v>
      </c>
      <c r="G8" s="16">
        <f t="shared" si="1"/>
        <v>2</v>
      </c>
      <c r="H8" s="24">
        <f>Parameters!$B$20^(G8-1)</f>
        <v>0.7</v>
      </c>
      <c r="I8" s="18">
        <f t="shared" si="2"/>
        <v>11.2</v>
      </c>
    </row>
    <row r="9" spans="1:9" ht="13.15" x14ac:dyDescent="0.35">
      <c r="A9" s="21">
        <v>8</v>
      </c>
      <c r="B9" s="16">
        <f>'Data DEEPSEEK'!B9</f>
        <v>1</v>
      </c>
      <c r="C9" s="22" t="str">
        <f>'Data DEEPSEEK'!F9</f>
        <v>piece_relations</v>
      </c>
      <c r="D9" s="16" t="str">
        <f>LOWER(TRIM('Data DEEPSEEK'!H9))</f>
        <v>major</v>
      </c>
      <c r="E9" s="23">
        <f>IF(ISNUMBER(SEARCH("move_legality",C9)),Parameters!$B$4,IF(ISNUMBER(SEARCH("piece_placement",C9)),Parameters!$B$5,IF(ISNUMBER(SEARCH("material",C9)),Parameters!$B$6,IF(ISNUMBER(SEARCH("piece_relations",C9)),Parameters!$B$7,IF(ISNUMBER(SEARCH("geometry",C9)),Parameters!$B$8,IF(ISNUMBER(SEARCH("reasoning",C9)),Parameters!$B$9,Parameters!$B$10))))))</f>
        <v>4</v>
      </c>
      <c r="F9" s="23">
        <f>IF(D9="major",Parameters!$B$14,IF(D9="medium",Parameters!$B$15,Parameters!$B$16))</f>
        <v>3</v>
      </c>
      <c r="G9" s="16">
        <f t="shared" si="1"/>
        <v>2</v>
      </c>
      <c r="H9" s="24">
        <f>Parameters!$B$20^(G9-1)</f>
        <v>0.7</v>
      </c>
      <c r="I9" s="18">
        <f t="shared" si="2"/>
        <v>8.3999999999999986</v>
      </c>
    </row>
    <row r="10" spans="1:9" ht="13.15" x14ac:dyDescent="0.35">
      <c r="A10" s="21">
        <v>9</v>
      </c>
      <c r="B10" s="16">
        <f>'Data DEEPSEEK'!B10</f>
        <v>1</v>
      </c>
      <c r="C10" s="22" t="str">
        <f>'Data DEEPSEEK'!F10</f>
        <v>reasoning</v>
      </c>
      <c r="D10" s="16" t="str">
        <f>LOWER(TRIM('Data DEEPSEEK'!H10))</f>
        <v>medium</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2</v>
      </c>
      <c r="F10" s="23">
        <f>IF(D10="major",Parameters!$B$14,IF(D10="medium",Parameters!$B$15,Parameters!$B$16))</f>
        <v>2</v>
      </c>
      <c r="G10" s="16">
        <f t="shared" si="1"/>
        <v>5</v>
      </c>
      <c r="H10" s="24">
        <f>Parameters!$B$20^(G10-1)</f>
        <v>0.24009999999999992</v>
      </c>
      <c r="I10" s="18">
        <f t="shared" si="2"/>
        <v>0.9603999999999997</v>
      </c>
    </row>
    <row r="11" spans="1:9" ht="13.15" x14ac:dyDescent="0.35">
      <c r="A11" s="21">
        <v>10</v>
      </c>
      <c r="B11" s="16">
        <f>'Data DEEPSEEK'!B11</f>
        <v>1</v>
      </c>
      <c r="C11" s="22" t="str">
        <f>'Data DEEPSEEK'!F11</f>
        <v>piece_relations</v>
      </c>
      <c r="D11" s="16" t="str">
        <f>LOWER(TRIM('Data DEEPSEEK'!H11))</f>
        <v>major</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4</v>
      </c>
      <c r="F11" s="23">
        <f>IF(D11="major",Parameters!$B$14,IF(D11="medium",Parameters!$B$15,Parameters!$B$16))</f>
        <v>3</v>
      </c>
      <c r="G11" s="16">
        <f t="shared" si="1"/>
        <v>3</v>
      </c>
      <c r="H11" s="24">
        <f>Parameters!$B$20^(G11-1)</f>
        <v>0.48999999999999994</v>
      </c>
      <c r="I11" s="18">
        <f t="shared" si="2"/>
        <v>5.879999999999999</v>
      </c>
    </row>
    <row r="12" spans="1:9" ht="13.15" x14ac:dyDescent="0.35">
      <c r="A12" s="21">
        <v>11</v>
      </c>
      <c r="B12" s="16">
        <f>'Data DEEPSEEK'!B12</f>
        <v>1</v>
      </c>
      <c r="C12" s="22" t="str">
        <f>'Data DEEPSEEK'!F12</f>
        <v>piece_relations</v>
      </c>
      <c r="D12" s="16" t="str">
        <f>LOWER(TRIM('Data DEEPSEEK'!H12))</f>
        <v>major</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4</v>
      </c>
      <c r="F12" s="23">
        <f>IF(D12="major",Parameters!$B$14,IF(D12="medium",Parameters!$B$15,Parameters!$B$16))</f>
        <v>3</v>
      </c>
      <c r="G12" s="16">
        <f t="shared" si="1"/>
        <v>4</v>
      </c>
      <c r="H12" s="24">
        <f>Parameters!$B$20^(G12-1)</f>
        <v>0.34299999999999992</v>
      </c>
      <c r="I12" s="18">
        <f t="shared" si="2"/>
        <v>4.1159999999999988</v>
      </c>
    </row>
    <row r="13" spans="1:9" ht="13.15" x14ac:dyDescent="0.35">
      <c r="A13" s="21">
        <v>12</v>
      </c>
      <c r="B13" s="16">
        <f>'Data DEEPSEEK'!B13</f>
        <v>1</v>
      </c>
      <c r="C13" s="22" t="str">
        <f>'Data DEEPSEEK'!F13</f>
        <v>material</v>
      </c>
      <c r="D13" s="16" t="str">
        <f>LOWER(TRIM('Data DEEPSEEK'!H13))</f>
        <v>minor</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5</v>
      </c>
      <c r="F13" s="23">
        <f>IF(D13="major",Parameters!$B$14,IF(D13="medium",Parameters!$B$15,Parameters!$B$16))</f>
        <v>1</v>
      </c>
      <c r="G13" s="16">
        <f t="shared" si="1"/>
        <v>0</v>
      </c>
      <c r="H13" s="24">
        <f>Parameters!$B$20^(G13-1)</f>
        <v>1.4285714285714286</v>
      </c>
      <c r="I13" s="18">
        <f t="shared" si="2"/>
        <v>7.1428571428571432</v>
      </c>
    </row>
    <row r="14" spans="1:9" ht="13.15" x14ac:dyDescent="0.35">
      <c r="A14" s="21">
        <v>13</v>
      </c>
      <c r="B14" s="16">
        <f>'Data DEEPSEEK'!B14</f>
        <v>2</v>
      </c>
      <c r="C14" s="22" t="str">
        <f>'Data DEEPSEEK'!F14</f>
        <v>piece_relations</v>
      </c>
      <c r="D14" s="16" t="str">
        <f>LOWER(TRIM('Data DEEPSEEK'!H14))</f>
        <v>major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4</v>
      </c>
      <c r="F14" s="23">
        <f>IF(D14="major",Parameters!$B$14,IF(D14="medium",Parameters!$B$15,Parameters!$B$16))</f>
        <v>3</v>
      </c>
      <c r="G14" s="16">
        <f t="shared" si="1"/>
        <v>0</v>
      </c>
      <c r="H14" s="24">
        <f>Parameters!$B$20^(G14-1)</f>
        <v>1.4285714285714286</v>
      </c>
      <c r="I14" s="18">
        <f t="shared" si="2"/>
        <v>17.142857142857142</v>
      </c>
    </row>
    <row r="15" spans="1:9" ht="13.15" x14ac:dyDescent="0.35">
      <c r="A15" s="21">
        <v>14</v>
      </c>
      <c r="B15" s="16">
        <f>'Data DEEPSEEK'!B15</f>
        <v>2</v>
      </c>
      <c r="C15" s="22" t="str">
        <f>'Data DEEPSEEK'!F15</f>
        <v>piece_relations</v>
      </c>
      <c r="D15" s="16" t="str">
        <f>LOWER(TRIM('Data DEEPSEEK'!H15))</f>
        <v>major</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4</v>
      </c>
      <c r="F15" s="23">
        <f>IF(D15="major",Parameters!$B$14,IF(D15="medium",Parameters!$B$15,Parameters!$B$16))</f>
        <v>3</v>
      </c>
      <c r="G15" s="16">
        <f t="shared" si="1"/>
        <v>0</v>
      </c>
      <c r="H15" s="24">
        <f>Parameters!$B$20^(G15-1)</f>
        <v>1.4285714285714286</v>
      </c>
      <c r="I15" s="18">
        <f t="shared" si="2"/>
        <v>17.142857142857142</v>
      </c>
    </row>
    <row r="16" spans="1:9" ht="13.15" x14ac:dyDescent="0.35">
      <c r="A16" s="21">
        <v>15</v>
      </c>
      <c r="B16" s="16">
        <f>'Data DEEPSEEK'!B16</f>
        <v>2</v>
      </c>
      <c r="C16" s="22" t="str">
        <f>'Data DEEPSEEK'!F16</f>
        <v>geometry</v>
      </c>
      <c r="D16" s="16" t="str">
        <f>LOWER(TRIM('Data DEEPSEEK'!H16))</f>
        <v>major</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3</v>
      </c>
      <c r="F16" s="23">
        <f>IF(D16="major",Parameters!$B$14,IF(D16="medium",Parameters!$B$15,Parameters!$B$16))</f>
        <v>3</v>
      </c>
      <c r="G16" s="16">
        <f t="shared" si="1"/>
        <v>0</v>
      </c>
      <c r="H16" s="24">
        <f>Parameters!$B$20^(G16-1)</f>
        <v>1.4285714285714286</v>
      </c>
      <c r="I16" s="18">
        <f t="shared" si="2"/>
        <v>12.857142857142858</v>
      </c>
    </row>
    <row r="17" spans="1:9" ht="13.15" x14ac:dyDescent="0.35">
      <c r="A17" s="21">
        <v>16</v>
      </c>
      <c r="B17" s="16">
        <f>'Data DEEPSEEK'!B17</f>
        <v>2</v>
      </c>
      <c r="C17" s="22" t="str">
        <f>'Data DEEPSEEK'!F17</f>
        <v>reasoning</v>
      </c>
      <c r="D17" s="16" t="str">
        <f>LOWER(TRIM('Data DEEPSEEK'!H17))</f>
        <v>medium</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2</v>
      </c>
      <c r="F17" s="23">
        <f>IF(D17="major",Parameters!$B$14,IF(D17="medium",Parameters!$B$15,Parameters!$B$16))</f>
        <v>2</v>
      </c>
      <c r="G17" s="16">
        <f t="shared" si="1"/>
        <v>0</v>
      </c>
      <c r="H17" s="24">
        <f>Parameters!$B$20^(G17-1)</f>
        <v>1.4285714285714286</v>
      </c>
      <c r="I17" s="18">
        <f t="shared" si="2"/>
        <v>5.7142857142857144</v>
      </c>
    </row>
    <row r="18" spans="1:9" ht="13.15" x14ac:dyDescent="0.35">
      <c r="A18" s="21">
        <v>17</v>
      </c>
      <c r="B18" s="16">
        <f>'Data DEEPSEEK'!B18</f>
        <v>2</v>
      </c>
      <c r="C18" s="22" t="str">
        <f>'Data DEEPSEEK'!F18</f>
        <v>piece_relations</v>
      </c>
      <c r="D18" s="16" t="str">
        <f>LOWER(TRIM('Data DEEPSEEK'!H18))</f>
        <v>major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4</v>
      </c>
      <c r="F18" s="23">
        <f>IF(D18="major",Parameters!$B$14,IF(D18="medium",Parameters!$B$15,Parameters!$B$16))</f>
        <v>3</v>
      </c>
      <c r="G18" s="16">
        <f t="shared" si="1"/>
        <v>0</v>
      </c>
      <c r="H18" s="24">
        <f>Parameters!$B$20^(G18-1)</f>
        <v>1.4285714285714286</v>
      </c>
      <c r="I18" s="18">
        <f t="shared" si="2"/>
        <v>17.142857142857142</v>
      </c>
    </row>
    <row r="19" spans="1:9" ht="13.15" x14ac:dyDescent="0.35">
      <c r="A19" s="21">
        <v>18</v>
      </c>
      <c r="B19" s="16">
        <f>'Data DEEPSEEK'!B19</f>
        <v>2</v>
      </c>
      <c r="C19" s="22" t="str">
        <f>'Data DEEPSEEK'!F19</f>
        <v>reasoning</v>
      </c>
      <c r="D19" s="16" t="str">
        <f>LOWER(TRIM('Data DEEPSEEK'!H19))</f>
        <v>medium</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2</v>
      </c>
      <c r="F19" s="23">
        <f>IF(D19="major",Parameters!$B$14,IF(D19="medium",Parameters!$B$15,Parameters!$B$16))</f>
        <v>2</v>
      </c>
      <c r="G19" s="16">
        <f t="shared" si="1"/>
        <v>0</v>
      </c>
      <c r="H19" s="24">
        <f>Parameters!$B$20^(G19-1)</f>
        <v>1.4285714285714286</v>
      </c>
      <c r="I19" s="18">
        <f t="shared" si="2"/>
        <v>5.7142857142857144</v>
      </c>
    </row>
    <row r="20" spans="1:9" ht="13.15" x14ac:dyDescent="0.35">
      <c r="A20" s="21">
        <v>19</v>
      </c>
      <c r="B20" s="16">
        <f>'Data DEEPSEEK'!B20</f>
        <v>2</v>
      </c>
      <c r="C20" s="22" t="str">
        <f>'Data DEEPSEEK'!F20</f>
        <v>piece_relations</v>
      </c>
      <c r="D20" s="16" t="str">
        <f>LOWER(TRIM('Data DEEPSEEK'!H20))</f>
        <v>medium</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4</v>
      </c>
      <c r="F20" s="23">
        <f>IF(D20="major",Parameters!$B$14,IF(D20="medium",Parameters!$B$15,Parameters!$B$16))</f>
        <v>2</v>
      </c>
      <c r="G20" s="16">
        <f t="shared" si="1"/>
        <v>0</v>
      </c>
      <c r="H20" s="24">
        <f>Parameters!$B$20^(G20-1)</f>
        <v>1.4285714285714286</v>
      </c>
      <c r="I20" s="18">
        <f t="shared" si="2"/>
        <v>11.428571428571429</v>
      </c>
    </row>
    <row r="21" spans="1:9" ht="13.15" x14ac:dyDescent="0.35">
      <c r="A21" s="21">
        <v>20</v>
      </c>
      <c r="B21" s="16">
        <f>'Data DEEPSEEK'!B21</f>
        <v>2</v>
      </c>
      <c r="C21" s="22" t="str">
        <f>'Data DEEPSEEK'!F21</f>
        <v>geometry</v>
      </c>
      <c r="D21" s="16" t="str">
        <f>LOWER(TRIM('Data DEEPSEEK'!H21))</f>
        <v>major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3</v>
      </c>
      <c r="F21" s="23">
        <f>IF(D21="major",Parameters!$B$14,IF(D21="medium",Parameters!$B$15,Parameters!$B$16))</f>
        <v>3</v>
      </c>
      <c r="G21" s="16">
        <f t="shared" si="1"/>
        <v>0</v>
      </c>
      <c r="H21" s="24">
        <f>Parameters!$B$20^(G21-1)</f>
        <v>1.4285714285714286</v>
      </c>
      <c r="I21" s="18">
        <f t="shared" si="2"/>
        <v>12.857142857142858</v>
      </c>
    </row>
    <row r="22" spans="1:9" ht="13.15" x14ac:dyDescent="0.35">
      <c r="A22" s="21">
        <v>21</v>
      </c>
      <c r="B22" s="16">
        <f>'Data DEEPSEEK'!B22</f>
        <v>2</v>
      </c>
      <c r="C22" s="22" t="str">
        <f>'Data DEEPSEEK'!F22</f>
        <v>piece_relations</v>
      </c>
      <c r="D22" s="16" t="str">
        <f>LOWER(TRIM('Data DEEPSEEK'!H22))</f>
        <v>major</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4</v>
      </c>
      <c r="F22" s="23">
        <f>IF(D22="major",Parameters!$B$14,IF(D22="medium",Parameters!$B$15,Parameters!$B$16))</f>
        <v>3</v>
      </c>
      <c r="G22" s="16">
        <f t="shared" si="1"/>
        <v>0</v>
      </c>
      <c r="H22" s="24">
        <f>Parameters!$B$20^(G22-1)</f>
        <v>1.4285714285714286</v>
      </c>
      <c r="I22" s="18">
        <f t="shared" si="2"/>
        <v>17.142857142857142</v>
      </c>
    </row>
    <row r="23" spans="1:9" ht="13.15" x14ac:dyDescent="0.35">
      <c r="A23" s="21">
        <v>22</v>
      </c>
      <c r="B23" s="16">
        <f>'Data DEEPSEEK'!B23</f>
        <v>2</v>
      </c>
      <c r="C23" s="22" t="str">
        <f>'Data DEEPSEEK'!F23</f>
        <v>piece_relations</v>
      </c>
      <c r="D23" s="16" t="str">
        <f>LOWER(TRIM('Data DEEPSEEK'!H23))</f>
        <v>major</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4</v>
      </c>
      <c r="F23" s="23">
        <f>IF(D23="major",Parameters!$B$14,IF(D23="medium",Parameters!$B$15,Parameters!$B$16))</f>
        <v>3</v>
      </c>
      <c r="G23" s="16">
        <f t="shared" si="1"/>
        <v>0</v>
      </c>
      <c r="H23" s="24">
        <f>Parameters!$B$20^(G23-1)</f>
        <v>1.4285714285714286</v>
      </c>
      <c r="I23" s="18">
        <f t="shared" si="2"/>
        <v>17.142857142857142</v>
      </c>
    </row>
    <row r="24" spans="1:9" ht="13.15" x14ac:dyDescent="0.35">
      <c r="A24" s="21">
        <v>23</v>
      </c>
      <c r="B24" s="16">
        <f>'Data DEEPSEEK'!B24</f>
        <v>2</v>
      </c>
      <c r="C24" s="22" t="str">
        <f>'Data DEEPSEEK'!F24</f>
        <v>reasoning</v>
      </c>
      <c r="D24" s="16" t="str">
        <f>LOWER(TRIM('Data DEEPSEEK'!H24))</f>
        <v>medium</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2</v>
      </c>
      <c r="F24" s="23">
        <f>IF(D24="major",Parameters!$B$14,IF(D24="medium",Parameters!$B$15,Parameters!$B$16))</f>
        <v>2</v>
      </c>
      <c r="G24" s="16">
        <f t="shared" si="1"/>
        <v>0</v>
      </c>
      <c r="H24" s="24">
        <f>Parameters!$B$20^(G24-1)</f>
        <v>1.4285714285714286</v>
      </c>
      <c r="I24" s="18">
        <f t="shared" si="2"/>
        <v>5.7142857142857144</v>
      </c>
    </row>
    <row r="25" spans="1:9" ht="13.15" x14ac:dyDescent="0.35">
      <c r="A25" s="21">
        <v>24</v>
      </c>
      <c r="B25" s="16">
        <f>'Data DEEPSEEK'!B25</f>
        <v>2</v>
      </c>
      <c r="C25" s="22" t="str">
        <f>'Data DEEPSEEK'!F25</f>
        <v>piece_relations</v>
      </c>
      <c r="D25" s="16" t="str">
        <f>LOWER(TRIM('Data DEEPSEEK'!H25))</f>
        <v>major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4</v>
      </c>
      <c r="F25" s="23">
        <f>IF(D25="major",Parameters!$B$14,IF(D25="medium",Parameters!$B$15,Parameters!$B$16))</f>
        <v>3</v>
      </c>
      <c r="G25" s="16">
        <f t="shared" si="1"/>
        <v>0</v>
      </c>
      <c r="H25" s="24">
        <f>Parameters!$B$20^(G25-1)</f>
        <v>1.4285714285714286</v>
      </c>
      <c r="I25" s="18">
        <f t="shared" si="2"/>
        <v>17.142857142857142</v>
      </c>
    </row>
    <row r="26" spans="1:9" ht="13.15" x14ac:dyDescent="0.35">
      <c r="A26" s="21">
        <v>25</v>
      </c>
      <c r="B26" s="16">
        <f>'Data DEEPSEEK'!B26</f>
        <v>2</v>
      </c>
      <c r="C26" s="22" t="str">
        <f>'Data DEEPSEEK'!F26</f>
        <v>reasoning</v>
      </c>
      <c r="D26" s="16" t="str">
        <f>LOWER(TRIM('Data DEEPSEEK'!H26))</f>
        <v>minor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2</v>
      </c>
      <c r="F26" s="23">
        <f>IF(D26="major",Parameters!$B$14,IF(D26="medium",Parameters!$B$15,Parameters!$B$16))</f>
        <v>1</v>
      </c>
      <c r="G26" s="16">
        <f t="shared" si="1"/>
        <v>0</v>
      </c>
      <c r="H26" s="24">
        <f>Parameters!$B$20^(G26-1)</f>
        <v>1.4285714285714286</v>
      </c>
      <c r="I26" s="18">
        <f t="shared" si="2"/>
        <v>2.8571428571428572</v>
      </c>
    </row>
    <row r="27" spans="1:9" ht="13.15" x14ac:dyDescent="0.35">
      <c r="A27" s="21">
        <v>26</v>
      </c>
      <c r="B27" s="16">
        <f>'Data DEEPSEEK'!B27</f>
        <v>2</v>
      </c>
      <c r="C27" s="22" t="str">
        <f>'Data DEEPSEEK'!F27</f>
        <v>reasoning</v>
      </c>
      <c r="D27" s="16" t="str">
        <f>LOWER(TRIM('Data DEEPSEEK'!H27))</f>
        <v>major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2</v>
      </c>
      <c r="F27" s="23">
        <f>IF(D27="major",Parameters!$B$14,IF(D27="medium",Parameters!$B$15,Parameters!$B$16))</f>
        <v>3</v>
      </c>
      <c r="G27" s="16">
        <f t="shared" si="1"/>
        <v>0</v>
      </c>
      <c r="H27" s="24">
        <f>Parameters!$B$20^(G27-1)</f>
        <v>1.4285714285714286</v>
      </c>
      <c r="I27" s="18">
        <f t="shared" si="2"/>
        <v>8.5714285714285712</v>
      </c>
    </row>
    <row r="28" spans="1:9" ht="13.15" x14ac:dyDescent="0.35">
      <c r="A28" s="21">
        <v>27</v>
      </c>
      <c r="B28" s="16">
        <f>'Data DEEPSEEK'!B28</f>
        <v>2</v>
      </c>
      <c r="C28" s="22" t="str">
        <f>'Data DEEPSEEK'!F28</f>
        <v>reasoning</v>
      </c>
      <c r="D28" s="16" t="str">
        <f>LOWER(TRIM('Data DEEPSEEK'!H28))</f>
        <v>major</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2</v>
      </c>
      <c r="F28" s="23">
        <f>IF(D28="major",Parameters!$B$14,IF(D28="medium",Parameters!$B$15,Parameters!$B$16))</f>
        <v>3</v>
      </c>
      <c r="G28" s="16">
        <f t="shared" si="1"/>
        <v>0</v>
      </c>
      <c r="H28" s="24">
        <f>Parameters!$B$20^(G28-1)</f>
        <v>1.4285714285714286</v>
      </c>
      <c r="I28" s="18">
        <f t="shared" si="2"/>
        <v>8.5714285714285712</v>
      </c>
    </row>
    <row r="29" spans="1:9" ht="13.15" x14ac:dyDescent="0.35">
      <c r="A29" s="21">
        <v>28</v>
      </c>
      <c r="B29" s="16">
        <f>'Data DEEPSEEK'!B29</f>
        <v>3</v>
      </c>
      <c r="C29" s="22" t="str">
        <f>'Data DEEPSEEK'!F29</f>
        <v>reasoning</v>
      </c>
      <c r="D29" s="16" t="str">
        <f>LOWER(TRIM('Data DEEPSEEK'!H29))</f>
        <v>major</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2</v>
      </c>
      <c r="F29" s="23">
        <f>IF(D29="major",Parameters!$B$14,IF(D29="medium",Parameters!$B$15,Parameters!$B$16))</f>
        <v>3</v>
      </c>
      <c r="G29" s="16">
        <f t="shared" si="1"/>
        <v>0</v>
      </c>
      <c r="H29" s="24">
        <f>Parameters!$B$20^(G29-1)</f>
        <v>1.4285714285714286</v>
      </c>
      <c r="I29" s="18">
        <f t="shared" si="2"/>
        <v>8.5714285714285712</v>
      </c>
    </row>
    <row r="30" spans="1:9" ht="13.15" x14ac:dyDescent="0.35">
      <c r="A30" s="21">
        <v>29</v>
      </c>
      <c r="B30" s="16">
        <f>'Data DEEPSEEK'!B30</f>
        <v>3</v>
      </c>
      <c r="C30" s="22" t="str">
        <f>'Data DEEPSEEK'!F30</f>
        <v>piece_placement</v>
      </c>
      <c r="D30" s="16" t="str">
        <f>LOWER(TRIM('Data DEEPSEEK'!H30))</f>
        <v>major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6</v>
      </c>
      <c r="F30" s="23">
        <f>IF(D30="major",Parameters!$B$14,IF(D30="medium",Parameters!$B$15,Parameters!$B$16))</f>
        <v>3</v>
      </c>
      <c r="G30" s="16">
        <f t="shared" si="1"/>
        <v>0</v>
      </c>
      <c r="H30" s="24">
        <f>Parameters!$B$20^(G30-1)</f>
        <v>1.4285714285714286</v>
      </c>
      <c r="I30" s="18">
        <f t="shared" si="2"/>
        <v>25.714285714285715</v>
      </c>
    </row>
    <row r="31" spans="1:9" ht="13.15" x14ac:dyDescent="0.35">
      <c r="A31" s="21">
        <v>30</v>
      </c>
      <c r="B31" s="16">
        <f>'Data DEEPSEEK'!B31</f>
        <v>3</v>
      </c>
      <c r="C31" s="22" t="str">
        <f>'Data DEEPSEEK'!F31</f>
        <v>reasoning</v>
      </c>
      <c r="D31" s="16" t="str">
        <f>LOWER(TRIM('Data DEEPSEEK'!H31))</f>
        <v>major</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3</v>
      </c>
      <c r="G31" s="16">
        <f t="shared" si="1"/>
        <v>0</v>
      </c>
      <c r="H31" s="24">
        <f>Parameters!$B$20^(G31-1)</f>
        <v>1.4285714285714286</v>
      </c>
      <c r="I31" s="18">
        <f t="shared" si="2"/>
        <v>8.5714285714285712</v>
      </c>
    </row>
    <row r="32" spans="1:9" ht="13.15" x14ac:dyDescent="0.35">
      <c r="A32" s="21">
        <v>31</v>
      </c>
      <c r="B32" s="16">
        <f>'Data DEEPSEEK'!B32</f>
        <v>3</v>
      </c>
      <c r="C32" s="22" t="str">
        <f>'Data DEEPSEEK'!F32</f>
        <v>reasoning</v>
      </c>
      <c r="D32" s="16" t="str">
        <f>LOWER(TRIM('Data DEEPSEEK'!H32))</f>
        <v>major</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3</v>
      </c>
      <c r="G32" s="16">
        <f t="shared" si="1"/>
        <v>0</v>
      </c>
      <c r="H32" s="24">
        <f>Parameters!$B$20^(G32-1)</f>
        <v>1.4285714285714286</v>
      </c>
      <c r="I32" s="18">
        <f t="shared" si="2"/>
        <v>8.5714285714285712</v>
      </c>
    </row>
    <row r="33" spans="1:9" ht="13.15" x14ac:dyDescent="0.35">
      <c r="A33" s="21">
        <v>32</v>
      </c>
      <c r="B33" s="16">
        <f>'Data DEEPSEEK'!B33</f>
        <v>3</v>
      </c>
      <c r="C33" s="22" t="str">
        <f>'Data DEEPSEEK'!F33</f>
        <v>reasoning</v>
      </c>
      <c r="D33" s="16" t="str">
        <f>LOWER(TRIM('Data DEEPSEEK'!H33))</f>
        <v>major</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2</v>
      </c>
      <c r="F33" s="23">
        <f>IF(D33="major",Parameters!$B$14,IF(D33="medium",Parameters!$B$15,Parameters!$B$16))</f>
        <v>3</v>
      </c>
      <c r="G33" s="16">
        <f t="shared" si="1"/>
        <v>0</v>
      </c>
      <c r="H33" s="24">
        <f>Parameters!$B$20^(G33-1)</f>
        <v>1.4285714285714286</v>
      </c>
      <c r="I33" s="18">
        <f t="shared" si="2"/>
        <v>8.5714285714285712</v>
      </c>
    </row>
    <row r="34" spans="1:9" ht="13.15" x14ac:dyDescent="0.35">
      <c r="A34" s="21">
        <v>33</v>
      </c>
      <c r="B34" s="16">
        <f>'Data DEEPSEEK'!B34</f>
        <v>3</v>
      </c>
      <c r="C34" s="22" t="str">
        <f>'Data DEEPSEEK'!F34</f>
        <v>piece_placement</v>
      </c>
      <c r="D34" s="16" t="str">
        <f>LOWER(TRIM('Data DEEPSEEK'!H34))</f>
        <v>major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6</v>
      </c>
      <c r="F34" s="23">
        <f>IF(D34="major",Parameters!$B$14,IF(D34="medium",Parameters!$B$15,Parameters!$B$16))</f>
        <v>3</v>
      </c>
      <c r="G34" s="16">
        <f t="shared" si="1"/>
        <v>0</v>
      </c>
      <c r="H34" s="24">
        <f>Parameters!$B$20^(G34-1)</f>
        <v>1.4285714285714286</v>
      </c>
      <c r="I34" s="18">
        <f t="shared" si="2"/>
        <v>25.714285714285715</v>
      </c>
    </row>
    <row r="35" spans="1:9" ht="13.15" x14ac:dyDescent="0.35">
      <c r="A35" s="21">
        <v>34</v>
      </c>
      <c r="B35" s="16">
        <f>'Data DEEPSEEK'!B35</f>
        <v>3</v>
      </c>
      <c r="C35" s="22" t="str">
        <f>'Data DEEPSEEK'!F35</f>
        <v>piece_relations</v>
      </c>
      <c r="D35" s="16" t="str">
        <f>LOWER(TRIM('Data DEEPSEEK'!H35))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4</v>
      </c>
      <c r="F35" s="23">
        <f>IF(D35="major",Parameters!$B$14,IF(D35="medium",Parameters!$B$15,Parameters!$B$16))</f>
        <v>3</v>
      </c>
      <c r="G35" s="16">
        <f t="shared" si="1"/>
        <v>0</v>
      </c>
      <c r="H35" s="24">
        <f>Parameters!$B$20^(G35-1)</f>
        <v>1.4285714285714286</v>
      </c>
      <c r="I35" s="18">
        <f t="shared" si="2"/>
        <v>17.142857142857142</v>
      </c>
    </row>
    <row r="36" spans="1:9" ht="13.15" x14ac:dyDescent="0.35">
      <c r="A36" s="21">
        <v>35</v>
      </c>
      <c r="B36" s="16">
        <f>'Data DEEPSEEK'!B36</f>
        <v>3</v>
      </c>
      <c r="C36" s="22" t="str">
        <f>'Data DEEPSEEK'!F36</f>
        <v>piece_relations</v>
      </c>
      <c r="D36" s="16" t="str">
        <f>LOWER(TRIM('Data DEEPSEEK'!H36))</f>
        <v>major</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4</v>
      </c>
      <c r="F36" s="23">
        <f>IF(D36="major",Parameters!$B$14,IF(D36="medium",Parameters!$B$15,Parameters!$B$16))</f>
        <v>3</v>
      </c>
      <c r="G36" s="16">
        <f t="shared" si="1"/>
        <v>0</v>
      </c>
      <c r="H36" s="24">
        <f>Parameters!$B$20^(G36-1)</f>
        <v>1.4285714285714286</v>
      </c>
      <c r="I36" s="18">
        <f t="shared" si="2"/>
        <v>17.142857142857142</v>
      </c>
    </row>
    <row r="37" spans="1:9" ht="13.15" x14ac:dyDescent="0.35">
      <c r="A37" s="21">
        <v>36</v>
      </c>
      <c r="B37" s="16">
        <f>'Data DEEPSEEK'!B37</f>
        <v>3</v>
      </c>
      <c r="C37" s="22" t="str">
        <f>'Data DEEPSEEK'!F37</f>
        <v>reasoning</v>
      </c>
      <c r="D37" s="16" t="str">
        <f>LOWER(TRIM('Data DEEPSEEK'!H37))</f>
        <v>major</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2</v>
      </c>
      <c r="F37" s="23">
        <f>IF(D37="major",Parameters!$B$14,IF(D37="medium",Parameters!$B$15,Parameters!$B$16))</f>
        <v>3</v>
      </c>
      <c r="G37" s="16">
        <f t="shared" si="1"/>
        <v>0</v>
      </c>
      <c r="H37" s="24">
        <f>Parameters!$B$20^(G37-1)</f>
        <v>1.4285714285714286</v>
      </c>
      <c r="I37" s="18">
        <f t="shared" si="2"/>
        <v>8.5714285714285712</v>
      </c>
    </row>
    <row r="38" spans="1:9" ht="13.15" x14ac:dyDescent="0.35">
      <c r="A38" s="21">
        <v>37</v>
      </c>
      <c r="B38" s="16">
        <f>'Data DEEPSEEK'!B38</f>
        <v>3</v>
      </c>
      <c r="C38" s="22" t="str">
        <f>'Data DEEPSEEK'!F38</f>
        <v>reasoning</v>
      </c>
      <c r="D38" s="16" t="str">
        <f>LOWER(TRIM('Data DEEPSEEK'!H38))</f>
        <v>medium</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2</v>
      </c>
      <c r="F38" s="23">
        <f>IF(D38="major",Parameters!$B$14,IF(D38="medium",Parameters!$B$15,Parameters!$B$16))</f>
        <v>2</v>
      </c>
      <c r="G38" s="16">
        <f t="shared" si="1"/>
        <v>0</v>
      </c>
      <c r="H38" s="24">
        <f>Parameters!$B$20^(G38-1)</f>
        <v>1.4285714285714286</v>
      </c>
      <c r="I38" s="18">
        <f t="shared" si="2"/>
        <v>5.7142857142857144</v>
      </c>
    </row>
    <row r="39" spans="1:9" ht="13.15" x14ac:dyDescent="0.35">
      <c r="A39" s="21">
        <v>38</v>
      </c>
      <c r="B39" s="16">
        <f>'Data DEEPSEEK'!B39</f>
        <v>3</v>
      </c>
      <c r="C39" s="22" t="str">
        <f>'Data DEEPSEEK'!F39</f>
        <v>reasoning</v>
      </c>
      <c r="D39" s="16" t="str">
        <f>LOWER(TRIM('Data DEEPSEEK'!H39))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2</v>
      </c>
      <c r="F39" s="23">
        <f>IF(D39="major",Parameters!$B$14,IF(D39="medium",Parameters!$B$15,Parameters!$B$16))</f>
        <v>3</v>
      </c>
      <c r="G39" s="16">
        <f t="shared" si="1"/>
        <v>0</v>
      </c>
      <c r="H39" s="24">
        <f>Parameters!$B$20^(G39-1)</f>
        <v>1.4285714285714286</v>
      </c>
      <c r="I39" s="18">
        <f t="shared" si="2"/>
        <v>8.5714285714285712</v>
      </c>
    </row>
    <row r="40" spans="1:9" ht="13.15" x14ac:dyDescent="0.35">
      <c r="A40" s="21">
        <v>39</v>
      </c>
      <c r="B40" s="16">
        <f>'Data DEEPSEEK'!B40</f>
        <v>3</v>
      </c>
      <c r="C40" s="22" t="str">
        <f>'Data DEEPSEEK'!F40</f>
        <v>geometry</v>
      </c>
      <c r="D40" s="16" t="str">
        <f>LOWER(TRIM('Data DEEPSEEK'!H40))</f>
        <v>medium</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3</v>
      </c>
      <c r="F40" s="23">
        <f>IF(D40="major",Parameters!$B$14,IF(D40="medium",Parameters!$B$15,Parameters!$B$16))</f>
        <v>2</v>
      </c>
      <c r="G40" s="16">
        <f t="shared" si="1"/>
        <v>0</v>
      </c>
      <c r="H40" s="24">
        <f>Parameters!$B$20^(G40-1)</f>
        <v>1.4285714285714286</v>
      </c>
      <c r="I40" s="18">
        <f t="shared" si="2"/>
        <v>8.5714285714285712</v>
      </c>
    </row>
    <row r="41" spans="1:9" ht="13.15" x14ac:dyDescent="0.35">
      <c r="A41" s="21">
        <v>40</v>
      </c>
      <c r="B41" s="16">
        <f>'Data DEEPSEEK'!B41</f>
        <v>3</v>
      </c>
      <c r="C41" s="22" t="str">
        <f>'Data DEEPSEEK'!F41</f>
        <v>piece_relations</v>
      </c>
      <c r="D41" s="16" t="str">
        <f>LOWER(TRIM('Data DEEPSEEK'!H41))</f>
        <v>major</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4</v>
      </c>
      <c r="F41" s="23">
        <f>IF(D41="major",Parameters!$B$14,IF(D41="medium",Parameters!$B$15,Parameters!$B$16))</f>
        <v>3</v>
      </c>
      <c r="G41" s="16">
        <f t="shared" si="1"/>
        <v>0</v>
      </c>
      <c r="H41" s="24">
        <f>Parameters!$B$20^(G41-1)</f>
        <v>1.4285714285714286</v>
      </c>
      <c r="I41" s="18">
        <f t="shared" si="2"/>
        <v>17.142857142857142</v>
      </c>
    </row>
    <row r="42" spans="1:9" ht="13.15" x14ac:dyDescent="0.35">
      <c r="A42" s="21">
        <v>41</v>
      </c>
      <c r="B42" s="16">
        <f>'Data DEEPSEEK'!B42</f>
        <v>3</v>
      </c>
      <c r="C42" s="22" t="str">
        <f>'Data DEEPSEEK'!F42</f>
        <v>piece_placement</v>
      </c>
      <c r="D42" s="16" t="str">
        <f>LOWER(TRIM('Data DEEPSEEK'!H42))</f>
        <v>major</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6</v>
      </c>
      <c r="F42" s="23">
        <f>IF(D42="major",Parameters!$B$14,IF(D42="medium",Parameters!$B$15,Parameters!$B$16))</f>
        <v>3</v>
      </c>
      <c r="G42" s="16">
        <f t="shared" si="1"/>
        <v>0</v>
      </c>
      <c r="H42" s="24">
        <f>Parameters!$B$20^(G42-1)</f>
        <v>1.4285714285714286</v>
      </c>
      <c r="I42" s="18">
        <f t="shared" si="2"/>
        <v>25.714285714285715</v>
      </c>
    </row>
    <row r="43" spans="1:9" ht="13.15" x14ac:dyDescent="0.35">
      <c r="A43" s="21">
        <v>42</v>
      </c>
      <c r="B43" s="16">
        <f>'Data DEEPSEEK'!B43</f>
        <v>3</v>
      </c>
      <c r="C43" s="22" t="str">
        <f>'Data DEEPSEEK'!F43</f>
        <v>piece_relations</v>
      </c>
      <c r="D43" s="16" t="str">
        <f>LOWER(TRIM('Data DEEPSEEK'!H43))</f>
        <v>major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4</v>
      </c>
      <c r="F43" s="23">
        <f>IF(D43="major",Parameters!$B$14,IF(D43="medium",Parameters!$B$15,Parameters!$B$16))</f>
        <v>3</v>
      </c>
      <c r="G43" s="16">
        <f t="shared" si="1"/>
        <v>0</v>
      </c>
      <c r="H43" s="24">
        <f>Parameters!$B$20^(G43-1)</f>
        <v>1.4285714285714286</v>
      </c>
      <c r="I43" s="18">
        <f t="shared" si="2"/>
        <v>17.142857142857142</v>
      </c>
    </row>
    <row r="44" spans="1:9" ht="13.15" x14ac:dyDescent="0.35">
      <c r="A44" s="21">
        <v>43</v>
      </c>
      <c r="B44" s="16">
        <f>'Data DEEPSEEK'!B44</f>
        <v>3</v>
      </c>
      <c r="C44" s="22" t="str">
        <f>'Data DEEPSEEK'!F44</f>
        <v>move_legality</v>
      </c>
      <c r="D44" s="16" t="str">
        <f>LOWER(TRIM('Data DEEPSEEK'!H44))</f>
        <v>medium</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8</v>
      </c>
      <c r="F44" s="23">
        <f>IF(D44="major",Parameters!$B$14,IF(D44="medium",Parameters!$B$15,Parameters!$B$16))</f>
        <v>2</v>
      </c>
      <c r="G44" s="16">
        <f t="shared" si="1"/>
        <v>0</v>
      </c>
      <c r="H44" s="24">
        <f>Parameters!$B$20^(G44-1)</f>
        <v>1.4285714285714286</v>
      </c>
      <c r="I44" s="18">
        <f t="shared" si="2"/>
        <v>22.857142857142858</v>
      </c>
    </row>
    <row r="45" spans="1:9" ht="13.15" x14ac:dyDescent="0.35">
      <c r="A45" s="21">
        <v>44</v>
      </c>
      <c r="B45" s="16">
        <f>'Data DEEPSEEK'!B45</f>
        <v>3</v>
      </c>
      <c r="C45" s="22" t="str">
        <f>'Data DEEPSEEK'!F45</f>
        <v>move_legality</v>
      </c>
      <c r="D45" s="16" t="str">
        <f>LOWER(TRIM('Data DEEPSEEK'!H45))</f>
        <v>major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8</v>
      </c>
      <c r="F45" s="23">
        <f>IF(D45="major",Parameters!$B$14,IF(D45="medium",Parameters!$B$15,Parameters!$B$16))</f>
        <v>3</v>
      </c>
      <c r="G45" s="16">
        <f t="shared" si="1"/>
        <v>0</v>
      </c>
      <c r="H45" s="24">
        <f>Parameters!$B$20^(G45-1)</f>
        <v>1.4285714285714286</v>
      </c>
      <c r="I45" s="18">
        <f t="shared" si="2"/>
        <v>34.285714285714285</v>
      </c>
    </row>
    <row r="46" spans="1:9" ht="13.15" x14ac:dyDescent="0.35">
      <c r="A46" s="21">
        <v>45</v>
      </c>
      <c r="B46" s="16">
        <f>'Data DEEPSEEK'!B46</f>
        <v>3</v>
      </c>
      <c r="C46" s="22" t="str">
        <f>'Data DEEPSEEK'!F46</f>
        <v>move_legality</v>
      </c>
      <c r="D46" s="16" t="str">
        <f>LOWER(TRIM('Data DEEPSEEK'!H46))</f>
        <v>major</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8</v>
      </c>
      <c r="F46" s="23">
        <f>IF(D46="major",Parameters!$B$14,IF(D46="medium",Parameters!$B$15,Parameters!$B$16))</f>
        <v>3</v>
      </c>
      <c r="G46" s="16">
        <f t="shared" si="1"/>
        <v>0</v>
      </c>
      <c r="H46" s="24">
        <f>Parameters!$B$20^(G46-1)</f>
        <v>1.4285714285714286</v>
      </c>
      <c r="I46" s="18">
        <f t="shared" si="2"/>
        <v>34.285714285714285</v>
      </c>
    </row>
    <row r="47" spans="1:9" ht="13.15" x14ac:dyDescent="0.35">
      <c r="A47" s="21">
        <v>46</v>
      </c>
      <c r="B47" s="16">
        <f>'Data DEEPSEEK'!B47</f>
        <v>3</v>
      </c>
      <c r="C47" s="22" t="str">
        <f>'Data DEEPSEEK'!F47</f>
        <v>material</v>
      </c>
      <c r="D47" s="16" t="str">
        <f>LOWER(TRIM('Data DEEPSEEK'!H47))</f>
        <v>major</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5</v>
      </c>
      <c r="F47" s="23">
        <f>IF(D47="major",Parameters!$B$14,IF(D47="medium",Parameters!$B$15,Parameters!$B$16))</f>
        <v>3</v>
      </c>
      <c r="G47" s="16">
        <f t="shared" si="1"/>
        <v>0</v>
      </c>
      <c r="H47" s="24">
        <f>Parameters!$B$20^(G47-1)</f>
        <v>1.4285714285714286</v>
      </c>
      <c r="I47" s="18">
        <f t="shared" si="2"/>
        <v>21.428571428571431</v>
      </c>
    </row>
    <row r="48" spans="1:9" ht="13.15" x14ac:dyDescent="0.35">
      <c r="A48" s="21">
        <v>47</v>
      </c>
      <c r="B48" s="16">
        <f>'Data DEEPSEEK'!B48</f>
        <v>3</v>
      </c>
      <c r="C48" s="22" t="str">
        <f>'Data DEEPSEEK'!F48</f>
        <v>reasoning</v>
      </c>
      <c r="D48" s="16" t="str">
        <f>LOWER(TRIM('Data DEEPSEEK'!H48))</f>
        <v>major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2</v>
      </c>
      <c r="F48" s="23">
        <f>IF(D48="major",Parameters!$B$14,IF(D48="medium",Parameters!$B$15,Parameters!$B$16))</f>
        <v>3</v>
      </c>
      <c r="G48" s="16">
        <f t="shared" si="1"/>
        <v>0</v>
      </c>
      <c r="H48" s="24">
        <f>Parameters!$B$20^(G48-1)</f>
        <v>1.4285714285714286</v>
      </c>
      <c r="I48" s="18">
        <f t="shared" si="2"/>
        <v>8.5714285714285712</v>
      </c>
    </row>
    <row r="49" spans="1:9" ht="13.15" x14ac:dyDescent="0.35">
      <c r="A49" s="21">
        <v>48</v>
      </c>
      <c r="B49" s="16">
        <f>'Data DEEPSEEK'!B49</f>
        <v>3</v>
      </c>
      <c r="C49" s="22" t="str">
        <f>'Data DEEPSEEK'!F49</f>
        <v>reasoning</v>
      </c>
      <c r="D49" s="16" t="str">
        <f>LOWER(TRIM('Data DEEPSEEK'!H49))</f>
        <v>medium</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2</v>
      </c>
      <c r="F49" s="23">
        <f>IF(D49="major",Parameters!$B$14,IF(D49="medium",Parameters!$B$15,Parameters!$B$16))</f>
        <v>2</v>
      </c>
      <c r="G49" s="16">
        <f t="shared" si="1"/>
        <v>0</v>
      </c>
      <c r="H49" s="24">
        <f>Parameters!$B$20^(G49-1)</f>
        <v>1.4285714285714286</v>
      </c>
      <c r="I49" s="18">
        <f t="shared" si="2"/>
        <v>5.7142857142857144</v>
      </c>
    </row>
    <row r="50" spans="1:9" ht="13.15" x14ac:dyDescent="0.35">
      <c r="A50" s="21">
        <v>49</v>
      </c>
      <c r="B50" s="16">
        <f>'Data DEEPSEEK'!B50</f>
        <v>4</v>
      </c>
      <c r="C50" s="22" t="str">
        <f>'Data DEEPSEEK'!F50</f>
        <v>piece_relations</v>
      </c>
      <c r="D50" s="16" t="str">
        <f>LOWER(TRIM('Data DEEPSEEK'!H50))</f>
        <v>major</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4</v>
      </c>
      <c r="F50" s="23">
        <f>IF(D50="major",Parameters!$B$14,IF(D50="medium",Parameters!$B$15,Parameters!$B$16))</f>
        <v>3</v>
      </c>
      <c r="G50" s="16">
        <f t="shared" si="1"/>
        <v>0</v>
      </c>
      <c r="H50" s="24">
        <f>Parameters!$B$20^(G50-1)</f>
        <v>1.4285714285714286</v>
      </c>
      <c r="I50" s="18">
        <f t="shared" si="2"/>
        <v>17.142857142857142</v>
      </c>
    </row>
    <row r="51" spans="1:9" ht="13.15" x14ac:dyDescent="0.35">
      <c r="A51" s="21">
        <v>50</v>
      </c>
      <c r="B51" s="16">
        <f>'Data DEEPSEEK'!B51</f>
        <v>4</v>
      </c>
      <c r="C51" s="22" t="str">
        <f>'Data DEEPSEEK'!F51</f>
        <v>reasoning</v>
      </c>
      <c r="D51" s="16" t="str">
        <f>LOWER(TRIM('Data DEEPSEEK'!H51))</f>
        <v>medium</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2</v>
      </c>
      <c r="F51" s="23">
        <f>IF(D51="major",Parameters!$B$14,IF(D51="medium",Parameters!$B$15,Parameters!$B$16))</f>
        <v>2</v>
      </c>
      <c r="G51" s="16">
        <f t="shared" si="1"/>
        <v>0</v>
      </c>
      <c r="H51" s="24">
        <f>Parameters!$B$20^(G51-1)</f>
        <v>1.4285714285714286</v>
      </c>
      <c r="I51" s="18">
        <f t="shared" si="2"/>
        <v>5.7142857142857144</v>
      </c>
    </row>
    <row r="52" spans="1:9" ht="13.15" x14ac:dyDescent="0.35">
      <c r="A52" s="21">
        <v>51</v>
      </c>
      <c r="B52" s="16">
        <f>'Data DEEPSEEK'!B52</f>
        <v>4</v>
      </c>
      <c r="C52" s="22" t="str">
        <f>'Data DEEPSEEK'!F52</f>
        <v>piece_placement</v>
      </c>
      <c r="D52" s="16" t="str">
        <f>LOWER(TRIM('Data DEEPSEEK'!H52))</f>
        <v>major</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6</v>
      </c>
      <c r="F52" s="23">
        <f>IF(D52="major",Parameters!$B$14,IF(D52="medium",Parameters!$B$15,Parameters!$B$16))</f>
        <v>3</v>
      </c>
      <c r="G52" s="16">
        <f t="shared" si="1"/>
        <v>0</v>
      </c>
      <c r="H52" s="24">
        <f>Parameters!$B$20^(G52-1)</f>
        <v>1.4285714285714286</v>
      </c>
      <c r="I52" s="18">
        <f t="shared" si="2"/>
        <v>25.714285714285715</v>
      </c>
    </row>
    <row r="53" spans="1:9" ht="13.15" x14ac:dyDescent="0.35">
      <c r="A53" s="21">
        <v>52</v>
      </c>
      <c r="B53" s="16">
        <f>'Data DEEPSEEK'!B53</f>
        <v>4</v>
      </c>
      <c r="C53" s="22" t="str">
        <f>'Data DEEPSEEK'!F53</f>
        <v>geometry</v>
      </c>
      <c r="D53" s="16" t="str">
        <f>LOWER(TRIM('Data DEEPSEEK'!H53))</f>
        <v>major</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3</v>
      </c>
      <c r="F53" s="23">
        <f>IF(D53="major",Parameters!$B$14,IF(D53="medium",Parameters!$B$15,Parameters!$B$16))</f>
        <v>3</v>
      </c>
      <c r="G53" s="16">
        <f t="shared" si="1"/>
        <v>0</v>
      </c>
      <c r="H53" s="24">
        <f>Parameters!$B$20^(G53-1)</f>
        <v>1.4285714285714286</v>
      </c>
      <c r="I53" s="18">
        <f t="shared" si="2"/>
        <v>12.857142857142858</v>
      </c>
    </row>
    <row r="54" spans="1:9" ht="13.15" x14ac:dyDescent="0.35">
      <c r="A54" s="21">
        <v>53</v>
      </c>
      <c r="B54" s="16">
        <f>'Data DEEPSEEK'!B54</f>
        <v>4</v>
      </c>
      <c r="C54" s="22" t="str">
        <f>'Data DEEPSEEK'!F54</f>
        <v>move_legality</v>
      </c>
      <c r="D54" s="16" t="str">
        <f>LOWER(TRIM('Data DEEPSEEK'!H54))</f>
        <v>major</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8</v>
      </c>
      <c r="F54" s="23">
        <f>IF(D54="major",Parameters!$B$14,IF(D54="medium",Parameters!$B$15,Parameters!$B$16))</f>
        <v>3</v>
      </c>
      <c r="G54" s="16">
        <f t="shared" si="1"/>
        <v>0</v>
      </c>
      <c r="H54" s="24">
        <f>Parameters!$B$20^(G54-1)</f>
        <v>1.4285714285714286</v>
      </c>
      <c r="I54" s="18">
        <f t="shared" si="2"/>
        <v>34.285714285714285</v>
      </c>
    </row>
    <row r="55" spans="1:9" ht="13.15" x14ac:dyDescent="0.35">
      <c r="A55" s="21">
        <v>54</v>
      </c>
      <c r="B55" s="16">
        <f>'Data DEEPSEEK'!B55</f>
        <v>4</v>
      </c>
      <c r="C55" s="22" t="str">
        <f>'Data DEEPSEEK'!F55</f>
        <v>piece_placement</v>
      </c>
      <c r="D55" s="16" t="str">
        <f>LOWER(TRIM('Data DEEPSEEK'!H55))</f>
        <v>major</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6</v>
      </c>
      <c r="F55" s="23">
        <f>IF(D55="major",Parameters!$B$14,IF(D55="medium",Parameters!$B$15,Parameters!$B$16))</f>
        <v>3</v>
      </c>
      <c r="G55" s="16">
        <f t="shared" si="1"/>
        <v>0</v>
      </c>
      <c r="H55" s="24">
        <f>Parameters!$B$20^(G55-1)</f>
        <v>1.4285714285714286</v>
      </c>
      <c r="I55" s="18">
        <f t="shared" si="2"/>
        <v>25.714285714285715</v>
      </c>
    </row>
    <row r="56" spans="1:9" ht="13.15" x14ac:dyDescent="0.35">
      <c r="A56" s="21">
        <v>55</v>
      </c>
      <c r="B56" s="16">
        <f>'Data DEEPSEEK'!B56</f>
        <v>4</v>
      </c>
      <c r="C56" s="22" t="str">
        <f>'Data DEEPSEEK'!F56</f>
        <v>move_legality</v>
      </c>
      <c r="D56" s="16" t="str">
        <f>LOWER(TRIM('Data DEEPSEEK'!H56))</f>
        <v>major</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8</v>
      </c>
      <c r="F56" s="23">
        <f>IF(D56="major",Parameters!$B$14,IF(D56="medium",Parameters!$B$15,Parameters!$B$16))</f>
        <v>3</v>
      </c>
      <c r="G56" s="16">
        <f t="shared" si="1"/>
        <v>0</v>
      </c>
      <c r="H56" s="24">
        <f>Parameters!$B$20^(G56-1)</f>
        <v>1.4285714285714286</v>
      </c>
      <c r="I56" s="18">
        <f t="shared" si="2"/>
        <v>34.285714285714285</v>
      </c>
    </row>
    <row r="57" spans="1:9" ht="13.15" x14ac:dyDescent="0.35">
      <c r="A57" s="21">
        <v>56</v>
      </c>
      <c r="B57" s="16">
        <f>'Data DEEPSEEK'!B57</f>
        <v>4</v>
      </c>
      <c r="C57" s="22" t="str">
        <f>'Data DEEPSEEK'!F57</f>
        <v>reasoning</v>
      </c>
      <c r="D57" s="16" t="str">
        <f>LOWER(TRIM('Data DEEPSEEK'!H57))</f>
        <v>medium</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2</v>
      </c>
      <c r="F57" s="23">
        <f>IF(D57="major",Parameters!$B$14,IF(D57="medium",Parameters!$B$15,Parameters!$B$16))</f>
        <v>2</v>
      </c>
      <c r="G57" s="16">
        <f t="shared" si="1"/>
        <v>0</v>
      </c>
      <c r="H57" s="24">
        <f>Parameters!$B$20^(G57-1)</f>
        <v>1.4285714285714286</v>
      </c>
      <c r="I57" s="18">
        <f t="shared" si="2"/>
        <v>5.7142857142857144</v>
      </c>
    </row>
    <row r="58" spans="1:9" ht="13.15" x14ac:dyDescent="0.35">
      <c r="A58" s="21">
        <v>57</v>
      </c>
      <c r="B58" s="16">
        <f>'Data DEEPSEEK'!B58</f>
        <v>4</v>
      </c>
      <c r="C58" s="22" t="str">
        <f>'Data DEEPSEEK'!F58</f>
        <v>move_legality</v>
      </c>
      <c r="D58" s="16" t="str">
        <f>LOWER(TRIM('Data DEEPSEEK'!H58))</f>
        <v>major</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8</v>
      </c>
      <c r="F58" s="23">
        <f>IF(D58="major",Parameters!$B$14,IF(D58="medium",Parameters!$B$15,Parameters!$B$16))</f>
        <v>3</v>
      </c>
      <c r="G58" s="16">
        <f t="shared" si="1"/>
        <v>0</v>
      </c>
      <c r="H58" s="24">
        <f>Parameters!$B$20^(G58-1)</f>
        <v>1.4285714285714286</v>
      </c>
      <c r="I58" s="18">
        <f t="shared" si="2"/>
        <v>34.285714285714285</v>
      </c>
    </row>
    <row r="59" spans="1:9" ht="13.15" x14ac:dyDescent="0.35">
      <c r="A59" s="21">
        <v>58</v>
      </c>
      <c r="B59" s="16">
        <f>'Data DEEPSEEK'!B59</f>
        <v>4</v>
      </c>
      <c r="C59" s="22" t="str">
        <f>'Data DEEPSEEK'!F59</f>
        <v>geometry</v>
      </c>
      <c r="D59" s="16" t="str">
        <f>LOWER(TRIM('Data DEEPSEEK'!H59))</f>
        <v>major</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3</v>
      </c>
      <c r="F59" s="23">
        <f>IF(D59="major",Parameters!$B$14,IF(D59="medium",Parameters!$B$15,Parameters!$B$16))</f>
        <v>3</v>
      </c>
      <c r="G59" s="16">
        <f t="shared" si="1"/>
        <v>0</v>
      </c>
      <c r="H59" s="24">
        <f>Parameters!$B$20^(G59-1)</f>
        <v>1.4285714285714286</v>
      </c>
      <c r="I59" s="18">
        <f t="shared" si="2"/>
        <v>12.857142857142858</v>
      </c>
    </row>
    <row r="60" spans="1:9" ht="13.15" x14ac:dyDescent="0.35">
      <c r="A60" s="21">
        <v>59</v>
      </c>
      <c r="B60" s="16">
        <f>'Data DEEPSEEK'!B60</f>
        <v>4</v>
      </c>
      <c r="C60" s="22" t="str">
        <f>'Data DEEPSEEK'!F60</f>
        <v>piece_placement</v>
      </c>
      <c r="D60" s="16" t="str">
        <f>LOWER(TRIM('Data DEEPSEEK'!H60))</f>
        <v>major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6</v>
      </c>
      <c r="F60" s="23">
        <f>IF(D60="major",Parameters!$B$14,IF(D60="medium",Parameters!$B$15,Parameters!$B$16))</f>
        <v>3</v>
      </c>
      <c r="G60" s="16">
        <f t="shared" si="1"/>
        <v>0</v>
      </c>
      <c r="H60" s="24">
        <f>Parameters!$B$20^(G60-1)</f>
        <v>1.4285714285714286</v>
      </c>
      <c r="I60" s="18">
        <f t="shared" si="2"/>
        <v>25.714285714285715</v>
      </c>
    </row>
    <row r="61" spans="1:9" ht="13.15" x14ac:dyDescent="0.35">
      <c r="A61" s="21">
        <v>60</v>
      </c>
      <c r="B61" s="16">
        <f>'Data DEEPSEEK'!B61</f>
        <v>4</v>
      </c>
      <c r="C61" s="22" t="str">
        <f>'Data DEEPSEEK'!F61</f>
        <v>piece_relations</v>
      </c>
      <c r="D61" s="16" t="str">
        <f>LOWER(TRIM('Data DEEPSEEK'!H61))</f>
        <v>major</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4</v>
      </c>
      <c r="F61" s="23">
        <f>IF(D61="major",Parameters!$B$14,IF(D61="medium",Parameters!$B$15,Parameters!$B$16))</f>
        <v>3</v>
      </c>
      <c r="G61" s="16">
        <f t="shared" si="1"/>
        <v>0</v>
      </c>
      <c r="H61" s="24">
        <f>Parameters!$B$20^(G61-1)</f>
        <v>1.4285714285714286</v>
      </c>
      <c r="I61" s="18">
        <f t="shared" si="2"/>
        <v>17.142857142857142</v>
      </c>
    </row>
    <row r="62" spans="1:9" ht="13.15" x14ac:dyDescent="0.35">
      <c r="A62" s="21">
        <v>61</v>
      </c>
      <c r="B62" s="16">
        <f>'Data DEEPSEEK'!B62</f>
        <v>4</v>
      </c>
      <c r="C62" s="22" t="str">
        <f>'Data DEEPSEEK'!F62</f>
        <v>reasoning</v>
      </c>
      <c r="D62" s="16" t="str">
        <f>LOWER(TRIM('Data DEEPSEEK'!H62))</f>
        <v>medium</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2</v>
      </c>
      <c r="F62" s="23">
        <f>IF(D62="major",Parameters!$B$14,IF(D62="medium",Parameters!$B$15,Parameters!$B$16))</f>
        <v>2</v>
      </c>
      <c r="G62" s="16">
        <f t="shared" si="1"/>
        <v>0</v>
      </c>
      <c r="H62" s="24">
        <f>Parameters!$B$20^(G62-1)</f>
        <v>1.4285714285714286</v>
      </c>
      <c r="I62" s="18">
        <f t="shared" si="2"/>
        <v>5.7142857142857144</v>
      </c>
    </row>
    <row r="63" spans="1:9" ht="13.15" x14ac:dyDescent="0.35">
      <c r="A63" s="21">
        <v>62</v>
      </c>
      <c r="B63" s="16">
        <f>'Data DEEPSEEK'!B63</f>
        <v>4</v>
      </c>
      <c r="C63" s="22" t="str">
        <f>'Data DEEPSEEK'!F63</f>
        <v>reasoning</v>
      </c>
      <c r="D63" s="16" t="str">
        <f>LOWER(TRIM('Data DEEPSEEK'!H63))</f>
        <v>medium</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2</v>
      </c>
      <c r="F63" s="23">
        <f>IF(D63="major",Parameters!$B$14,IF(D63="medium",Parameters!$B$15,Parameters!$B$16))</f>
        <v>2</v>
      </c>
      <c r="G63" s="16">
        <f t="shared" si="1"/>
        <v>0</v>
      </c>
      <c r="H63" s="24">
        <f>Parameters!$B$20^(G63-1)</f>
        <v>1.4285714285714286</v>
      </c>
      <c r="I63" s="18">
        <f t="shared" si="2"/>
        <v>5.7142857142857144</v>
      </c>
    </row>
    <row r="64" spans="1:9" ht="13.15" x14ac:dyDescent="0.35">
      <c r="A64" s="21">
        <v>63</v>
      </c>
      <c r="B64" s="16">
        <f>'Data DEEPSEEK'!B64</f>
        <v>4</v>
      </c>
      <c r="C64" s="22" t="str">
        <f>'Data DEEPSEEK'!F64</f>
        <v>piece_placement</v>
      </c>
      <c r="D64" s="16" t="str">
        <f>LOWER(TRIM('Data DEEPSEEK'!H64))</f>
        <v>major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6</v>
      </c>
      <c r="F64" s="23">
        <f>IF(D64="major",Parameters!$B$14,IF(D64="medium",Parameters!$B$15,Parameters!$B$16))</f>
        <v>3</v>
      </c>
      <c r="G64" s="16">
        <f t="shared" si="1"/>
        <v>0</v>
      </c>
      <c r="H64" s="24">
        <f>Parameters!$B$20^(G64-1)</f>
        <v>1.4285714285714286</v>
      </c>
      <c r="I64" s="18">
        <f t="shared" si="2"/>
        <v>25.714285714285715</v>
      </c>
    </row>
    <row r="65" spans="1:9" ht="13.15" x14ac:dyDescent="0.35">
      <c r="A65" s="21">
        <v>64</v>
      </c>
      <c r="B65" s="16">
        <f>'Data DEEPSEEK'!B65</f>
        <v>4</v>
      </c>
      <c r="C65" s="22" t="str">
        <f>'Data DEEPSEEK'!F65</f>
        <v>reasoning</v>
      </c>
      <c r="D65" s="16" t="str">
        <f>LOWER(TRIM('Data DEEPSEEK'!H65))</f>
        <v>major</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2</v>
      </c>
      <c r="F65" s="23">
        <f>IF(D65="major",Parameters!$B$14,IF(D65="medium",Parameters!$B$15,Parameters!$B$16))</f>
        <v>3</v>
      </c>
      <c r="G65" s="16">
        <f t="shared" si="1"/>
        <v>0</v>
      </c>
      <c r="H65" s="24">
        <f>Parameters!$B$20^(G65-1)</f>
        <v>1.4285714285714286</v>
      </c>
      <c r="I65" s="18">
        <f t="shared" si="2"/>
        <v>8.5714285714285712</v>
      </c>
    </row>
    <row r="66" spans="1:9" ht="13.15" x14ac:dyDescent="0.35">
      <c r="A66" s="21">
        <v>65</v>
      </c>
      <c r="B66" s="16">
        <f>'Data DEEPSEEK'!B66</f>
        <v>4</v>
      </c>
      <c r="C66" s="22" t="str">
        <f>'Data DEEPSEEK'!F66</f>
        <v>reasoning</v>
      </c>
      <c r="D66" s="16" t="str">
        <f>LOWER(TRIM('Data DEEPSEEK'!H66))</f>
        <v>medium</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2</v>
      </c>
      <c r="G66" s="16">
        <f t="shared" si="1"/>
        <v>0</v>
      </c>
      <c r="H66" s="24">
        <f>Parameters!$B$20^(G66-1)</f>
        <v>1.4285714285714286</v>
      </c>
      <c r="I66" s="18">
        <f t="shared" si="2"/>
        <v>5.7142857142857144</v>
      </c>
    </row>
    <row r="67" spans="1:9" ht="13.15" x14ac:dyDescent="0.35">
      <c r="A67" s="21">
        <v>66</v>
      </c>
      <c r="B67" s="16">
        <f>'Data DEEPSEEK'!B67</f>
        <v>4</v>
      </c>
      <c r="C67" s="22" t="str">
        <f>'Data DEEPSEEK'!F67</f>
        <v>reasoning</v>
      </c>
      <c r="D67" s="16" t="str">
        <f>LOWER(TRIM('Data DEEPSEEK'!H67))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2</v>
      </c>
      <c r="F67" s="23">
        <f>IF(D67="major",Parameters!$B$14,IF(D67="medium",Parameters!$B$15,Parameters!$B$16))</f>
        <v>3</v>
      </c>
      <c r="G67" s="16">
        <f t="shared" ref="G67:G130" si="3">COUNTIFS($B$2:$B$12,B67,$C$2:$C$12,C67,$F$2:$F$12,"&gt;"&amp;F67)+COUNTIFS($B$2:$B$12,B67,$C$2:$C$12,C67,$F$2:$F$12,F67,$A$2:$A$12,"&lt;="&amp;A67)</f>
        <v>0</v>
      </c>
      <c r="H67" s="24">
        <f>Parameters!$B$20^(G67-1)</f>
        <v>1.4285714285714286</v>
      </c>
      <c r="I67" s="18">
        <f t="shared" ref="I67:I130" si="4">E67*F67*H67</f>
        <v>8.5714285714285712</v>
      </c>
    </row>
    <row r="68" spans="1:9" ht="13.15" x14ac:dyDescent="0.35">
      <c r="A68" s="21">
        <v>67</v>
      </c>
      <c r="B68" s="16">
        <f>'Data DEEPSEEK'!B68</f>
        <v>4</v>
      </c>
      <c r="C68" s="22" t="str">
        <f>'Data DEEPSEEK'!F68</f>
        <v>piece_placement</v>
      </c>
      <c r="D68" s="16" t="str">
        <f>LOWER(TRIM('Data DEEPSEEK'!H68))</f>
        <v>major</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6</v>
      </c>
      <c r="F68" s="23">
        <f>IF(D68="major",Parameters!$B$14,IF(D68="medium",Parameters!$B$15,Parameters!$B$16))</f>
        <v>3</v>
      </c>
      <c r="G68" s="16">
        <f t="shared" si="3"/>
        <v>0</v>
      </c>
      <c r="H68" s="24">
        <f>Parameters!$B$20^(G68-1)</f>
        <v>1.4285714285714286</v>
      </c>
      <c r="I68" s="18">
        <f t="shared" si="4"/>
        <v>25.714285714285715</v>
      </c>
    </row>
    <row r="69" spans="1:9" ht="13.15" x14ac:dyDescent="0.35">
      <c r="A69" s="21">
        <v>68</v>
      </c>
      <c r="B69" s="16">
        <f>'Data DEEPSEEK'!B69</f>
        <v>4</v>
      </c>
      <c r="C69" s="22" t="str">
        <f>'Data DEEPSEEK'!F69</f>
        <v>move_legality</v>
      </c>
      <c r="D69" s="16" t="str">
        <f>LOWER(TRIM('Data DEEPSEEK'!H69))</f>
        <v>major</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8</v>
      </c>
      <c r="F69" s="23">
        <f>IF(D69="major",Parameters!$B$14,IF(D69="medium",Parameters!$B$15,Parameters!$B$16))</f>
        <v>3</v>
      </c>
      <c r="G69" s="16">
        <f t="shared" si="3"/>
        <v>0</v>
      </c>
      <c r="H69" s="24">
        <f>Parameters!$B$20^(G69-1)</f>
        <v>1.4285714285714286</v>
      </c>
      <c r="I69" s="18">
        <f t="shared" si="4"/>
        <v>34.285714285714285</v>
      </c>
    </row>
    <row r="70" spans="1:9" ht="13.15" x14ac:dyDescent="0.35">
      <c r="A70" s="21">
        <v>69</v>
      </c>
      <c r="B70" s="16">
        <f>'Data DEEPSEEK'!B70</f>
        <v>4</v>
      </c>
      <c r="C70" s="22" t="str">
        <f>'Data DEEPSEEK'!F70</f>
        <v>piece_relations</v>
      </c>
      <c r="D70" s="16" t="str">
        <f>LOWER(TRIM('Data DEEPSEEK'!H70))</f>
        <v>major</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4</v>
      </c>
      <c r="F70" s="23">
        <f>IF(D70="major",Parameters!$B$14,IF(D70="medium",Parameters!$B$15,Parameters!$B$16))</f>
        <v>3</v>
      </c>
      <c r="G70" s="16">
        <f t="shared" si="3"/>
        <v>0</v>
      </c>
      <c r="H70" s="24">
        <f>Parameters!$B$20^(G70-1)</f>
        <v>1.4285714285714286</v>
      </c>
      <c r="I70" s="18">
        <f t="shared" si="4"/>
        <v>17.142857142857142</v>
      </c>
    </row>
    <row r="71" spans="1:9" ht="13.15" x14ac:dyDescent="0.35">
      <c r="A71" s="21">
        <v>70</v>
      </c>
      <c r="B71" s="16">
        <f>'Data DEEPSEEK'!B71</f>
        <v>4</v>
      </c>
      <c r="C71" s="22" t="str">
        <f>'Data DEEPSEEK'!F71</f>
        <v>piece_relations</v>
      </c>
      <c r="D71" s="16" t="str">
        <f>LOWER(TRIM('Data DEEPSEEK'!H71))</f>
        <v>minor</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4</v>
      </c>
      <c r="F71" s="23">
        <f>IF(D71="major",Parameters!$B$14,IF(D71="medium",Parameters!$B$15,Parameters!$B$16))</f>
        <v>1</v>
      </c>
      <c r="G71" s="16">
        <f t="shared" si="3"/>
        <v>0</v>
      </c>
      <c r="H71" s="24">
        <f>Parameters!$B$20^(G71-1)</f>
        <v>1.4285714285714286</v>
      </c>
      <c r="I71" s="18">
        <f t="shared" si="4"/>
        <v>5.7142857142857144</v>
      </c>
    </row>
    <row r="72" spans="1:9" ht="13.15" x14ac:dyDescent="0.35">
      <c r="A72" s="21">
        <v>71</v>
      </c>
      <c r="B72" s="16">
        <f>'Data DEEPSEEK'!B72</f>
        <v>4</v>
      </c>
      <c r="C72" s="22" t="str">
        <f>'Data DEEPSEEK'!F72</f>
        <v>piece_placement</v>
      </c>
      <c r="D72" s="16" t="str">
        <f>LOWER(TRIM('Data DEEPSEEK'!H72))</f>
        <v>major</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6</v>
      </c>
      <c r="F72" s="23">
        <f>IF(D72="major",Parameters!$B$14,IF(D72="medium",Parameters!$B$15,Parameters!$B$16))</f>
        <v>3</v>
      </c>
      <c r="G72" s="16">
        <f t="shared" si="3"/>
        <v>0</v>
      </c>
      <c r="H72" s="24">
        <f>Parameters!$B$20^(G72-1)</f>
        <v>1.4285714285714286</v>
      </c>
      <c r="I72" s="18">
        <f t="shared" si="4"/>
        <v>25.714285714285715</v>
      </c>
    </row>
    <row r="73" spans="1:9" ht="13.15" x14ac:dyDescent="0.35">
      <c r="A73" s="21">
        <v>72</v>
      </c>
      <c r="B73" s="16">
        <f>'Data DEEPSEEK'!B73</f>
        <v>4</v>
      </c>
      <c r="C73" s="22" t="str">
        <f>'Data DEEPSEEK'!F73</f>
        <v>move_legality</v>
      </c>
      <c r="D73" s="16" t="str">
        <f>LOWER(TRIM('Data DEEPSEEK'!H73))</f>
        <v>major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8</v>
      </c>
      <c r="F73" s="23">
        <f>IF(D73="major",Parameters!$B$14,IF(D73="medium",Parameters!$B$15,Parameters!$B$16))</f>
        <v>3</v>
      </c>
      <c r="G73" s="16">
        <f t="shared" si="3"/>
        <v>0</v>
      </c>
      <c r="H73" s="24">
        <f>Parameters!$B$20^(G73-1)</f>
        <v>1.4285714285714286</v>
      </c>
      <c r="I73" s="18">
        <f t="shared" si="4"/>
        <v>34.285714285714285</v>
      </c>
    </row>
    <row r="74" spans="1:9" ht="13.15" x14ac:dyDescent="0.35">
      <c r="A74" s="21">
        <v>73</v>
      </c>
      <c r="B74" s="16">
        <f>'Data DEEPSEEK'!B74</f>
        <v>4</v>
      </c>
      <c r="C74" s="22" t="str">
        <f>'Data DEEPSEEK'!F74</f>
        <v>move_legality</v>
      </c>
      <c r="D74" s="16" t="str">
        <f>LOWER(TRIM('Data DEEPSEEK'!H74))</f>
        <v>major</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8</v>
      </c>
      <c r="F74" s="23">
        <f>IF(D74="major",Parameters!$B$14,IF(D74="medium",Parameters!$B$15,Parameters!$B$16))</f>
        <v>3</v>
      </c>
      <c r="G74" s="16">
        <f t="shared" si="3"/>
        <v>0</v>
      </c>
      <c r="H74" s="24">
        <f>Parameters!$B$20^(G74-1)</f>
        <v>1.4285714285714286</v>
      </c>
      <c r="I74" s="18">
        <f t="shared" si="4"/>
        <v>34.285714285714285</v>
      </c>
    </row>
    <row r="75" spans="1:9" ht="13.15" x14ac:dyDescent="0.35">
      <c r="A75" s="21">
        <v>74</v>
      </c>
      <c r="B75" s="16">
        <f>'Data DEEPSEEK'!B75</f>
        <v>4</v>
      </c>
      <c r="C75" s="22" t="str">
        <f>'Data DEEPSEEK'!F75</f>
        <v>move_legality</v>
      </c>
      <c r="D75" s="16" t="str">
        <f>LOWER(TRIM('Data DEEPSEEK'!H75))</f>
        <v>major</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8</v>
      </c>
      <c r="F75" s="23">
        <f>IF(D75="major",Parameters!$B$14,IF(D75="medium",Parameters!$B$15,Parameters!$B$16))</f>
        <v>3</v>
      </c>
      <c r="G75" s="16">
        <f t="shared" si="3"/>
        <v>0</v>
      </c>
      <c r="H75" s="24">
        <f>Parameters!$B$20^(G75-1)</f>
        <v>1.4285714285714286</v>
      </c>
      <c r="I75" s="18">
        <f t="shared" si="4"/>
        <v>34.285714285714285</v>
      </c>
    </row>
    <row r="76" spans="1:9" ht="13.15" x14ac:dyDescent="0.35">
      <c r="A76" s="21">
        <v>75</v>
      </c>
      <c r="B76" s="16">
        <f>'Data DEEPSEEK'!B76</f>
        <v>4</v>
      </c>
      <c r="C76" s="22" t="str">
        <f>'Data DEEPSEEK'!F76</f>
        <v>material</v>
      </c>
      <c r="D76" s="16" t="str">
        <f>LOWER(TRIM('Data DEEPSEEK'!H76))</f>
        <v>major</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5</v>
      </c>
      <c r="F76" s="23">
        <f>IF(D76="major",Parameters!$B$14,IF(D76="medium",Parameters!$B$15,Parameters!$B$16))</f>
        <v>3</v>
      </c>
      <c r="G76" s="16">
        <f t="shared" si="3"/>
        <v>0</v>
      </c>
      <c r="H76" s="24">
        <f>Parameters!$B$20^(G76-1)</f>
        <v>1.4285714285714286</v>
      </c>
      <c r="I76" s="18">
        <f t="shared" si="4"/>
        <v>21.428571428571431</v>
      </c>
    </row>
    <row r="77" spans="1:9" ht="13.15" x14ac:dyDescent="0.35">
      <c r="A77" s="21">
        <v>76</v>
      </c>
      <c r="B77" s="16">
        <f>'Data DEEPSEEK'!B77</f>
        <v>5</v>
      </c>
      <c r="C77" s="22" t="str">
        <f>'Data DEEPSEEK'!F77</f>
        <v>reasoning</v>
      </c>
      <c r="D77" s="16" t="str">
        <f>LOWER(TRIM('Data DEEPSEEK'!H77))</f>
        <v>medium</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2</v>
      </c>
      <c r="F77" s="23">
        <f>IF(D77="major",Parameters!$B$14,IF(D77="medium",Parameters!$B$15,Parameters!$B$16))</f>
        <v>2</v>
      </c>
      <c r="G77" s="16">
        <f t="shared" si="3"/>
        <v>0</v>
      </c>
      <c r="H77" s="24">
        <f>Parameters!$B$20^(G77-1)</f>
        <v>1.4285714285714286</v>
      </c>
      <c r="I77" s="18">
        <f t="shared" si="4"/>
        <v>5.7142857142857144</v>
      </c>
    </row>
    <row r="78" spans="1:9" ht="13.15" x14ac:dyDescent="0.35">
      <c r="A78" s="21">
        <v>77</v>
      </c>
      <c r="B78" s="16">
        <f>'Data DEEPSEEK'!B78</f>
        <v>5</v>
      </c>
      <c r="C78" s="22" t="str">
        <f>'Data DEEPSEEK'!F78</f>
        <v>piece_relations</v>
      </c>
      <c r="D78" s="16" t="str">
        <f>LOWER(TRIM('Data DEEPSEEK'!H78))</f>
        <v>major</v>
      </c>
      <c r="E78" s="23">
        <f>IF(ISNUMBER(SEARCH("move_legality",C78)),Parameters!$B$4,IF(ISNUMBER(SEARCH("piece_placement",C78)),Parameters!$B$5,IF(ISNUMBER(SEARCH("material",C78)),Parameters!$B$6,IF(ISNUMBER(SEARCH("piece_relations",C78)),Parameters!$B$7,IF(ISNUMBER(SEARCH("geometry",C78)),Parameters!$B$8,IF(ISNUMBER(SEARCH("reasoning",C78)),Parameters!$B$9,Parameters!$B$10))))))</f>
        <v>4</v>
      </c>
      <c r="F78" s="23">
        <f>IF(D78="major",Parameters!$B$14,IF(D78="medium",Parameters!$B$15,Parameters!$B$16))</f>
        <v>3</v>
      </c>
      <c r="G78" s="16">
        <f t="shared" si="3"/>
        <v>0</v>
      </c>
      <c r="H78" s="24">
        <f>Parameters!$B$20^(G78-1)</f>
        <v>1.4285714285714286</v>
      </c>
      <c r="I78" s="18">
        <f t="shared" si="4"/>
        <v>17.142857142857142</v>
      </c>
    </row>
    <row r="79" spans="1:9" ht="13.15" x14ac:dyDescent="0.35">
      <c r="A79" s="21">
        <v>78</v>
      </c>
      <c r="B79" s="16">
        <f>'Data DEEPSEEK'!B79</f>
        <v>5</v>
      </c>
      <c r="C79" s="22" t="str">
        <f>'Data DEEPSEEK'!F79</f>
        <v>move_legality</v>
      </c>
      <c r="D79" s="16" t="str">
        <f>LOWER(TRIM('Data DEEPSEEK'!H79))</f>
        <v>minor</v>
      </c>
      <c r="E79" s="23">
        <f>IF(ISNUMBER(SEARCH("move_legality",C79)),Parameters!$B$4,IF(ISNUMBER(SEARCH("piece_placement",C79)),Parameters!$B$5,IF(ISNUMBER(SEARCH("material",C79)),Parameters!$B$6,IF(ISNUMBER(SEARCH("piece_relations",C79)),Parameters!$B$7,IF(ISNUMBER(SEARCH("geometry",C79)),Parameters!$B$8,IF(ISNUMBER(SEARCH("reasoning",C79)),Parameters!$B$9,Parameters!$B$10))))))</f>
        <v>8</v>
      </c>
      <c r="F79" s="23">
        <f>IF(D79="major",Parameters!$B$14,IF(D79="medium",Parameters!$B$15,Parameters!$B$16))</f>
        <v>1</v>
      </c>
      <c r="G79" s="16">
        <f t="shared" si="3"/>
        <v>0</v>
      </c>
      <c r="H79" s="24">
        <f>Parameters!$B$20^(G79-1)</f>
        <v>1.4285714285714286</v>
      </c>
      <c r="I79" s="18">
        <f t="shared" si="4"/>
        <v>11.428571428571429</v>
      </c>
    </row>
    <row r="80" spans="1:9" ht="13.15" x14ac:dyDescent="0.35">
      <c r="A80" s="21">
        <v>79</v>
      </c>
      <c r="B80" s="16">
        <f>'Data DEEPSEEK'!B80</f>
        <v>5</v>
      </c>
      <c r="C80" s="22" t="str">
        <f>'Data DEEPSEEK'!F80</f>
        <v>reasoning</v>
      </c>
      <c r="D80" s="16" t="str">
        <f>LOWER(TRIM('Data DEEPSEEK'!H80))</f>
        <v>minor</v>
      </c>
      <c r="E80" s="23">
        <f>IF(ISNUMBER(SEARCH("move_legality",C80)),Parameters!$B$4,IF(ISNUMBER(SEARCH("piece_placement",C80)),Parameters!$B$5,IF(ISNUMBER(SEARCH("material",C80)),Parameters!$B$6,IF(ISNUMBER(SEARCH("piece_relations",C80)),Parameters!$B$7,IF(ISNUMBER(SEARCH("geometry",C80)),Parameters!$B$8,IF(ISNUMBER(SEARCH("reasoning",C80)),Parameters!$B$9,Parameters!$B$10))))))</f>
        <v>2</v>
      </c>
      <c r="F80" s="23">
        <f>IF(D80="major",Parameters!$B$14,IF(D80="medium",Parameters!$B$15,Parameters!$B$16))</f>
        <v>1</v>
      </c>
      <c r="G80" s="16">
        <f t="shared" si="3"/>
        <v>0</v>
      </c>
      <c r="H80" s="24">
        <f>Parameters!$B$20^(G80-1)</f>
        <v>1.4285714285714286</v>
      </c>
      <c r="I80" s="18">
        <f t="shared" si="4"/>
        <v>2.8571428571428572</v>
      </c>
    </row>
    <row r="81" spans="1:9" ht="13.15" x14ac:dyDescent="0.35">
      <c r="A81" s="21">
        <v>80</v>
      </c>
      <c r="B81" s="16">
        <f>'Data DEEPSEEK'!B81</f>
        <v>5</v>
      </c>
      <c r="C81" s="22" t="str">
        <f>'Data DEEPSEEK'!F81</f>
        <v>piece_relations</v>
      </c>
      <c r="D81" s="16" t="str">
        <f>LOWER(TRIM('Data DEEPSEEK'!H81))</f>
        <v>major</v>
      </c>
      <c r="E81" s="23">
        <f>IF(ISNUMBER(SEARCH("move_legality",C81)),Parameters!$B$4,IF(ISNUMBER(SEARCH("piece_placement",C81)),Parameters!$B$5,IF(ISNUMBER(SEARCH("material",C81)),Parameters!$B$6,IF(ISNUMBER(SEARCH("piece_relations",C81)),Parameters!$B$7,IF(ISNUMBER(SEARCH("geometry",C81)),Parameters!$B$8,IF(ISNUMBER(SEARCH("reasoning",C81)),Parameters!$B$9,Parameters!$B$10))))))</f>
        <v>4</v>
      </c>
      <c r="F81" s="23">
        <f>IF(D81="major",Parameters!$B$14,IF(D81="medium",Parameters!$B$15,Parameters!$B$16))</f>
        <v>3</v>
      </c>
      <c r="G81" s="16">
        <f t="shared" si="3"/>
        <v>0</v>
      </c>
      <c r="H81" s="24">
        <f>Parameters!$B$20^(G81-1)</f>
        <v>1.4285714285714286</v>
      </c>
      <c r="I81" s="18">
        <f t="shared" si="4"/>
        <v>17.142857142857142</v>
      </c>
    </row>
    <row r="82" spans="1:9" ht="13.15" x14ac:dyDescent="0.35">
      <c r="A82" s="21">
        <v>81</v>
      </c>
      <c r="B82" s="16">
        <f>'Data DEEPSEEK'!B82</f>
        <v>5</v>
      </c>
      <c r="C82" s="22" t="str">
        <f>'Data DEEPSEEK'!F82</f>
        <v>reasoning</v>
      </c>
      <c r="D82" s="16" t="str">
        <f>LOWER(TRIM('Data DEEPSEEK'!H82))</f>
        <v>major</v>
      </c>
      <c r="E82" s="23">
        <f>IF(ISNUMBER(SEARCH("move_legality",C82)),Parameters!$B$4,IF(ISNUMBER(SEARCH("piece_placement",C82)),Parameters!$B$5,IF(ISNUMBER(SEARCH("material",C82)),Parameters!$B$6,IF(ISNUMBER(SEARCH("piece_relations",C82)),Parameters!$B$7,IF(ISNUMBER(SEARCH("geometry",C82)),Parameters!$B$8,IF(ISNUMBER(SEARCH("reasoning",C82)),Parameters!$B$9,Parameters!$B$10))))))</f>
        <v>2</v>
      </c>
      <c r="F82" s="23">
        <f>IF(D82="major",Parameters!$B$14,IF(D82="medium",Parameters!$B$15,Parameters!$B$16))</f>
        <v>3</v>
      </c>
      <c r="G82" s="16">
        <f t="shared" si="3"/>
        <v>0</v>
      </c>
      <c r="H82" s="24">
        <f>Parameters!$B$20^(G82-1)</f>
        <v>1.4285714285714286</v>
      </c>
      <c r="I82" s="18">
        <f t="shared" si="4"/>
        <v>8.5714285714285712</v>
      </c>
    </row>
    <row r="83" spans="1:9" ht="13.15" x14ac:dyDescent="0.35">
      <c r="A83" s="21">
        <v>82</v>
      </c>
      <c r="B83" s="16">
        <f>'Data DEEPSEEK'!B83</f>
        <v>5</v>
      </c>
      <c r="C83" s="22" t="str">
        <f>'Data DEEPSEEK'!F83</f>
        <v>piece_relations</v>
      </c>
      <c r="D83" s="16" t="str">
        <f>LOWER(TRIM('Data DEEPSEEK'!H83))</f>
        <v>major</v>
      </c>
      <c r="E83" s="23">
        <f>IF(ISNUMBER(SEARCH("move_legality",C83)),Parameters!$B$4,IF(ISNUMBER(SEARCH("piece_placement",C83)),Parameters!$B$5,IF(ISNUMBER(SEARCH("material",C83)),Parameters!$B$6,IF(ISNUMBER(SEARCH("piece_relations",C83)),Parameters!$B$7,IF(ISNUMBER(SEARCH("geometry",C83)),Parameters!$B$8,IF(ISNUMBER(SEARCH("reasoning",C83)),Parameters!$B$9,Parameters!$B$10))))))</f>
        <v>4</v>
      </c>
      <c r="F83" s="23">
        <f>IF(D83="major",Parameters!$B$14,IF(D83="medium",Parameters!$B$15,Parameters!$B$16))</f>
        <v>3</v>
      </c>
      <c r="G83" s="16">
        <f t="shared" si="3"/>
        <v>0</v>
      </c>
      <c r="H83" s="24">
        <f>Parameters!$B$20^(G83-1)</f>
        <v>1.4285714285714286</v>
      </c>
      <c r="I83" s="18">
        <f t="shared" si="4"/>
        <v>17.142857142857142</v>
      </c>
    </row>
    <row r="84" spans="1:9" ht="13.15" x14ac:dyDescent="0.35">
      <c r="A84" s="21">
        <v>83</v>
      </c>
      <c r="B84" s="16">
        <f>'Data DEEPSEEK'!B84</f>
        <v>5</v>
      </c>
      <c r="C84" s="22" t="str">
        <f>'Data DEEPSEEK'!F84</f>
        <v>reasoning</v>
      </c>
      <c r="D84" s="16" t="str">
        <f>LOWER(TRIM('Data DEEPSEEK'!H84))</f>
        <v>major</v>
      </c>
      <c r="E84" s="23">
        <f>IF(ISNUMBER(SEARCH("move_legality",C84)),Parameters!$B$4,IF(ISNUMBER(SEARCH("piece_placement",C84)),Parameters!$B$5,IF(ISNUMBER(SEARCH("material",C84)),Parameters!$B$6,IF(ISNUMBER(SEARCH("piece_relations",C84)),Parameters!$B$7,IF(ISNUMBER(SEARCH("geometry",C84)),Parameters!$B$8,IF(ISNUMBER(SEARCH("reasoning",C84)),Parameters!$B$9,Parameters!$B$10))))))</f>
        <v>2</v>
      </c>
      <c r="F84" s="23">
        <f>IF(D84="major",Parameters!$B$14,IF(D84="medium",Parameters!$B$15,Parameters!$B$16))</f>
        <v>3</v>
      </c>
      <c r="G84" s="16">
        <f t="shared" si="3"/>
        <v>0</v>
      </c>
      <c r="H84" s="24">
        <f>Parameters!$B$20^(G84-1)</f>
        <v>1.4285714285714286</v>
      </c>
      <c r="I84" s="18">
        <f t="shared" si="4"/>
        <v>8.5714285714285712</v>
      </c>
    </row>
    <row r="85" spans="1:9" ht="13.15" x14ac:dyDescent="0.35">
      <c r="A85" s="21">
        <v>84</v>
      </c>
      <c r="B85" s="16">
        <f>'Data DEEPSEEK'!B85</f>
        <v>5</v>
      </c>
      <c r="C85" s="22" t="str">
        <f>'Data DEEPSEEK'!F85</f>
        <v>piece_relations</v>
      </c>
      <c r="D85" s="16" t="str">
        <f>LOWER(TRIM('Data DEEPSEEK'!H85))</f>
        <v>major</v>
      </c>
      <c r="E85" s="23">
        <f>IF(ISNUMBER(SEARCH("move_legality",C85)),Parameters!$B$4,IF(ISNUMBER(SEARCH("piece_placement",C85)),Parameters!$B$5,IF(ISNUMBER(SEARCH("material",C85)),Parameters!$B$6,IF(ISNUMBER(SEARCH("piece_relations",C85)),Parameters!$B$7,IF(ISNUMBER(SEARCH("geometry",C85)),Parameters!$B$8,IF(ISNUMBER(SEARCH("reasoning",C85)),Parameters!$B$9,Parameters!$B$10))))))</f>
        <v>4</v>
      </c>
      <c r="F85" s="23">
        <f>IF(D85="major",Parameters!$B$14,IF(D85="medium",Parameters!$B$15,Parameters!$B$16))</f>
        <v>3</v>
      </c>
      <c r="G85" s="16">
        <f t="shared" si="3"/>
        <v>0</v>
      </c>
      <c r="H85" s="24">
        <f>Parameters!$B$20^(G85-1)</f>
        <v>1.4285714285714286</v>
      </c>
      <c r="I85" s="18">
        <f t="shared" si="4"/>
        <v>17.142857142857142</v>
      </c>
    </row>
    <row r="86" spans="1:9" ht="13.15" x14ac:dyDescent="0.35">
      <c r="A86" s="21">
        <v>85</v>
      </c>
      <c r="B86" s="16">
        <f>'Data DEEPSEEK'!B86</f>
        <v>5</v>
      </c>
      <c r="C86" s="22" t="str">
        <f>'Data DEEPSEEK'!F86</f>
        <v>piece_relations</v>
      </c>
      <c r="D86" s="16" t="str">
        <f>LOWER(TRIM('Data DEEPSEEK'!H86))</f>
        <v>major</v>
      </c>
      <c r="E86" s="23">
        <f>IF(ISNUMBER(SEARCH("move_legality",C86)),Parameters!$B$4,IF(ISNUMBER(SEARCH("piece_placement",C86)),Parameters!$B$5,IF(ISNUMBER(SEARCH("material",C86)),Parameters!$B$6,IF(ISNUMBER(SEARCH("piece_relations",C86)),Parameters!$B$7,IF(ISNUMBER(SEARCH("geometry",C86)),Parameters!$B$8,IF(ISNUMBER(SEARCH("reasoning",C86)),Parameters!$B$9,Parameters!$B$10))))))</f>
        <v>4</v>
      </c>
      <c r="F86" s="23">
        <f>IF(D86="major",Parameters!$B$14,IF(D86="medium",Parameters!$B$15,Parameters!$B$16))</f>
        <v>3</v>
      </c>
      <c r="G86" s="16">
        <f t="shared" si="3"/>
        <v>0</v>
      </c>
      <c r="H86" s="24">
        <f>Parameters!$B$20^(G86-1)</f>
        <v>1.4285714285714286</v>
      </c>
      <c r="I86" s="18">
        <f t="shared" si="4"/>
        <v>17.142857142857142</v>
      </c>
    </row>
    <row r="87" spans="1:9" ht="13.15" x14ac:dyDescent="0.35">
      <c r="A87" s="21">
        <v>86</v>
      </c>
      <c r="B87" s="16">
        <f>'Data DEEPSEEK'!B87</f>
        <v>5</v>
      </c>
      <c r="C87" s="22" t="str">
        <f>'Data DEEPSEEK'!F87</f>
        <v>move_legality</v>
      </c>
      <c r="D87" s="16" t="str">
        <f>LOWER(TRIM('Data DEEPSEEK'!H87))</f>
        <v>major</v>
      </c>
      <c r="E87" s="23">
        <f>IF(ISNUMBER(SEARCH("move_legality",C87)),Parameters!$B$4,IF(ISNUMBER(SEARCH("piece_placement",C87)),Parameters!$B$5,IF(ISNUMBER(SEARCH("material",C87)),Parameters!$B$6,IF(ISNUMBER(SEARCH("piece_relations",C87)),Parameters!$B$7,IF(ISNUMBER(SEARCH("geometry",C87)),Parameters!$B$8,IF(ISNUMBER(SEARCH("reasoning",C87)),Parameters!$B$9,Parameters!$B$10))))))</f>
        <v>8</v>
      </c>
      <c r="F87" s="23">
        <f>IF(D87="major",Parameters!$B$14,IF(D87="medium",Parameters!$B$15,Parameters!$B$16))</f>
        <v>3</v>
      </c>
      <c r="G87" s="16">
        <f t="shared" si="3"/>
        <v>0</v>
      </c>
      <c r="H87" s="24">
        <f>Parameters!$B$20^(G87-1)</f>
        <v>1.4285714285714286</v>
      </c>
      <c r="I87" s="18">
        <f t="shared" si="4"/>
        <v>34.285714285714285</v>
      </c>
    </row>
    <row r="88" spans="1:9" ht="13.15" x14ac:dyDescent="0.35">
      <c r="A88" s="21">
        <v>87</v>
      </c>
      <c r="B88" s="16">
        <f>'Data DEEPSEEK'!B88</f>
        <v>5</v>
      </c>
      <c r="C88" s="22" t="str">
        <f>'Data DEEPSEEK'!F88</f>
        <v>reasoning</v>
      </c>
      <c r="D88" s="16" t="str">
        <f>LOWER(TRIM('Data DEEPSEEK'!H88))</f>
        <v>major</v>
      </c>
      <c r="E88" s="23">
        <f>IF(ISNUMBER(SEARCH("move_legality",C88)),Parameters!$B$4,IF(ISNUMBER(SEARCH("piece_placement",C88)),Parameters!$B$5,IF(ISNUMBER(SEARCH("material",C88)),Parameters!$B$6,IF(ISNUMBER(SEARCH("piece_relations",C88)),Parameters!$B$7,IF(ISNUMBER(SEARCH("geometry",C88)),Parameters!$B$8,IF(ISNUMBER(SEARCH("reasoning",C88)),Parameters!$B$9,Parameters!$B$10))))))</f>
        <v>2</v>
      </c>
      <c r="F88" s="23">
        <f>IF(D88="major",Parameters!$B$14,IF(D88="medium",Parameters!$B$15,Parameters!$B$16))</f>
        <v>3</v>
      </c>
      <c r="G88" s="16">
        <f t="shared" si="3"/>
        <v>0</v>
      </c>
      <c r="H88" s="24">
        <f>Parameters!$B$20^(G88-1)</f>
        <v>1.4285714285714286</v>
      </c>
      <c r="I88" s="18">
        <f t="shared" si="4"/>
        <v>8.5714285714285712</v>
      </c>
    </row>
    <row r="89" spans="1:9" ht="13.15" x14ac:dyDescent="0.35">
      <c r="A89" s="21">
        <v>88</v>
      </c>
      <c r="B89" s="16">
        <f>'Data DEEPSEEK'!B89</f>
        <v>5</v>
      </c>
      <c r="C89" s="22" t="str">
        <f>'Data DEEPSEEK'!F89</f>
        <v>piece_placement</v>
      </c>
      <c r="D89" s="16" t="str">
        <f>LOWER(TRIM('Data DEEPSEEK'!H89))</f>
        <v>major</v>
      </c>
      <c r="E89" s="23">
        <f>IF(ISNUMBER(SEARCH("move_legality",C89)),Parameters!$B$4,IF(ISNUMBER(SEARCH("piece_placement",C89)),Parameters!$B$5,IF(ISNUMBER(SEARCH("material",C89)),Parameters!$B$6,IF(ISNUMBER(SEARCH("piece_relations",C89)),Parameters!$B$7,IF(ISNUMBER(SEARCH("geometry",C89)),Parameters!$B$8,IF(ISNUMBER(SEARCH("reasoning",C89)),Parameters!$B$9,Parameters!$B$10))))))</f>
        <v>6</v>
      </c>
      <c r="F89" s="23">
        <f>IF(D89="major",Parameters!$B$14,IF(D89="medium",Parameters!$B$15,Parameters!$B$16))</f>
        <v>3</v>
      </c>
      <c r="G89" s="16">
        <f t="shared" si="3"/>
        <v>0</v>
      </c>
      <c r="H89" s="24">
        <f>Parameters!$B$20^(G89-1)</f>
        <v>1.4285714285714286</v>
      </c>
      <c r="I89" s="18">
        <f t="shared" si="4"/>
        <v>25.714285714285715</v>
      </c>
    </row>
    <row r="90" spans="1:9" ht="13.15" x14ac:dyDescent="0.35">
      <c r="A90" s="21">
        <v>89</v>
      </c>
      <c r="B90" s="16">
        <f>'Data DEEPSEEK'!B90</f>
        <v>5</v>
      </c>
      <c r="C90" s="22" t="str">
        <f>'Data DEEPSEEK'!F90</f>
        <v>move_legality</v>
      </c>
      <c r="D90" s="16" t="str">
        <f>LOWER(TRIM('Data DEEPSEEK'!H90))</f>
        <v>major</v>
      </c>
      <c r="E90" s="23">
        <f>IF(ISNUMBER(SEARCH("move_legality",C90)),Parameters!$B$4,IF(ISNUMBER(SEARCH("piece_placement",C90)),Parameters!$B$5,IF(ISNUMBER(SEARCH("material",C90)),Parameters!$B$6,IF(ISNUMBER(SEARCH("piece_relations",C90)),Parameters!$B$7,IF(ISNUMBER(SEARCH("geometry",C90)),Parameters!$B$8,IF(ISNUMBER(SEARCH("reasoning",C90)),Parameters!$B$9,Parameters!$B$10))))))</f>
        <v>8</v>
      </c>
      <c r="F90" s="23">
        <f>IF(D90="major",Parameters!$B$14,IF(D90="medium",Parameters!$B$15,Parameters!$B$16))</f>
        <v>3</v>
      </c>
      <c r="G90" s="16">
        <f t="shared" si="3"/>
        <v>0</v>
      </c>
      <c r="H90" s="24">
        <f>Parameters!$B$20^(G90-1)</f>
        <v>1.4285714285714286</v>
      </c>
      <c r="I90" s="18">
        <f t="shared" si="4"/>
        <v>34.285714285714285</v>
      </c>
    </row>
    <row r="91" spans="1:9" ht="13.15" x14ac:dyDescent="0.35">
      <c r="A91" s="21">
        <v>90</v>
      </c>
      <c r="B91" s="16">
        <f>'Data DEEPSEEK'!B91</f>
        <v>5</v>
      </c>
      <c r="C91" s="22" t="str">
        <f>'Data DEEPSEEK'!F91</f>
        <v>move_legality</v>
      </c>
      <c r="D91" s="16" t="str">
        <f>LOWER(TRIM('Data DEEPSEEK'!H91))</f>
        <v>minor</v>
      </c>
      <c r="E91" s="23">
        <f>IF(ISNUMBER(SEARCH("move_legality",C91)),Parameters!$B$4,IF(ISNUMBER(SEARCH("piece_placement",C91)),Parameters!$B$5,IF(ISNUMBER(SEARCH("material",C91)),Parameters!$B$6,IF(ISNUMBER(SEARCH("piece_relations",C91)),Parameters!$B$7,IF(ISNUMBER(SEARCH("geometry",C91)),Parameters!$B$8,IF(ISNUMBER(SEARCH("reasoning",C91)),Parameters!$B$9,Parameters!$B$10))))))</f>
        <v>8</v>
      </c>
      <c r="F91" s="23">
        <f>IF(D91="major",Parameters!$B$14,IF(D91="medium",Parameters!$B$15,Parameters!$B$16))</f>
        <v>1</v>
      </c>
      <c r="G91" s="16">
        <f t="shared" si="3"/>
        <v>0</v>
      </c>
      <c r="H91" s="24">
        <f>Parameters!$B$20^(G91-1)</f>
        <v>1.4285714285714286</v>
      </c>
      <c r="I91" s="18">
        <f t="shared" si="4"/>
        <v>11.428571428571429</v>
      </c>
    </row>
    <row r="92" spans="1:9" ht="13.15" x14ac:dyDescent="0.35">
      <c r="A92" s="21">
        <v>91</v>
      </c>
      <c r="B92" s="16">
        <f>'Data DEEPSEEK'!B92</f>
        <v>5</v>
      </c>
      <c r="C92" s="22" t="str">
        <f>'Data DEEPSEEK'!F92</f>
        <v>piece_relations</v>
      </c>
      <c r="D92" s="16" t="str">
        <f>LOWER(TRIM('Data DEEPSEEK'!H92))</f>
        <v>major</v>
      </c>
      <c r="E92" s="23">
        <f>IF(ISNUMBER(SEARCH("move_legality",C92)),Parameters!$B$4,IF(ISNUMBER(SEARCH("piece_placement",C92)),Parameters!$B$5,IF(ISNUMBER(SEARCH("material",C92)),Parameters!$B$6,IF(ISNUMBER(SEARCH("piece_relations",C92)),Parameters!$B$7,IF(ISNUMBER(SEARCH("geometry",C92)),Parameters!$B$8,IF(ISNUMBER(SEARCH("reasoning",C92)),Parameters!$B$9,Parameters!$B$10))))))</f>
        <v>4</v>
      </c>
      <c r="F92" s="23">
        <f>IF(D92="major",Parameters!$B$14,IF(D92="medium",Parameters!$B$15,Parameters!$B$16))</f>
        <v>3</v>
      </c>
      <c r="G92" s="16">
        <f t="shared" si="3"/>
        <v>0</v>
      </c>
      <c r="H92" s="24">
        <f>Parameters!$B$20^(G92-1)</f>
        <v>1.4285714285714286</v>
      </c>
      <c r="I92" s="18">
        <f t="shared" si="4"/>
        <v>17.142857142857142</v>
      </c>
    </row>
    <row r="93" spans="1:9" ht="13.15" x14ac:dyDescent="0.35">
      <c r="A93" s="21">
        <v>92</v>
      </c>
      <c r="B93" s="16">
        <f>'Data DEEPSEEK'!B93</f>
        <v>5</v>
      </c>
      <c r="C93" s="22" t="str">
        <f>'Data DEEPSEEK'!F93</f>
        <v>move_legality</v>
      </c>
      <c r="D93" s="16" t="str">
        <f>LOWER(TRIM('Data DEEPSEEK'!H93))</f>
        <v>major</v>
      </c>
      <c r="E93" s="23">
        <f>IF(ISNUMBER(SEARCH("move_legality",C93)),Parameters!$B$4,IF(ISNUMBER(SEARCH("piece_placement",C93)),Parameters!$B$5,IF(ISNUMBER(SEARCH("material",C93)),Parameters!$B$6,IF(ISNUMBER(SEARCH("piece_relations",C93)),Parameters!$B$7,IF(ISNUMBER(SEARCH("geometry",C93)),Parameters!$B$8,IF(ISNUMBER(SEARCH("reasoning",C93)),Parameters!$B$9,Parameters!$B$10))))))</f>
        <v>8</v>
      </c>
      <c r="F93" s="23">
        <f>IF(D93="major",Parameters!$B$14,IF(D93="medium",Parameters!$B$15,Parameters!$B$16))</f>
        <v>3</v>
      </c>
      <c r="G93" s="16">
        <f t="shared" si="3"/>
        <v>0</v>
      </c>
      <c r="H93" s="24">
        <f>Parameters!$B$20^(G93-1)</f>
        <v>1.4285714285714286</v>
      </c>
      <c r="I93" s="18">
        <f t="shared" si="4"/>
        <v>34.285714285714285</v>
      </c>
    </row>
    <row r="94" spans="1:9" ht="13.15" x14ac:dyDescent="0.35">
      <c r="A94" s="21">
        <v>93</v>
      </c>
      <c r="B94" s="16">
        <f>'Data DEEPSEEK'!B94</f>
        <v>5</v>
      </c>
      <c r="C94" s="22" t="str">
        <f>'Data DEEPSEEK'!F94</f>
        <v>piece_relations</v>
      </c>
      <c r="D94" s="16" t="str">
        <f>LOWER(TRIM('Data DEEPSEEK'!H94))</f>
        <v>major</v>
      </c>
      <c r="E94" s="23">
        <f>IF(ISNUMBER(SEARCH("move_legality",C94)),Parameters!$B$4,IF(ISNUMBER(SEARCH("piece_placement",C94)),Parameters!$B$5,IF(ISNUMBER(SEARCH("material",C94)),Parameters!$B$6,IF(ISNUMBER(SEARCH("piece_relations",C94)),Parameters!$B$7,IF(ISNUMBER(SEARCH("geometry",C94)),Parameters!$B$8,IF(ISNUMBER(SEARCH("reasoning",C94)),Parameters!$B$9,Parameters!$B$10))))))</f>
        <v>4</v>
      </c>
      <c r="F94" s="23">
        <f>IF(D94="major",Parameters!$B$14,IF(D94="medium",Parameters!$B$15,Parameters!$B$16))</f>
        <v>3</v>
      </c>
      <c r="G94" s="16">
        <f t="shared" si="3"/>
        <v>0</v>
      </c>
      <c r="H94" s="24">
        <f>Parameters!$B$20^(G94-1)</f>
        <v>1.4285714285714286</v>
      </c>
      <c r="I94" s="18">
        <f t="shared" si="4"/>
        <v>17.142857142857142</v>
      </c>
    </row>
    <row r="95" spans="1:9" ht="13.15" x14ac:dyDescent="0.35">
      <c r="A95" s="21">
        <v>94</v>
      </c>
      <c r="B95" s="16">
        <f>'Data DEEPSEEK'!B95</f>
        <v>5</v>
      </c>
      <c r="C95" s="22" t="str">
        <f>'Data DEEPSEEK'!F95</f>
        <v>piece_relations</v>
      </c>
      <c r="D95" s="16" t="str">
        <f>LOWER(TRIM('Data DEEPSEEK'!H95))</f>
        <v>minor</v>
      </c>
      <c r="E95" s="23">
        <f>IF(ISNUMBER(SEARCH("move_legality",C95)),Parameters!$B$4,IF(ISNUMBER(SEARCH("piece_placement",C95)),Parameters!$B$5,IF(ISNUMBER(SEARCH("material",C95)),Parameters!$B$6,IF(ISNUMBER(SEARCH("piece_relations",C95)),Parameters!$B$7,IF(ISNUMBER(SEARCH("geometry",C95)),Parameters!$B$8,IF(ISNUMBER(SEARCH("reasoning",C95)),Parameters!$B$9,Parameters!$B$10))))))</f>
        <v>4</v>
      </c>
      <c r="F95" s="23">
        <f>IF(D95="major",Parameters!$B$14,IF(D95="medium",Parameters!$B$15,Parameters!$B$16))</f>
        <v>1</v>
      </c>
      <c r="G95" s="16">
        <f t="shared" si="3"/>
        <v>0</v>
      </c>
      <c r="H95" s="24">
        <f>Parameters!$B$20^(G95-1)</f>
        <v>1.4285714285714286</v>
      </c>
      <c r="I95" s="18">
        <f t="shared" si="4"/>
        <v>5.7142857142857144</v>
      </c>
    </row>
    <row r="96" spans="1:9" ht="13.15" x14ac:dyDescent="0.35">
      <c r="A96" s="21">
        <v>95</v>
      </c>
      <c r="B96" s="16">
        <f>'Data DEEPSEEK'!B96</f>
        <v>5</v>
      </c>
      <c r="C96" s="22" t="str">
        <f>'Data DEEPSEEK'!F96</f>
        <v>reasoning</v>
      </c>
      <c r="D96" s="16" t="str">
        <f>LOWER(TRIM('Data DEEPSEEK'!H96))</f>
        <v>major</v>
      </c>
      <c r="E96" s="23">
        <f>IF(ISNUMBER(SEARCH("move_legality",C96)),Parameters!$B$4,IF(ISNUMBER(SEARCH("piece_placement",C96)),Parameters!$B$5,IF(ISNUMBER(SEARCH("material",C96)),Parameters!$B$6,IF(ISNUMBER(SEARCH("piece_relations",C96)),Parameters!$B$7,IF(ISNUMBER(SEARCH("geometry",C96)),Parameters!$B$8,IF(ISNUMBER(SEARCH("reasoning",C96)),Parameters!$B$9,Parameters!$B$10))))))</f>
        <v>2</v>
      </c>
      <c r="F96" s="23">
        <f>IF(D96="major",Parameters!$B$14,IF(D96="medium",Parameters!$B$15,Parameters!$B$16))</f>
        <v>3</v>
      </c>
      <c r="G96" s="16">
        <f t="shared" si="3"/>
        <v>0</v>
      </c>
      <c r="H96" s="24">
        <f>Parameters!$B$20^(G96-1)</f>
        <v>1.4285714285714286</v>
      </c>
      <c r="I96" s="18">
        <f t="shared" si="4"/>
        <v>8.5714285714285712</v>
      </c>
    </row>
    <row r="97" spans="1:9" ht="13.15" x14ac:dyDescent="0.35">
      <c r="A97" s="21">
        <v>96</v>
      </c>
      <c r="B97" s="16">
        <f>'Data DEEPSEEK'!B97</f>
        <v>5</v>
      </c>
      <c r="C97" s="22" t="str">
        <f>'Data DEEPSEEK'!F97</f>
        <v>reasoning</v>
      </c>
      <c r="D97" s="16" t="str">
        <f>LOWER(TRIM('Data DEEPSEEK'!H97))</f>
        <v>minor</v>
      </c>
      <c r="E97" s="23">
        <f>IF(ISNUMBER(SEARCH("move_legality",C97)),Parameters!$B$4,IF(ISNUMBER(SEARCH("piece_placement",C97)),Parameters!$B$5,IF(ISNUMBER(SEARCH("material",C97)),Parameters!$B$6,IF(ISNUMBER(SEARCH("piece_relations",C97)),Parameters!$B$7,IF(ISNUMBER(SEARCH("geometry",C97)),Parameters!$B$8,IF(ISNUMBER(SEARCH("reasoning",C97)),Parameters!$B$9,Parameters!$B$10))))))</f>
        <v>2</v>
      </c>
      <c r="F97" s="23">
        <f>IF(D97="major",Parameters!$B$14,IF(D97="medium",Parameters!$B$15,Parameters!$B$16))</f>
        <v>1</v>
      </c>
      <c r="G97" s="16">
        <f t="shared" si="3"/>
        <v>0</v>
      </c>
      <c r="H97" s="24">
        <f>Parameters!$B$20^(G97-1)</f>
        <v>1.4285714285714286</v>
      </c>
      <c r="I97" s="18">
        <f t="shared" si="4"/>
        <v>2.8571428571428572</v>
      </c>
    </row>
    <row r="98" spans="1:9" ht="13.15" x14ac:dyDescent="0.35">
      <c r="A98" s="21">
        <v>97</v>
      </c>
      <c r="B98" s="16">
        <f>'Data DEEPSEEK'!B98</f>
        <v>5</v>
      </c>
      <c r="C98" s="22" t="str">
        <f>'Data DEEPSEEK'!F98</f>
        <v>reasoning</v>
      </c>
      <c r="D98" s="16" t="str">
        <f>LOWER(TRIM('Data DEEPSEEK'!H98))</f>
        <v>medium</v>
      </c>
      <c r="E98" s="23">
        <f>IF(ISNUMBER(SEARCH("move_legality",C98)),Parameters!$B$4,IF(ISNUMBER(SEARCH("piece_placement",C98)),Parameters!$B$5,IF(ISNUMBER(SEARCH("material",C98)),Parameters!$B$6,IF(ISNUMBER(SEARCH("piece_relations",C98)),Parameters!$B$7,IF(ISNUMBER(SEARCH("geometry",C98)),Parameters!$B$8,IF(ISNUMBER(SEARCH("reasoning",C98)),Parameters!$B$9,Parameters!$B$10))))))</f>
        <v>2</v>
      </c>
      <c r="F98" s="23">
        <f>IF(D98="major",Parameters!$B$14,IF(D98="medium",Parameters!$B$15,Parameters!$B$16))</f>
        <v>2</v>
      </c>
      <c r="G98" s="16">
        <f t="shared" si="3"/>
        <v>0</v>
      </c>
      <c r="H98" s="24">
        <f>Parameters!$B$20^(G98-1)</f>
        <v>1.4285714285714286</v>
      </c>
      <c r="I98" s="18">
        <f t="shared" si="4"/>
        <v>5.7142857142857144</v>
      </c>
    </row>
    <row r="99" spans="1:9" ht="13.15" x14ac:dyDescent="0.35">
      <c r="A99" s="21">
        <v>98</v>
      </c>
      <c r="B99" s="16">
        <f>'Data DEEPSEEK'!B99</f>
        <v>5</v>
      </c>
      <c r="C99" s="22" t="str">
        <f>'Data DEEPSEEK'!F99</f>
        <v>reasoning</v>
      </c>
      <c r="D99" s="16" t="str">
        <f>LOWER(TRIM('Data DEEPSEEK'!H99))</f>
        <v>major</v>
      </c>
      <c r="E99" s="23">
        <f>IF(ISNUMBER(SEARCH("move_legality",C99)),Parameters!$B$4,IF(ISNUMBER(SEARCH("piece_placement",C99)),Parameters!$B$5,IF(ISNUMBER(SEARCH("material",C99)),Parameters!$B$6,IF(ISNUMBER(SEARCH("piece_relations",C99)),Parameters!$B$7,IF(ISNUMBER(SEARCH("geometry",C99)),Parameters!$B$8,IF(ISNUMBER(SEARCH("reasoning",C99)),Parameters!$B$9,Parameters!$B$10))))))</f>
        <v>2</v>
      </c>
      <c r="F99" s="23">
        <f>IF(D99="major",Parameters!$B$14,IF(D99="medium",Parameters!$B$15,Parameters!$B$16))</f>
        <v>3</v>
      </c>
      <c r="G99" s="16">
        <f t="shared" si="3"/>
        <v>0</v>
      </c>
      <c r="H99" s="24">
        <f>Parameters!$B$20^(G99-1)</f>
        <v>1.4285714285714286</v>
      </c>
      <c r="I99" s="18">
        <f t="shared" si="4"/>
        <v>8.5714285714285712</v>
      </c>
    </row>
    <row r="100" spans="1:9" ht="13.15" x14ac:dyDescent="0.35">
      <c r="A100" s="21">
        <v>99</v>
      </c>
      <c r="B100" s="16">
        <f>'Data DEEPSEEK'!B100</f>
        <v>5</v>
      </c>
      <c r="C100" s="22" t="str">
        <f>'Data DEEPSEEK'!F100</f>
        <v>reasoning</v>
      </c>
      <c r="D100" s="16" t="str">
        <f>LOWER(TRIM('Data DEEPSEEK'!H100))</f>
        <v>major</v>
      </c>
      <c r="E100" s="23">
        <f>IF(ISNUMBER(SEARCH("move_legality",C100)),Parameters!$B$4,IF(ISNUMBER(SEARCH("piece_placement",C100)),Parameters!$B$5,IF(ISNUMBER(SEARCH("material",C100)),Parameters!$B$6,IF(ISNUMBER(SEARCH("piece_relations",C100)),Parameters!$B$7,IF(ISNUMBER(SEARCH("geometry",C100)),Parameters!$B$8,IF(ISNUMBER(SEARCH("reasoning",C100)),Parameters!$B$9,Parameters!$B$10))))))</f>
        <v>2</v>
      </c>
      <c r="F100" s="23">
        <f>IF(D100="major",Parameters!$B$14,IF(D100="medium",Parameters!$B$15,Parameters!$B$16))</f>
        <v>3</v>
      </c>
      <c r="G100" s="16">
        <f t="shared" si="3"/>
        <v>0</v>
      </c>
      <c r="H100" s="24">
        <f>Parameters!$B$20^(G100-1)</f>
        <v>1.4285714285714286</v>
      </c>
      <c r="I100" s="18">
        <f t="shared" si="4"/>
        <v>8.5714285714285712</v>
      </c>
    </row>
    <row r="101" spans="1:9" ht="13.15" x14ac:dyDescent="0.35">
      <c r="A101" s="21">
        <v>100</v>
      </c>
      <c r="B101" s="16">
        <f>'Data DEEPSEEK'!B101</f>
        <v>5</v>
      </c>
      <c r="C101" s="22" t="str">
        <f>'Data DEEPSEEK'!F101</f>
        <v>piece_relations</v>
      </c>
      <c r="D101" s="16" t="str">
        <f>LOWER(TRIM('Data DEEPSEEK'!H101))</f>
        <v>major</v>
      </c>
      <c r="E101" s="23">
        <f>IF(ISNUMBER(SEARCH("move_legality",C101)),Parameters!$B$4,IF(ISNUMBER(SEARCH("piece_placement",C101)),Parameters!$B$5,IF(ISNUMBER(SEARCH("material",C101)),Parameters!$B$6,IF(ISNUMBER(SEARCH("piece_relations",C101)),Parameters!$B$7,IF(ISNUMBER(SEARCH("geometry",C101)),Parameters!$B$8,IF(ISNUMBER(SEARCH("reasoning",C101)),Parameters!$B$9,Parameters!$B$10))))))</f>
        <v>4</v>
      </c>
      <c r="F101" s="23">
        <f>IF(D101="major",Parameters!$B$14,IF(D101="medium",Parameters!$B$15,Parameters!$B$16))</f>
        <v>3</v>
      </c>
      <c r="G101" s="16">
        <f t="shared" si="3"/>
        <v>0</v>
      </c>
      <c r="H101" s="24">
        <f>Parameters!$B$20^(G101-1)</f>
        <v>1.4285714285714286</v>
      </c>
      <c r="I101" s="18">
        <f t="shared" si="4"/>
        <v>17.142857142857142</v>
      </c>
    </row>
    <row r="102" spans="1:9" ht="13.15" x14ac:dyDescent="0.35">
      <c r="A102" s="21">
        <v>101</v>
      </c>
      <c r="B102" s="16">
        <f>'Data DEEPSEEK'!B102</f>
        <v>5</v>
      </c>
      <c r="C102" s="22" t="str">
        <f>'Data DEEPSEEK'!F102</f>
        <v>material</v>
      </c>
      <c r="D102" s="16" t="str">
        <f>LOWER(TRIM('Data DEEPSEEK'!H102))</f>
        <v>major</v>
      </c>
      <c r="E102" s="23">
        <f>IF(ISNUMBER(SEARCH("move_legality",C102)),Parameters!$B$4,IF(ISNUMBER(SEARCH("piece_placement",C102)),Parameters!$B$5,IF(ISNUMBER(SEARCH("material",C102)),Parameters!$B$6,IF(ISNUMBER(SEARCH("piece_relations",C102)),Parameters!$B$7,IF(ISNUMBER(SEARCH("geometry",C102)),Parameters!$B$8,IF(ISNUMBER(SEARCH("reasoning",C102)),Parameters!$B$9,Parameters!$B$10))))))</f>
        <v>5</v>
      </c>
      <c r="F102" s="23">
        <f>IF(D102="major",Parameters!$B$14,IF(D102="medium",Parameters!$B$15,Parameters!$B$16))</f>
        <v>3</v>
      </c>
      <c r="G102" s="16">
        <f t="shared" si="3"/>
        <v>0</v>
      </c>
      <c r="H102" s="24">
        <f>Parameters!$B$20^(G102-1)</f>
        <v>1.4285714285714286</v>
      </c>
      <c r="I102" s="18">
        <f t="shared" si="4"/>
        <v>21.428571428571431</v>
      </c>
    </row>
    <row r="103" spans="1:9" ht="13.15" x14ac:dyDescent="0.35">
      <c r="A103" s="21">
        <v>102</v>
      </c>
      <c r="B103" s="16">
        <f>'Data DEEPSEEK'!B103</f>
        <v>5</v>
      </c>
      <c r="C103" s="22" t="str">
        <f>'Data DEEPSEEK'!F103</f>
        <v>move_legality</v>
      </c>
      <c r="D103" s="16" t="str">
        <f>LOWER(TRIM('Data DEEPSEEK'!H103))</f>
        <v>major</v>
      </c>
      <c r="E103" s="23">
        <f>IF(ISNUMBER(SEARCH("move_legality",C103)),Parameters!$B$4,IF(ISNUMBER(SEARCH("piece_placement",C103)),Parameters!$B$5,IF(ISNUMBER(SEARCH("material",C103)),Parameters!$B$6,IF(ISNUMBER(SEARCH("piece_relations",C103)),Parameters!$B$7,IF(ISNUMBER(SEARCH("geometry",C103)),Parameters!$B$8,IF(ISNUMBER(SEARCH("reasoning",C103)),Parameters!$B$9,Parameters!$B$10))))))</f>
        <v>8</v>
      </c>
      <c r="F103" s="23">
        <f>IF(D103="major",Parameters!$B$14,IF(D103="medium",Parameters!$B$15,Parameters!$B$16))</f>
        <v>3</v>
      </c>
      <c r="G103" s="16">
        <f t="shared" si="3"/>
        <v>0</v>
      </c>
      <c r="H103" s="24">
        <f>Parameters!$B$20^(G103-1)</f>
        <v>1.4285714285714286</v>
      </c>
      <c r="I103" s="18">
        <f t="shared" si="4"/>
        <v>34.285714285714285</v>
      </c>
    </row>
    <row r="104" spans="1:9" ht="13.15" x14ac:dyDescent="0.35">
      <c r="A104" s="21">
        <v>103</v>
      </c>
      <c r="B104" s="16">
        <f>'Data DEEPSEEK'!B104</f>
        <v>5</v>
      </c>
      <c r="C104" s="22" t="str">
        <f>'Data DEEPSEEK'!F104</f>
        <v>reasoning</v>
      </c>
      <c r="D104" s="16" t="str">
        <f>LOWER(TRIM('Data DEEPSEEK'!H104))</f>
        <v>medium</v>
      </c>
      <c r="E104" s="23">
        <f>IF(ISNUMBER(SEARCH("move_legality",C104)),Parameters!$B$4,IF(ISNUMBER(SEARCH("piece_placement",C104)),Parameters!$B$5,IF(ISNUMBER(SEARCH("material",C104)),Parameters!$B$6,IF(ISNUMBER(SEARCH("piece_relations",C104)),Parameters!$B$7,IF(ISNUMBER(SEARCH("geometry",C104)),Parameters!$B$8,IF(ISNUMBER(SEARCH("reasoning",C104)),Parameters!$B$9,Parameters!$B$10))))))</f>
        <v>2</v>
      </c>
      <c r="F104" s="23">
        <f>IF(D104="major",Parameters!$B$14,IF(D104="medium",Parameters!$B$15,Parameters!$B$16))</f>
        <v>2</v>
      </c>
      <c r="G104" s="16">
        <f t="shared" si="3"/>
        <v>0</v>
      </c>
      <c r="H104" s="24">
        <f>Parameters!$B$20^(G104-1)</f>
        <v>1.4285714285714286</v>
      </c>
      <c r="I104" s="18">
        <f t="shared" si="4"/>
        <v>5.7142857142857144</v>
      </c>
    </row>
    <row r="105" spans="1:9" ht="13.15" x14ac:dyDescent="0.35">
      <c r="A105" s="21">
        <v>104</v>
      </c>
      <c r="B105" s="16">
        <f>'Data DEEPSEEK'!B105</f>
        <v>6</v>
      </c>
      <c r="C105" s="22" t="str">
        <f>'Data DEEPSEEK'!F105</f>
        <v>material</v>
      </c>
      <c r="D105" s="16" t="str">
        <f>LOWER(TRIM('Data DEEPSEEK'!H105))</f>
        <v>major</v>
      </c>
      <c r="E105" s="23">
        <f>IF(ISNUMBER(SEARCH("move_legality",C105)),Parameters!$B$4,IF(ISNUMBER(SEARCH("piece_placement",C105)),Parameters!$B$5,IF(ISNUMBER(SEARCH("material",C105)),Parameters!$B$6,IF(ISNUMBER(SEARCH("piece_relations",C105)),Parameters!$B$7,IF(ISNUMBER(SEARCH("geometry",C105)),Parameters!$B$8,IF(ISNUMBER(SEARCH("reasoning",C105)),Parameters!$B$9,Parameters!$B$10))))))</f>
        <v>5</v>
      </c>
      <c r="F105" s="23">
        <f>IF(D105="major",Parameters!$B$14,IF(D105="medium",Parameters!$B$15,Parameters!$B$16))</f>
        <v>3</v>
      </c>
      <c r="G105" s="16">
        <f t="shared" si="3"/>
        <v>0</v>
      </c>
      <c r="H105" s="24">
        <f>Parameters!$B$20^(G105-1)</f>
        <v>1.4285714285714286</v>
      </c>
      <c r="I105" s="18">
        <f t="shared" si="4"/>
        <v>21.428571428571431</v>
      </c>
    </row>
    <row r="106" spans="1:9" ht="13.15" x14ac:dyDescent="0.35">
      <c r="A106" s="21">
        <v>105</v>
      </c>
      <c r="B106" s="16">
        <f>'Data DEEPSEEK'!B106</f>
        <v>6</v>
      </c>
      <c r="C106" s="22" t="str">
        <f>'Data DEEPSEEK'!F106</f>
        <v>piece_relations</v>
      </c>
      <c r="D106" s="16" t="str">
        <f>LOWER(TRIM('Data DEEPSEEK'!H106))</f>
        <v>major</v>
      </c>
      <c r="E106" s="23">
        <f>IF(ISNUMBER(SEARCH("move_legality",C106)),Parameters!$B$4,IF(ISNUMBER(SEARCH("piece_placement",C106)),Parameters!$B$5,IF(ISNUMBER(SEARCH("material",C106)),Parameters!$B$6,IF(ISNUMBER(SEARCH("piece_relations",C106)),Parameters!$B$7,IF(ISNUMBER(SEARCH("geometry",C106)),Parameters!$B$8,IF(ISNUMBER(SEARCH("reasoning",C106)),Parameters!$B$9,Parameters!$B$10))))))</f>
        <v>4</v>
      </c>
      <c r="F106" s="23">
        <f>IF(D106="major",Parameters!$B$14,IF(D106="medium",Parameters!$B$15,Parameters!$B$16))</f>
        <v>3</v>
      </c>
      <c r="G106" s="16">
        <f t="shared" si="3"/>
        <v>0</v>
      </c>
      <c r="H106" s="24">
        <f>Parameters!$B$20^(G106-1)</f>
        <v>1.4285714285714286</v>
      </c>
      <c r="I106" s="18">
        <f t="shared" si="4"/>
        <v>17.142857142857142</v>
      </c>
    </row>
    <row r="107" spans="1:9" ht="13.15" x14ac:dyDescent="0.35">
      <c r="A107" s="21">
        <v>106</v>
      </c>
      <c r="B107" s="16">
        <f>'Data DEEPSEEK'!B107</f>
        <v>6</v>
      </c>
      <c r="C107" s="22" t="str">
        <f>'Data DEEPSEEK'!F107</f>
        <v>reasoning</v>
      </c>
      <c r="D107" s="16" t="str">
        <f>LOWER(TRIM('Data DEEPSEEK'!H107))</f>
        <v>medium</v>
      </c>
      <c r="E107" s="23">
        <f>IF(ISNUMBER(SEARCH("move_legality",C107)),Parameters!$B$4,IF(ISNUMBER(SEARCH("piece_placement",C107)),Parameters!$B$5,IF(ISNUMBER(SEARCH("material",C107)),Parameters!$B$6,IF(ISNUMBER(SEARCH("piece_relations",C107)),Parameters!$B$7,IF(ISNUMBER(SEARCH("geometry",C107)),Parameters!$B$8,IF(ISNUMBER(SEARCH("reasoning",C107)),Parameters!$B$9,Parameters!$B$10))))))</f>
        <v>2</v>
      </c>
      <c r="F107" s="23">
        <f>IF(D107="major",Parameters!$B$14,IF(D107="medium",Parameters!$B$15,Parameters!$B$16))</f>
        <v>2</v>
      </c>
      <c r="G107" s="16">
        <f t="shared" si="3"/>
        <v>0</v>
      </c>
      <c r="H107" s="24">
        <f>Parameters!$B$20^(G107-1)</f>
        <v>1.4285714285714286</v>
      </c>
      <c r="I107" s="18">
        <f t="shared" si="4"/>
        <v>5.7142857142857144</v>
      </c>
    </row>
    <row r="108" spans="1:9" ht="13.15" x14ac:dyDescent="0.35">
      <c r="A108" s="21">
        <v>107</v>
      </c>
      <c r="B108" s="16">
        <f>'Data DEEPSEEK'!B108</f>
        <v>6</v>
      </c>
      <c r="C108" s="22" t="str">
        <f>'Data DEEPSEEK'!F108</f>
        <v>piece_placement</v>
      </c>
      <c r="D108" s="16" t="str">
        <f>LOWER(TRIM('Data DEEPSEEK'!H108))</f>
        <v>major</v>
      </c>
      <c r="E108" s="23">
        <f>IF(ISNUMBER(SEARCH("move_legality",C108)),Parameters!$B$4,IF(ISNUMBER(SEARCH("piece_placement",C108)),Parameters!$B$5,IF(ISNUMBER(SEARCH("material",C108)),Parameters!$B$6,IF(ISNUMBER(SEARCH("piece_relations",C108)),Parameters!$B$7,IF(ISNUMBER(SEARCH("geometry",C108)),Parameters!$B$8,IF(ISNUMBER(SEARCH("reasoning",C108)),Parameters!$B$9,Parameters!$B$10))))))</f>
        <v>6</v>
      </c>
      <c r="F108" s="23">
        <f>IF(D108="major",Parameters!$B$14,IF(D108="medium",Parameters!$B$15,Parameters!$B$16))</f>
        <v>3</v>
      </c>
      <c r="G108" s="16">
        <f t="shared" si="3"/>
        <v>0</v>
      </c>
      <c r="H108" s="24">
        <f>Parameters!$B$20^(G108-1)</f>
        <v>1.4285714285714286</v>
      </c>
      <c r="I108" s="18">
        <f t="shared" si="4"/>
        <v>25.714285714285715</v>
      </c>
    </row>
    <row r="109" spans="1:9" ht="13.15" x14ac:dyDescent="0.35">
      <c r="A109" s="21">
        <v>108</v>
      </c>
      <c r="B109" s="16">
        <f>'Data DEEPSEEK'!B109</f>
        <v>6</v>
      </c>
      <c r="C109" s="22" t="str">
        <f>'Data DEEPSEEK'!F109</f>
        <v>piece_relations</v>
      </c>
      <c r="D109" s="16" t="str">
        <f>LOWER(TRIM('Data DEEPSEEK'!H109))</f>
        <v>major</v>
      </c>
      <c r="E109" s="23">
        <f>IF(ISNUMBER(SEARCH("move_legality",C109)),Parameters!$B$4,IF(ISNUMBER(SEARCH("piece_placement",C109)),Parameters!$B$5,IF(ISNUMBER(SEARCH("material",C109)),Parameters!$B$6,IF(ISNUMBER(SEARCH("piece_relations",C109)),Parameters!$B$7,IF(ISNUMBER(SEARCH("geometry",C109)),Parameters!$B$8,IF(ISNUMBER(SEARCH("reasoning",C109)),Parameters!$B$9,Parameters!$B$10))))))</f>
        <v>4</v>
      </c>
      <c r="F109" s="23">
        <f>IF(D109="major",Parameters!$B$14,IF(D109="medium",Parameters!$B$15,Parameters!$B$16))</f>
        <v>3</v>
      </c>
      <c r="G109" s="16">
        <f t="shared" si="3"/>
        <v>0</v>
      </c>
      <c r="H109" s="24">
        <f>Parameters!$B$20^(G109-1)</f>
        <v>1.4285714285714286</v>
      </c>
      <c r="I109" s="18">
        <f t="shared" si="4"/>
        <v>17.142857142857142</v>
      </c>
    </row>
    <row r="110" spans="1:9" ht="13.15" x14ac:dyDescent="0.35">
      <c r="A110" s="21">
        <v>109</v>
      </c>
      <c r="B110" s="16">
        <f>'Data DEEPSEEK'!B110</f>
        <v>6</v>
      </c>
      <c r="C110" s="22" t="str">
        <f>'Data DEEPSEEK'!F110</f>
        <v>reasoning</v>
      </c>
      <c r="D110" s="16" t="str">
        <f>LOWER(TRIM('Data DEEPSEEK'!H110))</f>
        <v>major</v>
      </c>
      <c r="E110" s="23">
        <f>IF(ISNUMBER(SEARCH("move_legality",C110)),Parameters!$B$4,IF(ISNUMBER(SEARCH("piece_placement",C110)),Parameters!$B$5,IF(ISNUMBER(SEARCH("material",C110)),Parameters!$B$6,IF(ISNUMBER(SEARCH("piece_relations",C110)),Parameters!$B$7,IF(ISNUMBER(SEARCH("geometry",C110)),Parameters!$B$8,IF(ISNUMBER(SEARCH("reasoning",C110)),Parameters!$B$9,Parameters!$B$10))))))</f>
        <v>2</v>
      </c>
      <c r="F110" s="23">
        <f>IF(D110="major",Parameters!$B$14,IF(D110="medium",Parameters!$B$15,Parameters!$B$16))</f>
        <v>3</v>
      </c>
      <c r="G110" s="16">
        <f t="shared" si="3"/>
        <v>0</v>
      </c>
      <c r="H110" s="24">
        <f>Parameters!$B$20^(G110-1)</f>
        <v>1.4285714285714286</v>
      </c>
      <c r="I110" s="18">
        <f t="shared" si="4"/>
        <v>8.5714285714285712</v>
      </c>
    </row>
    <row r="111" spans="1:9" ht="13.15" x14ac:dyDescent="0.35">
      <c r="A111" s="21">
        <v>110</v>
      </c>
      <c r="B111" s="16">
        <f>'Data DEEPSEEK'!B111</f>
        <v>6</v>
      </c>
      <c r="C111" s="22" t="str">
        <f>'Data DEEPSEEK'!F111</f>
        <v>piece_placement</v>
      </c>
      <c r="D111" s="16" t="str">
        <f>LOWER(TRIM('Data DEEPSEEK'!H111))</f>
        <v>major</v>
      </c>
      <c r="E111" s="23">
        <f>IF(ISNUMBER(SEARCH("move_legality",C111)),Parameters!$B$4,IF(ISNUMBER(SEARCH("piece_placement",C111)),Parameters!$B$5,IF(ISNUMBER(SEARCH("material",C111)),Parameters!$B$6,IF(ISNUMBER(SEARCH("piece_relations",C111)),Parameters!$B$7,IF(ISNUMBER(SEARCH("geometry",C111)),Parameters!$B$8,IF(ISNUMBER(SEARCH("reasoning",C111)),Parameters!$B$9,Parameters!$B$10))))))</f>
        <v>6</v>
      </c>
      <c r="F111" s="23">
        <f>IF(D111="major",Parameters!$B$14,IF(D111="medium",Parameters!$B$15,Parameters!$B$16))</f>
        <v>3</v>
      </c>
      <c r="G111" s="16">
        <f t="shared" si="3"/>
        <v>0</v>
      </c>
      <c r="H111" s="24">
        <f>Parameters!$B$20^(G111-1)</f>
        <v>1.4285714285714286</v>
      </c>
      <c r="I111" s="18">
        <f t="shared" si="4"/>
        <v>25.714285714285715</v>
      </c>
    </row>
    <row r="112" spans="1:9" ht="13.15" x14ac:dyDescent="0.35">
      <c r="A112" s="21">
        <v>111</v>
      </c>
      <c r="B112" s="16">
        <f>'Data DEEPSEEK'!B112</f>
        <v>6</v>
      </c>
      <c r="C112" s="22" t="str">
        <f>'Data DEEPSEEK'!F112</f>
        <v>piece_relations</v>
      </c>
      <c r="D112" s="16" t="str">
        <f>LOWER(TRIM('Data DEEPSEEK'!H112))</f>
        <v>major</v>
      </c>
      <c r="E112" s="23">
        <f>IF(ISNUMBER(SEARCH("move_legality",C112)),Parameters!$B$4,IF(ISNUMBER(SEARCH("piece_placement",C112)),Parameters!$B$5,IF(ISNUMBER(SEARCH("material",C112)),Parameters!$B$6,IF(ISNUMBER(SEARCH("piece_relations",C112)),Parameters!$B$7,IF(ISNUMBER(SEARCH("geometry",C112)),Parameters!$B$8,IF(ISNUMBER(SEARCH("reasoning",C112)),Parameters!$B$9,Parameters!$B$10))))))</f>
        <v>4</v>
      </c>
      <c r="F112" s="23">
        <f>IF(D112="major",Parameters!$B$14,IF(D112="medium",Parameters!$B$15,Parameters!$B$16))</f>
        <v>3</v>
      </c>
      <c r="G112" s="16">
        <f t="shared" si="3"/>
        <v>0</v>
      </c>
      <c r="H112" s="24">
        <f>Parameters!$B$20^(G112-1)</f>
        <v>1.4285714285714286</v>
      </c>
      <c r="I112" s="18">
        <f t="shared" si="4"/>
        <v>17.142857142857142</v>
      </c>
    </row>
    <row r="113" spans="1:9" ht="13.15" x14ac:dyDescent="0.35">
      <c r="A113" s="21">
        <v>112</v>
      </c>
      <c r="B113" s="16">
        <f>'Data DEEPSEEK'!B113</f>
        <v>6</v>
      </c>
      <c r="C113" s="22" t="str">
        <f>'Data DEEPSEEK'!F113</f>
        <v>reasoning</v>
      </c>
      <c r="D113" s="16" t="str">
        <f>LOWER(TRIM('Data DEEPSEEK'!H113))</f>
        <v>major</v>
      </c>
      <c r="E113" s="23">
        <f>IF(ISNUMBER(SEARCH("move_legality",C113)),Parameters!$B$4,IF(ISNUMBER(SEARCH("piece_placement",C113)),Parameters!$B$5,IF(ISNUMBER(SEARCH("material",C113)),Parameters!$B$6,IF(ISNUMBER(SEARCH("piece_relations",C113)),Parameters!$B$7,IF(ISNUMBER(SEARCH("geometry",C113)),Parameters!$B$8,IF(ISNUMBER(SEARCH("reasoning",C113)),Parameters!$B$9,Parameters!$B$10))))))</f>
        <v>2</v>
      </c>
      <c r="F113" s="23">
        <f>IF(D113="major",Parameters!$B$14,IF(D113="medium",Parameters!$B$15,Parameters!$B$16))</f>
        <v>3</v>
      </c>
      <c r="G113" s="16">
        <f t="shared" si="3"/>
        <v>0</v>
      </c>
      <c r="H113" s="24">
        <f>Parameters!$B$20^(G113-1)</f>
        <v>1.4285714285714286</v>
      </c>
      <c r="I113" s="18">
        <f t="shared" si="4"/>
        <v>8.5714285714285712</v>
      </c>
    </row>
    <row r="114" spans="1:9" ht="13.15" x14ac:dyDescent="0.35">
      <c r="A114" s="21">
        <v>113</v>
      </c>
      <c r="B114" s="16">
        <f>'Data DEEPSEEK'!B114</f>
        <v>6</v>
      </c>
      <c r="C114" s="22" t="str">
        <f>'Data DEEPSEEK'!F114</f>
        <v>reasoning</v>
      </c>
      <c r="D114" s="16" t="str">
        <f>LOWER(TRIM('Data DEEPSEEK'!H114))</f>
        <v>medium</v>
      </c>
      <c r="E114" s="23">
        <f>IF(ISNUMBER(SEARCH("move_legality",C114)),Parameters!$B$4,IF(ISNUMBER(SEARCH("piece_placement",C114)),Parameters!$B$5,IF(ISNUMBER(SEARCH("material",C114)),Parameters!$B$6,IF(ISNUMBER(SEARCH("piece_relations",C114)),Parameters!$B$7,IF(ISNUMBER(SEARCH("geometry",C114)),Parameters!$B$8,IF(ISNUMBER(SEARCH("reasoning",C114)),Parameters!$B$9,Parameters!$B$10))))))</f>
        <v>2</v>
      </c>
      <c r="F114" s="23">
        <f>IF(D114="major",Parameters!$B$14,IF(D114="medium",Parameters!$B$15,Parameters!$B$16))</f>
        <v>2</v>
      </c>
      <c r="G114" s="16">
        <f t="shared" si="3"/>
        <v>0</v>
      </c>
      <c r="H114" s="24">
        <f>Parameters!$B$20^(G114-1)</f>
        <v>1.4285714285714286</v>
      </c>
      <c r="I114" s="18">
        <f t="shared" si="4"/>
        <v>5.7142857142857144</v>
      </c>
    </row>
    <row r="115" spans="1:9" ht="13.15" x14ac:dyDescent="0.35">
      <c r="A115" s="21">
        <v>114</v>
      </c>
      <c r="B115" s="16">
        <f>'Data DEEPSEEK'!B115</f>
        <v>6</v>
      </c>
      <c r="C115" s="22" t="str">
        <f>'Data DEEPSEEK'!F115</f>
        <v>reasoning</v>
      </c>
      <c r="D115" s="16" t="str">
        <f>LOWER(TRIM('Data DEEPSEEK'!H115))</f>
        <v>medium</v>
      </c>
      <c r="E115" s="23">
        <f>IF(ISNUMBER(SEARCH("move_legality",C115)),Parameters!$B$4,IF(ISNUMBER(SEARCH("piece_placement",C115)),Parameters!$B$5,IF(ISNUMBER(SEARCH("material",C115)),Parameters!$B$6,IF(ISNUMBER(SEARCH("piece_relations",C115)),Parameters!$B$7,IF(ISNUMBER(SEARCH("geometry",C115)),Parameters!$B$8,IF(ISNUMBER(SEARCH("reasoning",C115)),Parameters!$B$9,Parameters!$B$10))))))</f>
        <v>2</v>
      </c>
      <c r="F115" s="23">
        <f>IF(D115="major",Parameters!$B$14,IF(D115="medium",Parameters!$B$15,Parameters!$B$16))</f>
        <v>2</v>
      </c>
      <c r="G115" s="16">
        <f t="shared" si="3"/>
        <v>0</v>
      </c>
      <c r="H115" s="24">
        <f>Parameters!$B$20^(G115-1)</f>
        <v>1.4285714285714286</v>
      </c>
      <c r="I115" s="18">
        <f t="shared" si="4"/>
        <v>5.7142857142857144</v>
      </c>
    </row>
    <row r="116" spans="1:9" ht="13.15" x14ac:dyDescent="0.35">
      <c r="A116" s="21">
        <v>115</v>
      </c>
      <c r="B116" s="16">
        <f>'Data DEEPSEEK'!B116</f>
        <v>6</v>
      </c>
      <c r="C116" s="22" t="str">
        <f>'Data DEEPSEEK'!F116</f>
        <v>piece_relations</v>
      </c>
      <c r="D116" s="16" t="str">
        <f>LOWER(TRIM('Data DEEPSEEK'!H116))</f>
        <v>major</v>
      </c>
      <c r="E116" s="23">
        <f>IF(ISNUMBER(SEARCH("move_legality",C116)),Parameters!$B$4,IF(ISNUMBER(SEARCH("piece_placement",C116)),Parameters!$B$5,IF(ISNUMBER(SEARCH("material",C116)),Parameters!$B$6,IF(ISNUMBER(SEARCH("piece_relations",C116)),Parameters!$B$7,IF(ISNUMBER(SEARCH("geometry",C116)),Parameters!$B$8,IF(ISNUMBER(SEARCH("reasoning",C116)),Parameters!$B$9,Parameters!$B$10))))))</f>
        <v>4</v>
      </c>
      <c r="F116" s="23">
        <f>IF(D116="major",Parameters!$B$14,IF(D116="medium",Parameters!$B$15,Parameters!$B$16))</f>
        <v>3</v>
      </c>
      <c r="G116" s="16">
        <f t="shared" si="3"/>
        <v>0</v>
      </c>
      <c r="H116" s="24">
        <f>Parameters!$B$20^(G116-1)</f>
        <v>1.4285714285714286</v>
      </c>
      <c r="I116" s="18">
        <f t="shared" si="4"/>
        <v>17.142857142857142</v>
      </c>
    </row>
    <row r="117" spans="1:9" ht="13.15" x14ac:dyDescent="0.35">
      <c r="A117" s="21">
        <v>116</v>
      </c>
      <c r="B117" s="16">
        <f>'Data DEEPSEEK'!B117</f>
        <v>6</v>
      </c>
      <c r="C117" s="22" t="str">
        <f>'Data DEEPSEEK'!F117</f>
        <v>piece_placement</v>
      </c>
      <c r="D117" s="16" t="str">
        <f>LOWER(TRIM('Data DEEPSEEK'!H117))</f>
        <v>major</v>
      </c>
      <c r="E117" s="23">
        <f>IF(ISNUMBER(SEARCH("move_legality",C117)),Parameters!$B$4,IF(ISNUMBER(SEARCH("piece_placement",C117)),Parameters!$B$5,IF(ISNUMBER(SEARCH("material",C117)),Parameters!$B$6,IF(ISNUMBER(SEARCH("piece_relations",C117)),Parameters!$B$7,IF(ISNUMBER(SEARCH("geometry",C117)),Parameters!$B$8,IF(ISNUMBER(SEARCH("reasoning",C117)),Parameters!$B$9,Parameters!$B$10))))))</f>
        <v>6</v>
      </c>
      <c r="F117" s="23">
        <f>IF(D117="major",Parameters!$B$14,IF(D117="medium",Parameters!$B$15,Parameters!$B$16))</f>
        <v>3</v>
      </c>
      <c r="G117" s="16">
        <f t="shared" si="3"/>
        <v>0</v>
      </c>
      <c r="H117" s="24">
        <f>Parameters!$B$20^(G117-1)</f>
        <v>1.4285714285714286</v>
      </c>
      <c r="I117" s="18">
        <f t="shared" si="4"/>
        <v>25.714285714285715</v>
      </c>
    </row>
    <row r="118" spans="1:9" ht="13.15" x14ac:dyDescent="0.35">
      <c r="A118" s="21">
        <v>117</v>
      </c>
      <c r="B118" s="16">
        <f>'Data DEEPSEEK'!B118</f>
        <v>6</v>
      </c>
      <c r="C118" s="22" t="str">
        <f>'Data DEEPSEEK'!F118</f>
        <v>move_legality</v>
      </c>
      <c r="D118" s="16" t="str">
        <f>LOWER(TRIM('Data DEEPSEEK'!H118))</f>
        <v>major</v>
      </c>
      <c r="E118" s="23">
        <f>IF(ISNUMBER(SEARCH("move_legality",C118)),Parameters!$B$4,IF(ISNUMBER(SEARCH("piece_placement",C118)),Parameters!$B$5,IF(ISNUMBER(SEARCH("material",C118)),Parameters!$B$6,IF(ISNUMBER(SEARCH("piece_relations",C118)),Parameters!$B$7,IF(ISNUMBER(SEARCH("geometry",C118)),Parameters!$B$8,IF(ISNUMBER(SEARCH("reasoning",C118)),Parameters!$B$9,Parameters!$B$10))))))</f>
        <v>8</v>
      </c>
      <c r="F118" s="23">
        <f>IF(D118="major",Parameters!$B$14,IF(D118="medium",Parameters!$B$15,Parameters!$B$16))</f>
        <v>3</v>
      </c>
      <c r="G118" s="16">
        <f t="shared" si="3"/>
        <v>0</v>
      </c>
      <c r="H118" s="24">
        <f>Parameters!$B$20^(G118-1)</f>
        <v>1.4285714285714286</v>
      </c>
      <c r="I118" s="18">
        <f t="shared" si="4"/>
        <v>34.285714285714285</v>
      </c>
    </row>
    <row r="119" spans="1:9" ht="13.15" x14ac:dyDescent="0.35">
      <c r="A119" s="21">
        <v>118</v>
      </c>
      <c r="B119" s="16">
        <f>'Data DEEPSEEK'!B119</f>
        <v>6</v>
      </c>
      <c r="C119" s="22" t="str">
        <f>'Data DEEPSEEK'!F119</f>
        <v>piece_placement</v>
      </c>
      <c r="D119" s="16" t="str">
        <f>LOWER(TRIM('Data DEEPSEEK'!H119))</f>
        <v>major</v>
      </c>
      <c r="E119" s="23">
        <f>IF(ISNUMBER(SEARCH("move_legality",C119)),Parameters!$B$4,IF(ISNUMBER(SEARCH("piece_placement",C119)),Parameters!$B$5,IF(ISNUMBER(SEARCH("material",C119)),Parameters!$B$6,IF(ISNUMBER(SEARCH("piece_relations",C119)),Parameters!$B$7,IF(ISNUMBER(SEARCH("geometry",C119)),Parameters!$B$8,IF(ISNUMBER(SEARCH("reasoning",C119)),Parameters!$B$9,Parameters!$B$10))))))</f>
        <v>6</v>
      </c>
      <c r="F119" s="23">
        <f>IF(D119="major",Parameters!$B$14,IF(D119="medium",Parameters!$B$15,Parameters!$B$16))</f>
        <v>3</v>
      </c>
      <c r="G119" s="16">
        <f t="shared" si="3"/>
        <v>0</v>
      </c>
      <c r="H119" s="24">
        <f>Parameters!$B$20^(G119-1)</f>
        <v>1.4285714285714286</v>
      </c>
      <c r="I119" s="18">
        <f t="shared" si="4"/>
        <v>25.714285714285715</v>
      </c>
    </row>
    <row r="120" spans="1:9" ht="13.15" x14ac:dyDescent="0.35">
      <c r="A120" s="21">
        <v>119</v>
      </c>
      <c r="B120" s="16">
        <f>'Data DEEPSEEK'!B120</f>
        <v>6</v>
      </c>
      <c r="C120" s="22" t="str">
        <f>'Data DEEPSEEK'!F120</f>
        <v>piece_relations</v>
      </c>
      <c r="D120" s="16" t="str">
        <f>LOWER(TRIM('Data DEEPSEEK'!H120))</f>
        <v>major</v>
      </c>
      <c r="E120" s="23">
        <f>IF(ISNUMBER(SEARCH("move_legality",C120)),Parameters!$B$4,IF(ISNUMBER(SEARCH("piece_placement",C120)),Parameters!$B$5,IF(ISNUMBER(SEARCH("material",C120)),Parameters!$B$6,IF(ISNUMBER(SEARCH("piece_relations",C120)),Parameters!$B$7,IF(ISNUMBER(SEARCH("geometry",C120)),Parameters!$B$8,IF(ISNUMBER(SEARCH("reasoning",C120)),Parameters!$B$9,Parameters!$B$10))))))</f>
        <v>4</v>
      </c>
      <c r="F120" s="23">
        <f>IF(D120="major",Parameters!$B$14,IF(D120="medium",Parameters!$B$15,Parameters!$B$16))</f>
        <v>3</v>
      </c>
      <c r="G120" s="16">
        <f t="shared" si="3"/>
        <v>0</v>
      </c>
      <c r="H120" s="24">
        <f>Parameters!$B$20^(G120-1)</f>
        <v>1.4285714285714286</v>
      </c>
      <c r="I120" s="18">
        <f t="shared" si="4"/>
        <v>17.142857142857142</v>
      </c>
    </row>
    <row r="121" spans="1:9" ht="13.15" x14ac:dyDescent="0.35">
      <c r="A121" s="21">
        <v>120</v>
      </c>
      <c r="B121" s="16">
        <f>'Data DEEPSEEK'!B121</f>
        <v>7</v>
      </c>
      <c r="C121" s="22" t="str">
        <f>'Data DEEPSEEK'!F121</f>
        <v>reasoning</v>
      </c>
      <c r="D121" s="16" t="str">
        <f>LOWER(TRIM('Data DEEPSEEK'!H121))</f>
        <v>medium</v>
      </c>
      <c r="E121" s="23">
        <f>IF(ISNUMBER(SEARCH("move_legality",C121)),Parameters!$B$4,IF(ISNUMBER(SEARCH("piece_placement",C121)),Parameters!$B$5,IF(ISNUMBER(SEARCH("material",C121)),Parameters!$B$6,IF(ISNUMBER(SEARCH("piece_relations",C121)),Parameters!$B$7,IF(ISNUMBER(SEARCH("geometry",C121)),Parameters!$B$8,IF(ISNUMBER(SEARCH("reasoning",C121)),Parameters!$B$9,Parameters!$B$10))))))</f>
        <v>2</v>
      </c>
      <c r="F121" s="23">
        <f>IF(D121="major",Parameters!$B$14,IF(D121="medium",Parameters!$B$15,Parameters!$B$16))</f>
        <v>2</v>
      </c>
      <c r="G121" s="16">
        <f t="shared" si="3"/>
        <v>0</v>
      </c>
      <c r="H121" s="24">
        <f>Parameters!$B$20^(G121-1)</f>
        <v>1.4285714285714286</v>
      </c>
      <c r="I121" s="18">
        <f t="shared" si="4"/>
        <v>5.7142857142857144</v>
      </c>
    </row>
    <row r="122" spans="1:9" ht="13.15" x14ac:dyDescent="0.35">
      <c r="A122" s="21">
        <v>121</v>
      </c>
      <c r="B122" s="16">
        <f>'Data DEEPSEEK'!B122</f>
        <v>7</v>
      </c>
      <c r="C122" s="22" t="str">
        <f>'Data DEEPSEEK'!F122</f>
        <v>piece_relations</v>
      </c>
      <c r="D122" s="16" t="str">
        <f>LOWER(TRIM('Data DEEPSEEK'!H122))</f>
        <v>major</v>
      </c>
      <c r="E122" s="23">
        <f>IF(ISNUMBER(SEARCH("move_legality",C122)),Parameters!$B$4,IF(ISNUMBER(SEARCH("piece_placement",C122)),Parameters!$B$5,IF(ISNUMBER(SEARCH("material",C122)),Parameters!$B$6,IF(ISNUMBER(SEARCH("piece_relations",C122)),Parameters!$B$7,IF(ISNUMBER(SEARCH("geometry",C122)),Parameters!$B$8,IF(ISNUMBER(SEARCH("reasoning",C122)),Parameters!$B$9,Parameters!$B$10))))))</f>
        <v>4</v>
      </c>
      <c r="F122" s="23">
        <f>IF(D122="major",Parameters!$B$14,IF(D122="medium",Parameters!$B$15,Parameters!$B$16))</f>
        <v>3</v>
      </c>
      <c r="G122" s="16">
        <f t="shared" si="3"/>
        <v>0</v>
      </c>
      <c r="H122" s="24">
        <f>Parameters!$B$20^(G122-1)</f>
        <v>1.4285714285714286</v>
      </c>
      <c r="I122" s="18">
        <f t="shared" si="4"/>
        <v>17.142857142857142</v>
      </c>
    </row>
    <row r="123" spans="1:9" ht="13.15" x14ac:dyDescent="0.35">
      <c r="A123" s="21">
        <v>122</v>
      </c>
      <c r="B123" s="16">
        <f>'Data DEEPSEEK'!B123</f>
        <v>7</v>
      </c>
      <c r="C123" s="22" t="str">
        <f>'Data DEEPSEEK'!F123</f>
        <v>move_legality</v>
      </c>
      <c r="D123" s="16" t="str">
        <f>LOWER(TRIM('Data DEEPSEEK'!H123))</f>
        <v>major</v>
      </c>
      <c r="E123" s="23">
        <f>IF(ISNUMBER(SEARCH("move_legality",C123)),Parameters!$B$4,IF(ISNUMBER(SEARCH("piece_placement",C123)),Parameters!$B$5,IF(ISNUMBER(SEARCH("material",C123)),Parameters!$B$6,IF(ISNUMBER(SEARCH("piece_relations",C123)),Parameters!$B$7,IF(ISNUMBER(SEARCH("geometry",C123)),Parameters!$B$8,IF(ISNUMBER(SEARCH("reasoning",C123)),Parameters!$B$9,Parameters!$B$10))))))</f>
        <v>8</v>
      </c>
      <c r="F123" s="23">
        <f>IF(D123="major",Parameters!$B$14,IF(D123="medium",Parameters!$B$15,Parameters!$B$16))</f>
        <v>3</v>
      </c>
      <c r="G123" s="16">
        <f t="shared" si="3"/>
        <v>0</v>
      </c>
      <c r="H123" s="24">
        <f>Parameters!$B$20^(G123-1)</f>
        <v>1.4285714285714286</v>
      </c>
      <c r="I123" s="18">
        <f t="shared" si="4"/>
        <v>34.285714285714285</v>
      </c>
    </row>
    <row r="124" spans="1:9" ht="13.15" x14ac:dyDescent="0.35">
      <c r="A124" s="21">
        <v>123</v>
      </c>
      <c r="B124" s="16">
        <f>'Data DEEPSEEK'!B124</f>
        <v>7</v>
      </c>
      <c r="C124" s="22" t="str">
        <f>'Data DEEPSEEK'!F124</f>
        <v>piece_relations</v>
      </c>
      <c r="D124" s="16" t="str">
        <f>LOWER(TRIM('Data DEEPSEEK'!H124))</f>
        <v>major</v>
      </c>
      <c r="E124" s="23">
        <f>IF(ISNUMBER(SEARCH("move_legality",C124)),Parameters!$B$4,IF(ISNUMBER(SEARCH("piece_placement",C124)),Parameters!$B$5,IF(ISNUMBER(SEARCH("material",C124)),Parameters!$B$6,IF(ISNUMBER(SEARCH("piece_relations",C124)),Parameters!$B$7,IF(ISNUMBER(SEARCH("geometry",C124)),Parameters!$B$8,IF(ISNUMBER(SEARCH("reasoning",C124)),Parameters!$B$9,Parameters!$B$10))))))</f>
        <v>4</v>
      </c>
      <c r="F124" s="23">
        <f>IF(D124="major",Parameters!$B$14,IF(D124="medium",Parameters!$B$15,Parameters!$B$16))</f>
        <v>3</v>
      </c>
      <c r="G124" s="16">
        <f t="shared" si="3"/>
        <v>0</v>
      </c>
      <c r="H124" s="24">
        <f>Parameters!$B$20^(G124-1)</f>
        <v>1.4285714285714286</v>
      </c>
      <c r="I124" s="18">
        <f t="shared" si="4"/>
        <v>17.142857142857142</v>
      </c>
    </row>
    <row r="125" spans="1:9" ht="13.15" x14ac:dyDescent="0.35">
      <c r="A125" s="21">
        <v>124</v>
      </c>
      <c r="B125" s="16">
        <f>'Data DEEPSEEK'!B125</f>
        <v>7</v>
      </c>
      <c r="C125" s="22" t="str">
        <f>'Data DEEPSEEK'!F125</f>
        <v>geometry</v>
      </c>
      <c r="D125" s="16" t="str">
        <f>LOWER(TRIM('Data DEEPSEEK'!H125))</f>
        <v>major</v>
      </c>
      <c r="E125" s="23">
        <f>IF(ISNUMBER(SEARCH("move_legality",C125)),Parameters!$B$4,IF(ISNUMBER(SEARCH("piece_placement",C125)),Parameters!$B$5,IF(ISNUMBER(SEARCH("material",C125)),Parameters!$B$6,IF(ISNUMBER(SEARCH("piece_relations",C125)),Parameters!$B$7,IF(ISNUMBER(SEARCH("geometry",C125)),Parameters!$B$8,IF(ISNUMBER(SEARCH("reasoning",C125)),Parameters!$B$9,Parameters!$B$10))))))</f>
        <v>3</v>
      </c>
      <c r="F125" s="23">
        <f>IF(D125="major",Parameters!$B$14,IF(D125="medium",Parameters!$B$15,Parameters!$B$16))</f>
        <v>3</v>
      </c>
      <c r="G125" s="16">
        <f t="shared" si="3"/>
        <v>0</v>
      </c>
      <c r="H125" s="24">
        <f>Parameters!$B$20^(G125-1)</f>
        <v>1.4285714285714286</v>
      </c>
      <c r="I125" s="18">
        <f t="shared" si="4"/>
        <v>12.857142857142858</v>
      </c>
    </row>
    <row r="126" spans="1:9" ht="13.15" x14ac:dyDescent="0.35">
      <c r="A126" s="21">
        <v>125</v>
      </c>
      <c r="B126" s="16">
        <f>'Data DEEPSEEK'!B126</f>
        <v>7</v>
      </c>
      <c r="C126" s="22" t="str">
        <f>'Data DEEPSEEK'!F126</f>
        <v>reasoning</v>
      </c>
      <c r="D126" s="16" t="str">
        <f>LOWER(TRIM('Data DEEPSEEK'!H126))</f>
        <v>medium</v>
      </c>
      <c r="E126" s="23">
        <f>IF(ISNUMBER(SEARCH("move_legality",C126)),Parameters!$B$4,IF(ISNUMBER(SEARCH("piece_placement",C126)),Parameters!$B$5,IF(ISNUMBER(SEARCH("material",C126)),Parameters!$B$6,IF(ISNUMBER(SEARCH("piece_relations",C126)),Parameters!$B$7,IF(ISNUMBER(SEARCH("geometry",C126)),Parameters!$B$8,IF(ISNUMBER(SEARCH("reasoning",C126)),Parameters!$B$9,Parameters!$B$10))))))</f>
        <v>2</v>
      </c>
      <c r="F126" s="23">
        <f>IF(D126="major",Parameters!$B$14,IF(D126="medium",Parameters!$B$15,Parameters!$B$16))</f>
        <v>2</v>
      </c>
      <c r="G126" s="16">
        <f t="shared" si="3"/>
        <v>0</v>
      </c>
      <c r="H126" s="24">
        <f>Parameters!$B$20^(G126-1)</f>
        <v>1.4285714285714286</v>
      </c>
      <c r="I126" s="18">
        <f t="shared" si="4"/>
        <v>5.7142857142857144</v>
      </c>
    </row>
    <row r="127" spans="1:9" ht="13.15" x14ac:dyDescent="0.35">
      <c r="A127" s="21">
        <v>126</v>
      </c>
      <c r="B127" s="16">
        <f>'Data DEEPSEEK'!B127</f>
        <v>7</v>
      </c>
      <c r="C127" s="22" t="str">
        <f>'Data DEEPSEEK'!F127</f>
        <v>move_legality</v>
      </c>
      <c r="D127" s="16" t="str">
        <f>LOWER(TRIM('Data DEEPSEEK'!H127))</f>
        <v>major</v>
      </c>
      <c r="E127" s="23">
        <f>IF(ISNUMBER(SEARCH("move_legality",C127)),Parameters!$B$4,IF(ISNUMBER(SEARCH("piece_placement",C127)),Parameters!$B$5,IF(ISNUMBER(SEARCH("material",C127)),Parameters!$B$6,IF(ISNUMBER(SEARCH("piece_relations",C127)),Parameters!$B$7,IF(ISNUMBER(SEARCH("geometry",C127)),Parameters!$B$8,IF(ISNUMBER(SEARCH("reasoning",C127)),Parameters!$B$9,Parameters!$B$10))))))</f>
        <v>8</v>
      </c>
      <c r="F127" s="23">
        <f>IF(D127="major",Parameters!$B$14,IF(D127="medium",Parameters!$B$15,Parameters!$B$16))</f>
        <v>3</v>
      </c>
      <c r="G127" s="16">
        <f t="shared" si="3"/>
        <v>0</v>
      </c>
      <c r="H127" s="24">
        <f>Parameters!$B$20^(G127-1)</f>
        <v>1.4285714285714286</v>
      </c>
      <c r="I127" s="18">
        <f t="shared" si="4"/>
        <v>34.285714285714285</v>
      </c>
    </row>
    <row r="128" spans="1:9" ht="13.15" x14ac:dyDescent="0.35">
      <c r="A128" s="21">
        <v>127</v>
      </c>
      <c r="B128" s="16">
        <f>'Data DEEPSEEK'!B128</f>
        <v>7</v>
      </c>
      <c r="C128" s="22" t="str">
        <f>'Data DEEPSEEK'!F128</f>
        <v>piece_relations</v>
      </c>
      <c r="D128" s="16" t="str">
        <f>LOWER(TRIM('Data DEEPSEEK'!H128))</f>
        <v>major</v>
      </c>
      <c r="E128" s="23">
        <f>IF(ISNUMBER(SEARCH("move_legality",C128)),Parameters!$B$4,IF(ISNUMBER(SEARCH("piece_placement",C128)),Parameters!$B$5,IF(ISNUMBER(SEARCH("material",C128)),Parameters!$B$6,IF(ISNUMBER(SEARCH("piece_relations",C128)),Parameters!$B$7,IF(ISNUMBER(SEARCH("geometry",C128)),Parameters!$B$8,IF(ISNUMBER(SEARCH("reasoning",C128)),Parameters!$B$9,Parameters!$B$10))))))</f>
        <v>4</v>
      </c>
      <c r="F128" s="23">
        <f>IF(D128="major",Parameters!$B$14,IF(D128="medium",Parameters!$B$15,Parameters!$B$16))</f>
        <v>3</v>
      </c>
      <c r="G128" s="16">
        <f t="shared" si="3"/>
        <v>0</v>
      </c>
      <c r="H128" s="24">
        <f>Parameters!$B$20^(G128-1)</f>
        <v>1.4285714285714286</v>
      </c>
      <c r="I128" s="18">
        <f t="shared" si="4"/>
        <v>17.142857142857142</v>
      </c>
    </row>
    <row r="129" spans="1:9" ht="13.15" x14ac:dyDescent="0.35">
      <c r="A129" s="21">
        <v>128</v>
      </c>
      <c r="B129" s="16">
        <f>'Data DEEPSEEK'!B129</f>
        <v>7</v>
      </c>
      <c r="C129" s="22" t="str">
        <f>'Data DEEPSEEK'!F129</f>
        <v>reasoning</v>
      </c>
      <c r="D129" s="16" t="str">
        <f>LOWER(TRIM('Data DEEPSEEK'!H129))</f>
        <v>major</v>
      </c>
      <c r="E129" s="23">
        <f>IF(ISNUMBER(SEARCH("move_legality",C129)),Parameters!$B$4,IF(ISNUMBER(SEARCH("piece_placement",C129)),Parameters!$B$5,IF(ISNUMBER(SEARCH("material",C129)),Parameters!$B$6,IF(ISNUMBER(SEARCH("piece_relations",C129)),Parameters!$B$7,IF(ISNUMBER(SEARCH("geometry",C129)),Parameters!$B$8,IF(ISNUMBER(SEARCH("reasoning",C129)),Parameters!$B$9,Parameters!$B$10))))))</f>
        <v>2</v>
      </c>
      <c r="F129" s="23">
        <f>IF(D129="major",Parameters!$B$14,IF(D129="medium",Parameters!$B$15,Parameters!$B$16))</f>
        <v>3</v>
      </c>
      <c r="G129" s="16">
        <f t="shared" si="3"/>
        <v>0</v>
      </c>
      <c r="H129" s="24">
        <f>Parameters!$B$20^(G129-1)</f>
        <v>1.4285714285714286</v>
      </c>
      <c r="I129" s="18">
        <f t="shared" si="4"/>
        <v>8.5714285714285712</v>
      </c>
    </row>
    <row r="130" spans="1:9" ht="13.15" x14ac:dyDescent="0.35">
      <c r="A130" s="21">
        <v>129</v>
      </c>
      <c r="B130" s="16">
        <f>'Data DEEPSEEK'!B130</f>
        <v>7</v>
      </c>
      <c r="C130" s="22" t="str">
        <f>'Data DEEPSEEK'!F130</f>
        <v>reasoning</v>
      </c>
      <c r="D130" s="16" t="str">
        <f>LOWER(TRIM('Data DEEPSEEK'!H130))</f>
        <v>major</v>
      </c>
      <c r="E130" s="23">
        <f>IF(ISNUMBER(SEARCH("move_legality",C130)),Parameters!$B$4,IF(ISNUMBER(SEARCH("piece_placement",C130)),Parameters!$B$5,IF(ISNUMBER(SEARCH("material",C130)),Parameters!$B$6,IF(ISNUMBER(SEARCH("piece_relations",C130)),Parameters!$B$7,IF(ISNUMBER(SEARCH("geometry",C130)),Parameters!$B$8,IF(ISNUMBER(SEARCH("reasoning",C130)),Parameters!$B$9,Parameters!$B$10))))))</f>
        <v>2</v>
      </c>
      <c r="F130" s="23">
        <f>IF(D130="major",Parameters!$B$14,IF(D130="medium",Parameters!$B$15,Parameters!$B$16))</f>
        <v>3</v>
      </c>
      <c r="G130" s="16">
        <f t="shared" si="3"/>
        <v>0</v>
      </c>
      <c r="H130" s="24">
        <f>Parameters!$B$20^(G130-1)</f>
        <v>1.4285714285714286</v>
      </c>
      <c r="I130" s="18">
        <f t="shared" si="4"/>
        <v>8.5714285714285712</v>
      </c>
    </row>
    <row r="131" spans="1:9" ht="13.15" x14ac:dyDescent="0.35">
      <c r="A131" s="21">
        <v>130</v>
      </c>
      <c r="B131" s="16">
        <f>'Data DEEPSEEK'!B131</f>
        <v>7</v>
      </c>
      <c r="C131" s="22" t="str">
        <f>'Data DEEPSEEK'!F131</f>
        <v>piece_relations</v>
      </c>
      <c r="D131" s="16" t="str">
        <f>LOWER(TRIM('Data DEEPSEEK'!H131))</f>
        <v>major</v>
      </c>
      <c r="E131" s="23">
        <f>IF(ISNUMBER(SEARCH("move_legality",C131)),Parameters!$B$4,IF(ISNUMBER(SEARCH("piece_placement",C131)),Parameters!$B$5,IF(ISNUMBER(SEARCH("material",C131)),Parameters!$B$6,IF(ISNUMBER(SEARCH("piece_relations",C131)),Parameters!$B$7,IF(ISNUMBER(SEARCH("geometry",C131)),Parameters!$B$8,IF(ISNUMBER(SEARCH("reasoning",C131)),Parameters!$B$9,Parameters!$B$10))))))</f>
        <v>4</v>
      </c>
      <c r="F131" s="23">
        <f>IF(D131="major",Parameters!$B$14,IF(D131="medium",Parameters!$B$15,Parameters!$B$16))</f>
        <v>3</v>
      </c>
      <c r="G131" s="16">
        <f t="shared" ref="G131:G194" si="5">COUNTIFS($B$2:$B$12,B131,$C$2:$C$12,C131,$F$2:$F$12,"&gt;"&amp;F131)+COUNTIFS($B$2:$B$12,B131,$C$2:$C$12,C131,$F$2:$F$12,F131,$A$2:$A$12,"&lt;="&amp;A131)</f>
        <v>0</v>
      </c>
      <c r="H131" s="24">
        <f>Parameters!$B$20^(G131-1)</f>
        <v>1.4285714285714286</v>
      </c>
      <c r="I131" s="18">
        <f t="shared" ref="I131:I194" si="6">E131*F131*H131</f>
        <v>17.142857142857142</v>
      </c>
    </row>
    <row r="132" spans="1:9" ht="13.15" x14ac:dyDescent="0.35">
      <c r="A132" s="21">
        <v>131</v>
      </c>
      <c r="B132" s="16">
        <f>'Data DEEPSEEK'!B132</f>
        <v>7</v>
      </c>
      <c r="C132" s="22" t="str">
        <f>'Data DEEPSEEK'!F132</f>
        <v>reasoning</v>
      </c>
      <c r="D132" s="16" t="str">
        <f>LOWER(TRIM('Data DEEPSEEK'!H132))</f>
        <v>medium</v>
      </c>
      <c r="E132" s="23">
        <f>IF(ISNUMBER(SEARCH("move_legality",C132)),Parameters!$B$4,IF(ISNUMBER(SEARCH("piece_placement",C132)),Parameters!$B$5,IF(ISNUMBER(SEARCH("material",C132)),Parameters!$B$6,IF(ISNUMBER(SEARCH("piece_relations",C132)),Parameters!$B$7,IF(ISNUMBER(SEARCH("geometry",C132)),Parameters!$B$8,IF(ISNUMBER(SEARCH("reasoning",C132)),Parameters!$B$9,Parameters!$B$10))))))</f>
        <v>2</v>
      </c>
      <c r="F132" s="23">
        <f>IF(D132="major",Parameters!$B$14,IF(D132="medium",Parameters!$B$15,Parameters!$B$16))</f>
        <v>2</v>
      </c>
      <c r="G132" s="16">
        <f t="shared" si="5"/>
        <v>0</v>
      </c>
      <c r="H132" s="24">
        <f>Parameters!$B$20^(G132-1)</f>
        <v>1.4285714285714286</v>
      </c>
      <c r="I132" s="18">
        <f t="shared" si="6"/>
        <v>5.7142857142857144</v>
      </c>
    </row>
    <row r="133" spans="1:9" ht="13.15" x14ac:dyDescent="0.35">
      <c r="A133" s="21">
        <v>132</v>
      </c>
      <c r="B133" s="16">
        <f>'Data DEEPSEEK'!B133</f>
        <v>7</v>
      </c>
      <c r="C133" s="22" t="str">
        <f>'Data DEEPSEEK'!F133</f>
        <v>piece_relations</v>
      </c>
      <c r="D133" s="16" t="str">
        <f>LOWER(TRIM('Data DEEPSEEK'!H133))</f>
        <v>major</v>
      </c>
      <c r="E133" s="23">
        <f>IF(ISNUMBER(SEARCH("move_legality",C133)),Parameters!$B$4,IF(ISNUMBER(SEARCH("piece_placement",C133)),Parameters!$B$5,IF(ISNUMBER(SEARCH("material",C133)),Parameters!$B$6,IF(ISNUMBER(SEARCH("piece_relations",C133)),Parameters!$B$7,IF(ISNUMBER(SEARCH("geometry",C133)),Parameters!$B$8,IF(ISNUMBER(SEARCH("reasoning",C133)),Parameters!$B$9,Parameters!$B$10))))))</f>
        <v>4</v>
      </c>
      <c r="F133" s="23">
        <f>IF(D133="major",Parameters!$B$14,IF(D133="medium",Parameters!$B$15,Parameters!$B$16))</f>
        <v>3</v>
      </c>
      <c r="G133" s="16">
        <f t="shared" si="5"/>
        <v>0</v>
      </c>
      <c r="H133" s="24">
        <f>Parameters!$B$20^(G133-1)</f>
        <v>1.4285714285714286</v>
      </c>
      <c r="I133" s="18">
        <f t="shared" si="6"/>
        <v>17.142857142857142</v>
      </c>
    </row>
    <row r="134" spans="1:9" ht="13.15" x14ac:dyDescent="0.35">
      <c r="A134" s="21">
        <v>133</v>
      </c>
      <c r="B134" s="16">
        <f>'Data DEEPSEEK'!B134</f>
        <v>7</v>
      </c>
      <c r="C134" s="22" t="str">
        <f>'Data DEEPSEEK'!F134</f>
        <v>reasoning</v>
      </c>
      <c r="D134" s="16" t="str">
        <f>LOWER(TRIM('Data DEEPSEEK'!H134))</f>
        <v>medium</v>
      </c>
      <c r="E134" s="23">
        <f>IF(ISNUMBER(SEARCH("move_legality",C134)),Parameters!$B$4,IF(ISNUMBER(SEARCH("piece_placement",C134)),Parameters!$B$5,IF(ISNUMBER(SEARCH("material",C134)),Parameters!$B$6,IF(ISNUMBER(SEARCH("piece_relations",C134)),Parameters!$B$7,IF(ISNUMBER(SEARCH("geometry",C134)),Parameters!$B$8,IF(ISNUMBER(SEARCH("reasoning",C134)),Parameters!$B$9,Parameters!$B$10))))))</f>
        <v>2</v>
      </c>
      <c r="F134" s="23">
        <f>IF(D134="major",Parameters!$B$14,IF(D134="medium",Parameters!$B$15,Parameters!$B$16))</f>
        <v>2</v>
      </c>
      <c r="G134" s="16">
        <f t="shared" si="5"/>
        <v>0</v>
      </c>
      <c r="H134" s="24">
        <f>Parameters!$B$20^(G134-1)</f>
        <v>1.4285714285714286</v>
      </c>
      <c r="I134" s="18">
        <f t="shared" si="6"/>
        <v>5.7142857142857144</v>
      </c>
    </row>
    <row r="135" spans="1:9" ht="13.15" x14ac:dyDescent="0.35">
      <c r="A135" s="21">
        <v>134</v>
      </c>
      <c r="B135" s="16">
        <f>'Data DEEPSEEK'!B135</f>
        <v>7</v>
      </c>
      <c r="C135" s="22" t="str">
        <f>'Data DEEPSEEK'!F135</f>
        <v>piece_relations</v>
      </c>
      <c r="D135" s="16" t="str">
        <f>LOWER(TRIM('Data DEEPSEEK'!H135))</f>
        <v>major</v>
      </c>
      <c r="E135" s="23">
        <f>IF(ISNUMBER(SEARCH("move_legality",C135)),Parameters!$B$4,IF(ISNUMBER(SEARCH("piece_placement",C135)),Parameters!$B$5,IF(ISNUMBER(SEARCH("material",C135)),Parameters!$B$6,IF(ISNUMBER(SEARCH("piece_relations",C135)),Parameters!$B$7,IF(ISNUMBER(SEARCH("geometry",C135)),Parameters!$B$8,IF(ISNUMBER(SEARCH("reasoning",C135)),Parameters!$B$9,Parameters!$B$10))))))</f>
        <v>4</v>
      </c>
      <c r="F135" s="23">
        <f>IF(D135="major",Parameters!$B$14,IF(D135="medium",Parameters!$B$15,Parameters!$B$16))</f>
        <v>3</v>
      </c>
      <c r="G135" s="16">
        <f t="shared" si="5"/>
        <v>0</v>
      </c>
      <c r="H135" s="24">
        <f>Parameters!$B$20^(G135-1)</f>
        <v>1.4285714285714286</v>
      </c>
      <c r="I135" s="18">
        <f t="shared" si="6"/>
        <v>17.142857142857142</v>
      </c>
    </row>
    <row r="136" spans="1:9" ht="13.15" x14ac:dyDescent="0.35">
      <c r="A136" s="21">
        <v>135</v>
      </c>
      <c r="B136" s="16">
        <f>'Data DEEPSEEK'!B136</f>
        <v>7</v>
      </c>
      <c r="C136" s="22" t="str">
        <f>'Data DEEPSEEK'!F136</f>
        <v>piece_relations</v>
      </c>
      <c r="D136" s="16" t="str">
        <f>LOWER(TRIM('Data DEEPSEEK'!H136))</f>
        <v>major</v>
      </c>
      <c r="E136" s="23">
        <f>IF(ISNUMBER(SEARCH("move_legality",C136)),Parameters!$B$4,IF(ISNUMBER(SEARCH("piece_placement",C136)),Parameters!$B$5,IF(ISNUMBER(SEARCH("material",C136)),Parameters!$B$6,IF(ISNUMBER(SEARCH("piece_relations",C136)),Parameters!$B$7,IF(ISNUMBER(SEARCH("geometry",C136)),Parameters!$B$8,IF(ISNUMBER(SEARCH("reasoning",C136)),Parameters!$B$9,Parameters!$B$10))))))</f>
        <v>4</v>
      </c>
      <c r="F136" s="23">
        <f>IF(D136="major",Parameters!$B$14,IF(D136="medium",Parameters!$B$15,Parameters!$B$16))</f>
        <v>3</v>
      </c>
      <c r="G136" s="16">
        <f t="shared" si="5"/>
        <v>0</v>
      </c>
      <c r="H136" s="24">
        <f>Parameters!$B$20^(G136-1)</f>
        <v>1.4285714285714286</v>
      </c>
      <c r="I136" s="18">
        <f t="shared" si="6"/>
        <v>17.142857142857142</v>
      </c>
    </row>
    <row r="137" spans="1:9" ht="13.15" x14ac:dyDescent="0.35">
      <c r="A137" s="21">
        <v>136</v>
      </c>
      <c r="B137" s="16">
        <f>'Data DEEPSEEK'!B137</f>
        <v>7</v>
      </c>
      <c r="C137" s="22" t="str">
        <f>'Data DEEPSEEK'!F137</f>
        <v>move_legality</v>
      </c>
      <c r="D137" s="16" t="str">
        <f>LOWER(TRIM('Data DEEPSEEK'!H137))</f>
        <v>major</v>
      </c>
      <c r="E137" s="23">
        <f>IF(ISNUMBER(SEARCH("move_legality",C137)),Parameters!$B$4,IF(ISNUMBER(SEARCH("piece_placement",C137)),Parameters!$B$5,IF(ISNUMBER(SEARCH("material",C137)),Parameters!$B$6,IF(ISNUMBER(SEARCH("piece_relations",C137)),Parameters!$B$7,IF(ISNUMBER(SEARCH("geometry",C137)),Parameters!$B$8,IF(ISNUMBER(SEARCH("reasoning",C137)),Parameters!$B$9,Parameters!$B$10))))))</f>
        <v>8</v>
      </c>
      <c r="F137" s="23">
        <f>IF(D137="major",Parameters!$B$14,IF(D137="medium",Parameters!$B$15,Parameters!$B$16))</f>
        <v>3</v>
      </c>
      <c r="G137" s="16">
        <f t="shared" si="5"/>
        <v>0</v>
      </c>
      <c r="H137" s="24">
        <f>Parameters!$B$20^(G137-1)</f>
        <v>1.4285714285714286</v>
      </c>
      <c r="I137" s="18">
        <f t="shared" si="6"/>
        <v>34.285714285714285</v>
      </c>
    </row>
    <row r="138" spans="1:9" ht="13.15" x14ac:dyDescent="0.35">
      <c r="A138" s="21">
        <v>137</v>
      </c>
      <c r="B138" s="16">
        <f>'Data DEEPSEEK'!B138</f>
        <v>7</v>
      </c>
      <c r="C138" s="22" t="str">
        <f>'Data DEEPSEEK'!F138</f>
        <v>move_legality</v>
      </c>
      <c r="D138" s="16" t="str">
        <f>LOWER(TRIM('Data DEEPSEEK'!H138))</f>
        <v>major</v>
      </c>
      <c r="E138" s="23">
        <f>IF(ISNUMBER(SEARCH("move_legality",C138)),Parameters!$B$4,IF(ISNUMBER(SEARCH("piece_placement",C138)),Parameters!$B$5,IF(ISNUMBER(SEARCH("material",C138)),Parameters!$B$6,IF(ISNUMBER(SEARCH("piece_relations",C138)),Parameters!$B$7,IF(ISNUMBER(SEARCH("geometry",C138)),Parameters!$B$8,IF(ISNUMBER(SEARCH("reasoning",C138)),Parameters!$B$9,Parameters!$B$10))))))</f>
        <v>8</v>
      </c>
      <c r="F138" s="23">
        <f>IF(D138="major",Parameters!$B$14,IF(D138="medium",Parameters!$B$15,Parameters!$B$16))</f>
        <v>3</v>
      </c>
      <c r="G138" s="16">
        <f t="shared" si="5"/>
        <v>0</v>
      </c>
      <c r="H138" s="24">
        <f>Parameters!$B$20^(G138-1)</f>
        <v>1.4285714285714286</v>
      </c>
      <c r="I138" s="18">
        <f t="shared" si="6"/>
        <v>34.285714285714285</v>
      </c>
    </row>
    <row r="139" spans="1:9" ht="13.15" x14ac:dyDescent="0.35">
      <c r="A139" s="21">
        <v>138</v>
      </c>
      <c r="B139" s="16">
        <f>'Data DEEPSEEK'!B139</f>
        <v>7</v>
      </c>
      <c r="C139" s="22" t="str">
        <f>'Data DEEPSEEK'!F139</f>
        <v>material</v>
      </c>
      <c r="D139" s="16" t="str">
        <f>LOWER(TRIM('Data DEEPSEEK'!H139))</f>
        <v>major</v>
      </c>
      <c r="E139" s="23">
        <f>IF(ISNUMBER(SEARCH("move_legality",C139)),Parameters!$B$4,IF(ISNUMBER(SEARCH("piece_placement",C139)),Parameters!$B$5,IF(ISNUMBER(SEARCH("material",C139)),Parameters!$B$6,IF(ISNUMBER(SEARCH("piece_relations",C139)),Parameters!$B$7,IF(ISNUMBER(SEARCH("geometry",C139)),Parameters!$B$8,IF(ISNUMBER(SEARCH("reasoning",C139)),Parameters!$B$9,Parameters!$B$10))))))</f>
        <v>5</v>
      </c>
      <c r="F139" s="23">
        <f>IF(D139="major",Parameters!$B$14,IF(D139="medium",Parameters!$B$15,Parameters!$B$16))</f>
        <v>3</v>
      </c>
      <c r="G139" s="16">
        <f t="shared" si="5"/>
        <v>0</v>
      </c>
      <c r="H139" s="24">
        <f>Parameters!$B$20^(G139-1)</f>
        <v>1.4285714285714286</v>
      </c>
      <c r="I139" s="18">
        <f t="shared" si="6"/>
        <v>21.428571428571431</v>
      </c>
    </row>
    <row r="140" spans="1:9" ht="13.15" x14ac:dyDescent="0.35">
      <c r="A140" s="21">
        <v>139</v>
      </c>
      <c r="B140" s="16">
        <f>'Data DEEPSEEK'!B140</f>
        <v>7</v>
      </c>
      <c r="C140" s="22" t="str">
        <f>'Data DEEPSEEK'!F140</f>
        <v>reasoning</v>
      </c>
      <c r="D140" s="16" t="str">
        <f>LOWER(TRIM('Data DEEPSEEK'!H140))</f>
        <v>medium</v>
      </c>
      <c r="E140" s="23">
        <f>IF(ISNUMBER(SEARCH("move_legality",C140)),Parameters!$B$4,IF(ISNUMBER(SEARCH("piece_placement",C140)),Parameters!$B$5,IF(ISNUMBER(SEARCH("material",C140)),Parameters!$B$6,IF(ISNUMBER(SEARCH("piece_relations",C140)),Parameters!$B$7,IF(ISNUMBER(SEARCH("geometry",C140)),Parameters!$B$8,IF(ISNUMBER(SEARCH("reasoning",C140)),Parameters!$B$9,Parameters!$B$10))))))</f>
        <v>2</v>
      </c>
      <c r="F140" s="23">
        <f>IF(D140="major",Parameters!$B$14,IF(D140="medium",Parameters!$B$15,Parameters!$B$16))</f>
        <v>2</v>
      </c>
      <c r="G140" s="16">
        <f t="shared" si="5"/>
        <v>0</v>
      </c>
      <c r="H140" s="24">
        <f>Parameters!$B$20^(G140-1)</f>
        <v>1.4285714285714286</v>
      </c>
      <c r="I140" s="18">
        <f t="shared" si="6"/>
        <v>5.7142857142857144</v>
      </c>
    </row>
    <row r="141" spans="1:9" ht="13.15" x14ac:dyDescent="0.35">
      <c r="A141" s="21">
        <v>140</v>
      </c>
      <c r="B141" s="16">
        <f>'Data DEEPSEEK'!B141</f>
        <v>8</v>
      </c>
      <c r="C141" s="22" t="str">
        <f>'Data DEEPSEEK'!F141</f>
        <v>reasoning</v>
      </c>
      <c r="D141" s="16" t="str">
        <f>LOWER(TRIM('Data DEEPSEEK'!H141))</f>
        <v>medium</v>
      </c>
      <c r="E141" s="23">
        <f>IF(ISNUMBER(SEARCH("move_legality",C141)),Parameters!$B$4,IF(ISNUMBER(SEARCH("piece_placement",C141)),Parameters!$B$5,IF(ISNUMBER(SEARCH("material",C141)),Parameters!$B$6,IF(ISNUMBER(SEARCH("piece_relations",C141)),Parameters!$B$7,IF(ISNUMBER(SEARCH("geometry",C141)),Parameters!$B$8,IF(ISNUMBER(SEARCH("reasoning",C141)),Parameters!$B$9,Parameters!$B$10))))))</f>
        <v>2</v>
      </c>
      <c r="F141" s="23">
        <f>IF(D141="major",Parameters!$B$14,IF(D141="medium",Parameters!$B$15,Parameters!$B$16))</f>
        <v>2</v>
      </c>
      <c r="G141" s="16">
        <f t="shared" si="5"/>
        <v>0</v>
      </c>
      <c r="H141" s="24">
        <f>Parameters!$B$20^(G141-1)</f>
        <v>1.4285714285714286</v>
      </c>
      <c r="I141" s="18">
        <f t="shared" si="6"/>
        <v>5.7142857142857144</v>
      </c>
    </row>
    <row r="142" spans="1:9" ht="13.15" x14ac:dyDescent="0.35">
      <c r="A142" s="21">
        <v>141</v>
      </c>
      <c r="B142" s="16">
        <f>'Data DEEPSEEK'!B142</f>
        <v>8</v>
      </c>
      <c r="C142" s="22" t="str">
        <f>'Data DEEPSEEK'!F142</f>
        <v>piece_relations</v>
      </c>
      <c r="D142" s="16" t="str">
        <f>LOWER(TRIM('Data DEEPSEEK'!H142))</f>
        <v>major</v>
      </c>
      <c r="E142" s="23">
        <f>IF(ISNUMBER(SEARCH("move_legality",C142)),Parameters!$B$4,IF(ISNUMBER(SEARCH("piece_placement",C142)),Parameters!$B$5,IF(ISNUMBER(SEARCH("material",C142)),Parameters!$B$6,IF(ISNUMBER(SEARCH("piece_relations",C142)),Parameters!$B$7,IF(ISNUMBER(SEARCH("geometry",C142)),Parameters!$B$8,IF(ISNUMBER(SEARCH("reasoning",C142)),Parameters!$B$9,Parameters!$B$10))))))</f>
        <v>4</v>
      </c>
      <c r="F142" s="23">
        <f>IF(D142="major",Parameters!$B$14,IF(D142="medium",Parameters!$B$15,Parameters!$B$16))</f>
        <v>3</v>
      </c>
      <c r="G142" s="16">
        <f t="shared" si="5"/>
        <v>0</v>
      </c>
      <c r="H142" s="24">
        <f>Parameters!$B$20^(G142-1)</f>
        <v>1.4285714285714286</v>
      </c>
      <c r="I142" s="18">
        <f t="shared" si="6"/>
        <v>17.142857142857142</v>
      </c>
    </row>
    <row r="143" spans="1:9" ht="13.15" x14ac:dyDescent="0.35">
      <c r="A143" s="21">
        <v>142</v>
      </c>
      <c r="B143" s="16">
        <f>'Data DEEPSEEK'!B143</f>
        <v>8</v>
      </c>
      <c r="C143" s="22" t="str">
        <f>'Data DEEPSEEK'!F143</f>
        <v>piece_relations</v>
      </c>
      <c r="D143" s="16" t="str">
        <f>LOWER(TRIM('Data DEEPSEEK'!H143))</f>
        <v>major</v>
      </c>
      <c r="E143" s="23">
        <f>IF(ISNUMBER(SEARCH("move_legality",C143)),Parameters!$B$4,IF(ISNUMBER(SEARCH("piece_placement",C143)),Parameters!$B$5,IF(ISNUMBER(SEARCH("material",C143)),Parameters!$B$6,IF(ISNUMBER(SEARCH("piece_relations",C143)),Parameters!$B$7,IF(ISNUMBER(SEARCH("geometry",C143)),Parameters!$B$8,IF(ISNUMBER(SEARCH("reasoning",C143)),Parameters!$B$9,Parameters!$B$10))))))</f>
        <v>4</v>
      </c>
      <c r="F143" s="23">
        <f>IF(D143="major",Parameters!$B$14,IF(D143="medium",Parameters!$B$15,Parameters!$B$16))</f>
        <v>3</v>
      </c>
      <c r="G143" s="16">
        <f t="shared" si="5"/>
        <v>0</v>
      </c>
      <c r="H143" s="24">
        <f>Parameters!$B$20^(G143-1)</f>
        <v>1.4285714285714286</v>
      </c>
      <c r="I143" s="18">
        <f t="shared" si="6"/>
        <v>17.142857142857142</v>
      </c>
    </row>
    <row r="144" spans="1:9" ht="13.15" x14ac:dyDescent="0.35">
      <c r="A144" s="21">
        <v>143</v>
      </c>
      <c r="B144" s="16">
        <f>'Data DEEPSEEK'!B144</f>
        <v>8</v>
      </c>
      <c r="C144" s="22" t="str">
        <f>'Data DEEPSEEK'!F144</f>
        <v>reasoning</v>
      </c>
      <c r="D144" s="16" t="str">
        <f>LOWER(TRIM('Data DEEPSEEK'!H144))</f>
        <v>major</v>
      </c>
      <c r="E144" s="23">
        <f>IF(ISNUMBER(SEARCH("move_legality",C144)),Parameters!$B$4,IF(ISNUMBER(SEARCH("piece_placement",C144)),Parameters!$B$5,IF(ISNUMBER(SEARCH("material",C144)),Parameters!$B$6,IF(ISNUMBER(SEARCH("piece_relations",C144)),Parameters!$B$7,IF(ISNUMBER(SEARCH("geometry",C144)),Parameters!$B$8,IF(ISNUMBER(SEARCH("reasoning",C144)),Parameters!$B$9,Parameters!$B$10))))))</f>
        <v>2</v>
      </c>
      <c r="F144" s="23">
        <f>IF(D144="major",Parameters!$B$14,IF(D144="medium",Parameters!$B$15,Parameters!$B$16))</f>
        <v>3</v>
      </c>
      <c r="G144" s="16">
        <f t="shared" si="5"/>
        <v>0</v>
      </c>
      <c r="H144" s="24">
        <f>Parameters!$B$20^(G144-1)</f>
        <v>1.4285714285714286</v>
      </c>
      <c r="I144" s="18">
        <f t="shared" si="6"/>
        <v>8.5714285714285712</v>
      </c>
    </row>
    <row r="145" spans="1:9" ht="13.15" x14ac:dyDescent="0.35">
      <c r="A145" s="21">
        <v>144</v>
      </c>
      <c r="B145" s="16">
        <f>'Data DEEPSEEK'!B145</f>
        <v>8</v>
      </c>
      <c r="C145" s="22" t="str">
        <f>'Data DEEPSEEK'!F145</f>
        <v>reasoning</v>
      </c>
      <c r="D145" s="16" t="str">
        <f>LOWER(TRIM('Data DEEPSEEK'!H145))</f>
        <v>major</v>
      </c>
      <c r="E145" s="23">
        <f>IF(ISNUMBER(SEARCH("move_legality",C145)),Parameters!$B$4,IF(ISNUMBER(SEARCH("piece_placement",C145)),Parameters!$B$5,IF(ISNUMBER(SEARCH("material",C145)),Parameters!$B$6,IF(ISNUMBER(SEARCH("piece_relations",C145)),Parameters!$B$7,IF(ISNUMBER(SEARCH("geometry",C145)),Parameters!$B$8,IF(ISNUMBER(SEARCH("reasoning",C145)),Parameters!$B$9,Parameters!$B$10))))))</f>
        <v>2</v>
      </c>
      <c r="F145" s="23">
        <f>IF(D145="major",Parameters!$B$14,IF(D145="medium",Parameters!$B$15,Parameters!$B$16))</f>
        <v>3</v>
      </c>
      <c r="G145" s="16">
        <f t="shared" si="5"/>
        <v>0</v>
      </c>
      <c r="H145" s="24">
        <f>Parameters!$B$20^(G145-1)</f>
        <v>1.4285714285714286</v>
      </c>
      <c r="I145" s="18">
        <f t="shared" si="6"/>
        <v>8.5714285714285712</v>
      </c>
    </row>
    <row r="146" spans="1:9" ht="13.15" x14ac:dyDescent="0.35">
      <c r="A146" s="21">
        <v>145</v>
      </c>
      <c r="B146" s="16">
        <f>'Data DEEPSEEK'!B146</f>
        <v>8</v>
      </c>
      <c r="C146" s="22" t="str">
        <f>'Data DEEPSEEK'!F146</f>
        <v>geometry</v>
      </c>
      <c r="D146" s="16" t="str">
        <f>LOWER(TRIM('Data DEEPSEEK'!H146))</f>
        <v>major</v>
      </c>
      <c r="E146" s="23">
        <f>IF(ISNUMBER(SEARCH("move_legality",C146)),Parameters!$B$4,IF(ISNUMBER(SEARCH("piece_placement",C146)),Parameters!$B$5,IF(ISNUMBER(SEARCH("material",C146)),Parameters!$B$6,IF(ISNUMBER(SEARCH("piece_relations",C146)),Parameters!$B$7,IF(ISNUMBER(SEARCH("geometry",C146)),Parameters!$B$8,IF(ISNUMBER(SEARCH("reasoning",C146)),Parameters!$B$9,Parameters!$B$10))))))</f>
        <v>3</v>
      </c>
      <c r="F146" s="23">
        <f>IF(D146="major",Parameters!$B$14,IF(D146="medium",Parameters!$B$15,Parameters!$B$16))</f>
        <v>3</v>
      </c>
      <c r="G146" s="16">
        <f t="shared" si="5"/>
        <v>0</v>
      </c>
      <c r="H146" s="24">
        <f>Parameters!$B$20^(G146-1)</f>
        <v>1.4285714285714286</v>
      </c>
      <c r="I146" s="18">
        <f t="shared" si="6"/>
        <v>12.857142857142858</v>
      </c>
    </row>
    <row r="147" spans="1:9" ht="13.15" x14ac:dyDescent="0.35">
      <c r="A147" s="21">
        <v>146</v>
      </c>
      <c r="B147" s="16">
        <f>'Data DEEPSEEK'!B147</f>
        <v>8</v>
      </c>
      <c r="C147" s="22" t="str">
        <f>'Data DEEPSEEK'!F147</f>
        <v>reasoning</v>
      </c>
      <c r="D147" s="16" t="str">
        <f>LOWER(TRIM('Data DEEPSEEK'!H147))</f>
        <v>major</v>
      </c>
      <c r="E147" s="23">
        <f>IF(ISNUMBER(SEARCH("move_legality",C147)),Parameters!$B$4,IF(ISNUMBER(SEARCH("piece_placement",C147)),Parameters!$B$5,IF(ISNUMBER(SEARCH("material",C147)),Parameters!$B$6,IF(ISNUMBER(SEARCH("piece_relations",C147)),Parameters!$B$7,IF(ISNUMBER(SEARCH("geometry",C147)),Parameters!$B$8,IF(ISNUMBER(SEARCH("reasoning",C147)),Parameters!$B$9,Parameters!$B$10))))))</f>
        <v>2</v>
      </c>
      <c r="F147" s="23">
        <f>IF(D147="major",Parameters!$B$14,IF(D147="medium",Parameters!$B$15,Parameters!$B$16))</f>
        <v>3</v>
      </c>
      <c r="G147" s="16">
        <f t="shared" si="5"/>
        <v>0</v>
      </c>
      <c r="H147" s="24">
        <f>Parameters!$B$20^(G147-1)</f>
        <v>1.4285714285714286</v>
      </c>
      <c r="I147" s="18">
        <f t="shared" si="6"/>
        <v>8.5714285714285712</v>
      </c>
    </row>
    <row r="148" spans="1:9" ht="13.15" x14ac:dyDescent="0.35">
      <c r="A148" s="21">
        <v>147</v>
      </c>
      <c r="B148" s="16">
        <f>'Data DEEPSEEK'!B148</f>
        <v>8</v>
      </c>
      <c r="C148" s="22" t="str">
        <f>'Data DEEPSEEK'!F148</f>
        <v>reasoning</v>
      </c>
      <c r="D148" s="16" t="str">
        <f>LOWER(TRIM('Data DEEPSEEK'!H148))</f>
        <v>major</v>
      </c>
      <c r="E148" s="23">
        <f>IF(ISNUMBER(SEARCH("move_legality",C148)),Parameters!$B$4,IF(ISNUMBER(SEARCH("piece_placement",C148)),Parameters!$B$5,IF(ISNUMBER(SEARCH("material",C148)),Parameters!$B$6,IF(ISNUMBER(SEARCH("piece_relations",C148)),Parameters!$B$7,IF(ISNUMBER(SEARCH("geometry",C148)),Parameters!$B$8,IF(ISNUMBER(SEARCH("reasoning",C148)),Parameters!$B$9,Parameters!$B$10))))))</f>
        <v>2</v>
      </c>
      <c r="F148" s="23">
        <f>IF(D148="major",Parameters!$B$14,IF(D148="medium",Parameters!$B$15,Parameters!$B$16))</f>
        <v>3</v>
      </c>
      <c r="G148" s="16">
        <f t="shared" si="5"/>
        <v>0</v>
      </c>
      <c r="H148" s="24">
        <f>Parameters!$B$20^(G148-1)</f>
        <v>1.4285714285714286</v>
      </c>
      <c r="I148" s="18">
        <f t="shared" si="6"/>
        <v>8.5714285714285712</v>
      </c>
    </row>
    <row r="149" spans="1:9" ht="13.15" x14ac:dyDescent="0.35">
      <c r="A149" s="21">
        <v>148</v>
      </c>
      <c r="B149" s="16">
        <f>'Data DEEPSEEK'!B149</f>
        <v>8</v>
      </c>
      <c r="C149" s="22" t="str">
        <f>'Data DEEPSEEK'!F149</f>
        <v>reasoning</v>
      </c>
      <c r="D149" s="16" t="str">
        <f>LOWER(TRIM('Data DEEPSEEK'!H149))</f>
        <v>major</v>
      </c>
      <c r="E149" s="23">
        <f>IF(ISNUMBER(SEARCH("move_legality",C149)),Parameters!$B$4,IF(ISNUMBER(SEARCH("piece_placement",C149)),Parameters!$B$5,IF(ISNUMBER(SEARCH("material",C149)),Parameters!$B$6,IF(ISNUMBER(SEARCH("piece_relations",C149)),Parameters!$B$7,IF(ISNUMBER(SEARCH("geometry",C149)),Parameters!$B$8,IF(ISNUMBER(SEARCH("reasoning",C149)),Parameters!$B$9,Parameters!$B$10))))))</f>
        <v>2</v>
      </c>
      <c r="F149" s="23">
        <f>IF(D149="major",Parameters!$B$14,IF(D149="medium",Parameters!$B$15,Parameters!$B$16))</f>
        <v>3</v>
      </c>
      <c r="G149" s="16">
        <f t="shared" si="5"/>
        <v>0</v>
      </c>
      <c r="H149" s="24">
        <f>Parameters!$B$20^(G149-1)</f>
        <v>1.4285714285714286</v>
      </c>
      <c r="I149" s="18">
        <f t="shared" si="6"/>
        <v>8.5714285714285712</v>
      </c>
    </row>
    <row r="150" spans="1:9" ht="13.15" x14ac:dyDescent="0.35">
      <c r="A150" s="21">
        <v>149</v>
      </c>
      <c r="B150" s="16">
        <f>'Data DEEPSEEK'!B150</f>
        <v>8</v>
      </c>
      <c r="C150" s="22" t="str">
        <f>'Data DEEPSEEK'!F150</f>
        <v>move_legality</v>
      </c>
      <c r="D150" s="16" t="str">
        <f>LOWER(TRIM('Data DEEPSEEK'!H150))</f>
        <v>major</v>
      </c>
      <c r="E150" s="23">
        <f>IF(ISNUMBER(SEARCH("move_legality",C150)),Parameters!$B$4,IF(ISNUMBER(SEARCH("piece_placement",C150)),Parameters!$B$5,IF(ISNUMBER(SEARCH("material",C150)),Parameters!$B$6,IF(ISNUMBER(SEARCH("piece_relations",C150)),Parameters!$B$7,IF(ISNUMBER(SEARCH("geometry",C150)),Parameters!$B$8,IF(ISNUMBER(SEARCH("reasoning",C150)),Parameters!$B$9,Parameters!$B$10))))))</f>
        <v>8</v>
      </c>
      <c r="F150" s="23">
        <f>IF(D150="major",Parameters!$B$14,IF(D150="medium",Parameters!$B$15,Parameters!$B$16))</f>
        <v>3</v>
      </c>
      <c r="G150" s="16">
        <f t="shared" si="5"/>
        <v>0</v>
      </c>
      <c r="H150" s="24">
        <f>Parameters!$B$20^(G150-1)</f>
        <v>1.4285714285714286</v>
      </c>
      <c r="I150" s="18">
        <f t="shared" si="6"/>
        <v>34.285714285714285</v>
      </c>
    </row>
    <row r="151" spans="1:9" ht="13.15" x14ac:dyDescent="0.35">
      <c r="A151" s="21">
        <v>150</v>
      </c>
      <c r="B151" s="16">
        <f>'Data DEEPSEEK'!B151</f>
        <v>8</v>
      </c>
      <c r="C151" s="22" t="str">
        <f>'Data DEEPSEEK'!F151</f>
        <v>reasoning</v>
      </c>
      <c r="D151" s="16" t="str">
        <f>LOWER(TRIM('Data DEEPSEEK'!H151))</f>
        <v>major</v>
      </c>
      <c r="E151" s="23">
        <f>IF(ISNUMBER(SEARCH("move_legality",C151)),Parameters!$B$4,IF(ISNUMBER(SEARCH("piece_placement",C151)),Parameters!$B$5,IF(ISNUMBER(SEARCH("material",C151)),Parameters!$B$6,IF(ISNUMBER(SEARCH("piece_relations",C151)),Parameters!$B$7,IF(ISNUMBER(SEARCH("geometry",C151)),Parameters!$B$8,IF(ISNUMBER(SEARCH("reasoning",C151)),Parameters!$B$9,Parameters!$B$10))))))</f>
        <v>2</v>
      </c>
      <c r="F151" s="23">
        <f>IF(D151="major",Parameters!$B$14,IF(D151="medium",Parameters!$B$15,Parameters!$B$16))</f>
        <v>3</v>
      </c>
      <c r="G151" s="16">
        <f t="shared" si="5"/>
        <v>0</v>
      </c>
      <c r="H151" s="24">
        <f>Parameters!$B$20^(G151-1)</f>
        <v>1.4285714285714286</v>
      </c>
      <c r="I151" s="18">
        <f t="shared" si="6"/>
        <v>8.5714285714285712</v>
      </c>
    </row>
    <row r="152" spans="1:9" ht="13.15" x14ac:dyDescent="0.35">
      <c r="A152" s="21">
        <v>151</v>
      </c>
      <c r="B152" s="16">
        <f>'Data DEEPSEEK'!B152</f>
        <v>8</v>
      </c>
      <c r="C152" s="22" t="str">
        <f>'Data DEEPSEEK'!F152</f>
        <v>reasoning</v>
      </c>
      <c r="D152" s="16" t="str">
        <f>LOWER(TRIM('Data DEEPSEEK'!H152))</f>
        <v>major</v>
      </c>
      <c r="E152" s="23">
        <f>IF(ISNUMBER(SEARCH("move_legality",C152)),Parameters!$B$4,IF(ISNUMBER(SEARCH("piece_placement",C152)),Parameters!$B$5,IF(ISNUMBER(SEARCH("material",C152)),Parameters!$B$6,IF(ISNUMBER(SEARCH("piece_relations",C152)),Parameters!$B$7,IF(ISNUMBER(SEARCH("geometry",C152)),Parameters!$B$8,IF(ISNUMBER(SEARCH("reasoning",C152)),Parameters!$B$9,Parameters!$B$10))))))</f>
        <v>2</v>
      </c>
      <c r="F152" s="23">
        <f>IF(D152="major",Parameters!$B$14,IF(D152="medium",Parameters!$B$15,Parameters!$B$16))</f>
        <v>3</v>
      </c>
      <c r="G152" s="16">
        <f t="shared" si="5"/>
        <v>0</v>
      </c>
      <c r="H152" s="24">
        <f>Parameters!$B$20^(G152-1)</f>
        <v>1.4285714285714286</v>
      </c>
      <c r="I152" s="18">
        <f t="shared" si="6"/>
        <v>8.5714285714285712</v>
      </c>
    </row>
    <row r="153" spans="1:9" ht="13.15" x14ac:dyDescent="0.35">
      <c r="A153" s="21">
        <v>152</v>
      </c>
      <c r="B153" s="16">
        <f>'Data DEEPSEEK'!B153</f>
        <v>8</v>
      </c>
      <c r="C153" s="22" t="str">
        <f>'Data DEEPSEEK'!F153</f>
        <v>piece_placement</v>
      </c>
      <c r="D153" s="16" t="str">
        <f>LOWER(TRIM('Data DEEPSEEK'!H153))</f>
        <v>minor</v>
      </c>
      <c r="E153" s="23">
        <f>IF(ISNUMBER(SEARCH("move_legality",C153)),Parameters!$B$4,IF(ISNUMBER(SEARCH("piece_placement",C153)),Parameters!$B$5,IF(ISNUMBER(SEARCH("material",C153)),Parameters!$B$6,IF(ISNUMBER(SEARCH("piece_relations",C153)),Parameters!$B$7,IF(ISNUMBER(SEARCH("geometry",C153)),Parameters!$B$8,IF(ISNUMBER(SEARCH("reasoning",C153)),Parameters!$B$9,Parameters!$B$10))))))</f>
        <v>6</v>
      </c>
      <c r="F153" s="23">
        <f>IF(D153="major",Parameters!$B$14,IF(D153="medium",Parameters!$B$15,Parameters!$B$16))</f>
        <v>1</v>
      </c>
      <c r="G153" s="16">
        <f t="shared" si="5"/>
        <v>0</v>
      </c>
      <c r="H153" s="24">
        <f>Parameters!$B$20^(G153-1)</f>
        <v>1.4285714285714286</v>
      </c>
      <c r="I153" s="18">
        <f t="shared" si="6"/>
        <v>8.5714285714285712</v>
      </c>
    </row>
    <row r="154" spans="1:9" ht="13.15" x14ac:dyDescent="0.35">
      <c r="A154" s="21">
        <v>153</v>
      </c>
      <c r="B154" s="16">
        <f>'Data DEEPSEEK'!B154</f>
        <v>8</v>
      </c>
      <c r="C154" s="22" t="str">
        <f>'Data DEEPSEEK'!F154</f>
        <v>piece_relations</v>
      </c>
      <c r="D154" s="16" t="str">
        <f>LOWER(TRIM('Data DEEPSEEK'!H154))</f>
        <v>minor</v>
      </c>
      <c r="E154" s="23">
        <f>IF(ISNUMBER(SEARCH("move_legality",C154)),Parameters!$B$4,IF(ISNUMBER(SEARCH("piece_placement",C154)),Parameters!$B$5,IF(ISNUMBER(SEARCH("material",C154)),Parameters!$B$6,IF(ISNUMBER(SEARCH("piece_relations",C154)),Parameters!$B$7,IF(ISNUMBER(SEARCH("geometry",C154)),Parameters!$B$8,IF(ISNUMBER(SEARCH("reasoning",C154)),Parameters!$B$9,Parameters!$B$10))))))</f>
        <v>4</v>
      </c>
      <c r="F154" s="23">
        <f>IF(D154="major",Parameters!$B$14,IF(D154="medium",Parameters!$B$15,Parameters!$B$16))</f>
        <v>1</v>
      </c>
      <c r="G154" s="16">
        <f t="shared" si="5"/>
        <v>0</v>
      </c>
      <c r="H154" s="24">
        <f>Parameters!$B$20^(G154-1)</f>
        <v>1.4285714285714286</v>
      </c>
      <c r="I154" s="18">
        <f t="shared" si="6"/>
        <v>5.7142857142857144</v>
      </c>
    </row>
    <row r="155" spans="1:9" ht="13.15" x14ac:dyDescent="0.35">
      <c r="A155" s="21">
        <v>154</v>
      </c>
      <c r="B155" s="16">
        <f>'Data DEEPSEEK'!B155</f>
        <v>8</v>
      </c>
      <c r="C155" s="22" t="str">
        <f>'Data DEEPSEEK'!F155</f>
        <v>piece_relations</v>
      </c>
      <c r="D155" s="16" t="str">
        <f>LOWER(TRIM('Data DEEPSEEK'!H155))</f>
        <v>major</v>
      </c>
      <c r="E155" s="23">
        <f>IF(ISNUMBER(SEARCH("move_legality",C155)),Parameters!$B$4,IF(ISNUMBER(SEARCH("piece_placement",C155)),Parameters!$B$5,IF(ISNUMBER(SEARCH("material",C155)),Parameters!$B$6,IF(ISNUMBER(SEARCH("piece_relations",C155)),Parameters!$B$7,IF(ISNUMBER(SEARCH("geometry",C155)),Parameters!$B$8,IF(ISNUMBER(SEARCH("reasoning",C155)),Parameters!$B$9,Parameters!$B$10))))))</f>
        <v>4</v>
      </c>
      <c r="F155" s="23">
        <f>IF(D155="major",Parameters!$B$14,IF(D155="medium",Parameters!$B$15,Parameters!$B$16))</f>
        <v>3</v>
      </c>
      <c r="G155" s="16">
        <f t="shared" si="5"/>
        <v>0</v>
      </c>
      <c r="H155" s="24">
        <f>Parameters!$B$20^(G155-1)</f>
        <v>1.4285714285714286</v>
      </c>
      <c r="I155" s="18">
        <f t="shared" si="6"/>
        <v>17.142857142857142</v>
      </c>
    </row>
    <row r="156" spans="1:9" ht="13.15" x14ac:dyDescent="0.35">
      <c r="A156" s="21">
        <v>155</v>
      </c>
      <c r="B156" s="16">
        <f>'Data DEEPSEEK'!B156</f>
        <v>8</v>
      </c>
      <c r="C156" s="22" t="str">
        <f>'Data DEEPSEEK'!F156</f>
        <v>reasoning</v>
      </c>
      <c r="D156" s="16" t="str">
        <f>LOWER(TRIM('Data DEEPSEEK'!H156))</f>
        <v>major</v>
      </c>
      <c r="E156" s="23">
        <f>IF(ISNUMBER(SEARCH("move_legality",C156)),Parameters!$B$4,IF(ISNUMBER(SEARCH("piece_placement",C156)),Parameters!$B$5,IF(ISNUMBER(SEARCH("material",C156)),Parameters!$B$6,IF(ISNUMBER(SEARCH("piece_relations",C156)),Parameters!$B$7,IF(ISNUMBER(SEARCH("geometry",C156)),Parameters!$B$8,IF(ISNUMBER(SEARCH("reasoning",C156)),Parameters!$B$9,Parameters!$B$10))))))</f>
        <v>2</v>
      </c>
      <c r="F156" s="23">
        <f>IF(D156="major",Parameters!$B$14,IF(D156="medium",Parameters!$B$15,Parameters!$B$16))</f>
        <v>3</v>
      </c>
      <c r="G156" s="16">
        <f t="shared" si="5"/>
        <v>0</v>
      </c>
      <c r="H156" s="24">
        <f>Parameters!$B$20^(G156-1)</f>
        <v>1.4285714285714286</v>
      </c>
      <c r="I156" s="18">
        <f t="shared" si="6"/>
        <v>8.5714285714285712</v>
      </c>
    </row>
    <row r="157" spans="1:9" ht="13.15" x14ac:dyDescent="0.35">
      <c r="A157" s="21">
        <v>156</v>
      </c>
      <c r="B157" s="16">
        <f>'Data DEEPSEEK'!B157</f>
        <v>8</v>
      </c>
      <c r="C157" s="22" t="str">
        <f>'Data DEEPSEEK'!F157</f>
        <v>move_legality</v>
      </c>
      <c r="D157" s="16" t="str">
        <f>LOWER(TRIM('Data DEEPSEEK'!H157))</f>
        <v>major</v>
      </c>
      <c r="E157" s="23">
        <f>IF(ISNUMBER(SEARCH("move_legality",C157)),Parameters!$B$4,IF(ISNUMBER(SEARCH("piece_placement",C157)),Parameters!$B$5,IF(ISNUMBER(SEARCH("material",C157)),Parameters!$B$6,IF(ISNUMBER(SEARCH("piece_relations",C157)),Parameters!$B$7,IF(ISNUMBER(SEARCH("geometry",C157)),Parameters!$B$8,IF(ISNUMBER(SEARCH("reasoning",C157)),Parameters!$B$9,Parameters!$B$10))))))</f>
        <v>8</v>
      </c>
      <c r="F157" s="23">
        <f>IF(D157="major",Parameters!$B$14,IF(D157="medium",Parameters!$B$15,Parameters!$B$16))</f>
        <v>3</v>
      </c>
      <c r="G157" s="16">
        <f t="shared" si="5"/>
        <v>0</v>
      </c>
      <c r="H157" s="24">
        <f>Parameters!$B$20^(G157-1)</f>
        <v>1.4285714285714286</v>
      </c>
      <c r="I157" s="18">
        <f t="shared" si="6"/>
        <v>34.285714285714285</v>
      </c>
    </row>
    <row r="158" spans="1:9" ht="13.15" x14ac:dyDescent="0.35">
      <c r="A158" s="21">
        <v>157</v>
      </c>
      <c r="B158" s="16">
        <f>'Data DEEPSEEK'!B158</f>
        <v>8</v>
      </c>
      <c r="C158" s="22" t="str">
        <f>'Data DEEPSEEK'!F158</f>
        <v>piece_placement</v>
      </c>
      <c r="D158" s="16" t="str">
        <f>LOWER(TRIM('Data DEEPSEEK'!H158))</f>
        <v>major</v>
      </c>
      <c r="E158" s="23">
        <f>IF(ISNUMBER(SEARCH("move_legality",C158)),Parameters!$B$4,IF(ISNUMBER(SEARCH("piece_placement",C158)),Parameters!$B$5,IF(ISNUMBER(SEARCH("material",C158)),Parameters!$B$6,IF(ISNUMBER(SEARCH("piece_relations",C158)),Parameters!$B$7,IF(ISNUMBER(SEARCH("geometry",C158)),Parameters!$B$8,IF(ISNUMBER(SEARCH("reasoning",C158)),Parameters!$B$9,Parameters!$B$10))))))</f>
        <v>6</v>
      </c>
      <c r="F158" s="23">
        <f>IF(D158="major",Parameters!$B$14,IF(D158="medium",Parameters!$B$15,Parameters!$B$16))</f>
        <v>3</v>
      </c>
      <c r="G158" s="16">
        <f t="shared" si="5"/>
        <v>0</v>
      </c>
      <c r="H158" s="24">
        <f>Parameters!$B$20^(G158-1)</f>
        <v>1.4285714285714286</v>
      </c>
      <c r="I158" s="18">
        <f t="shared" si="6"/>
        <v>25.714285714285715</v>
      </c>
    </row>
    <row r="159" spans="1:9" ht="13.15" x14ac:dyDescent="0.35">
      <c r="A159" s="21">
        <v>158</v>
      </c>
      <c r="B159" s="16">
        <f>'Data DEEPSEEK'!B159</f>
        <v>8</v>
      </c>
      <c r="C159" s="22" t="str">
        <f>'Data DEEPSEEK'!F159</f>
        <v>piece_relations</v>
      </c>
      <c r="D159" s="16" t="str">
        <f>LOWER(TRIM('Data DEEPSEEK'!H159))</f>
        <v>major</v>
      </c>
      <c r="E159" s="23">
        <f>IF(ISNUMBER(SEARCH("move_legality",C159)),Parameters!$B$4,IF(ISNUMBER(SEARCH("piece_placement",C159)),Parameters!$B$5,IF(ISNUMBER(SEARCH("material",C159)),Parameters!$B$6,IF(ISNUMBER(SEARCH("piece_relations",C159)),Parameters!$B$7,IF(ISNUMBER(SEARCH("geometry",C159)),Parameters!$B$8,IF(ISNUMBER(SEARCH("reasoning",C159)),Parameters!$B$9,Parameters!$B$10))))))</f>
        <v>4</v>
      </c>
      <c r="F159" s="23">
        <f>IF(D159="major",Parameters!$B$14,IF(D159="medium",Parameters!$B$15,Parameters!$B$16))</f>
        <v>3</v>
      </c>
      <c r="G159" s="16">
        <f t="shared" si="5"/>
        <v>0</v>
      </c>
      <c r="H159" s="24">
        <f>Parameters!$B$20^(G159-1)</f>
        <v>1.4285714285714286</v>
      </c>
      <c r="I159" s="18">
        <f t="shared" si="6"/>
        <v>17.142857142857142</v>
      </c>
    </row>
    <row r="160" spans="1:9" ht="13.15" x14ac:dyDescent="0.35">
      <c r="A160" s="21">
        <v>159</v>
      </c>
      <c r="B160" s="16">
        <f>'Data DEEPSEEK'!B160</f>
        <v>8</v>
      </c>
      <c r="C160" s="22" t="str">
        <f>'Data DEEPSEEK'!F160</f>
        <v>reasoning</v>
      </c>
      <c r="D160" s="16" t="str">
        <f>LOWER(TRIM('Data DEEPSEEK'!H160))</f>
        <v>medium</v>
      </c>
      <c r="E160" s="23">
        <f>IF(ISNUMBER(SEARCH("move_legality",C160)),Parameters!$B$4,IF(ISNUMBER(SEARCH("piece_placement",C160)),Parameters!$B$5,IF(ISNUMBER(SEARCH("material",C160)),Parameters!$B$6,IF(ISNUMBER(SEARCH("piece_relations",C160)),Parameters!$B$7,IF(ISNUMBER(SEARCH("geometry",C160)),Parameters!$B$8,IF(ISNUMBER(SEARCH("reasoning",C160)),Parameters!$B$9,Parameters!$B$10))))))</f>
        <v>2</v>
      </c>
      <c r="F160" s="23">
        <f>IF(D160="major",Parameters!$B$14,IF(D160="medium",Parameters!$B$15,Parameters!$B$16))</f>
        <v>2</v>
      </c>
      <c r="G160" s="16">
        <f t="shared" si="5"/>
        <v>0</v>
      </c>
      <c r="H160" s="24">
        <f>Parameters!$B$20^(G160-1)</f>
        <v>1.4285714285714286</v>
      </c>
      <c r="I160" s="18">
        <f t="shared" si="6"/>
        <v>5.7142857142857144</v>
      </c>
    </row>
    <row r="161" spans="1:9" ht="13.15" x14ac:dyDescent="0.35">
      <c r="A161" s="21">
        <v>160</v>
      </c>
      <c r="B161" s="16">
        <f>'Data DEEPSEEK'!B161</f>
        <v>8</v>
      </c>
      <c r="C161" s="22" t="str">
        <f>'Data DEEPSEEK'!F161</f>
        <v>geometry</v>
      </c>
      <c r="D161" s="16" t="str">
        <f>LOWER(TRIM('Data DEEPSEEK'!H161))</f>
        <v>major</v>
      </c>
      <c r="E161" s="23">
        <f>IF(ISNUMBER(SEARCH("move_legality",C161)),Parameters!$B$4,IF(ISNUMBER(SEARCH("piece_placement",C161)),Parameters!$B$5,IF(ISNUMBER(SEARCH("material",C161)),Parameters!$B$6,IF(ISNUMBER(SEARCH("piece_relations",C161)),Parameters!$B$7,IF(ISNUMBER(SEARCH("geometry",C161)),Parameters!$B$8,IF(ISNUMBER(SEARCH("reasoning",C161)),Parameters!$B$9,Parameters!$B$10))))))</f>
        <v>3</v>
      </c>
      <c r="F161" s="23">
        <f>IF(D161="major",Parameters!$B$14,IF(D161="medium",Parameters!$B$15,Parameters!$B$16))</f>
        <v>3</v>
      </c>
      <c r="G161" s="16">
        <f t="shared" si="5"/>
        <v>0</v>
      </c>
      <c r="H161" s="24">
        <f>Parameters!$B$20^(G161-1)</f>
        <v>1.4285714285714286</v>
      </c>
      <c r="I161" s="18">
        <f t="shared" si="6"/>
        <v>12.857142857142858</v>
      </c>
    </row>
    <row r="162" spans="1:9" ht="13.15" x14ac:dyDescent="0.35">
      <c r="A162" s="21">
        <v>161</v>
      </c>
      <c r="B162" s="16">
        <f>'Data DEEPSEEK'!B162</f>
        <v>8</v>
      </c>
      <c r="C162" s="22" t="str">
        <f>'Data DEEPSEEK'!F162</f>
        <v>piece_relations</v>
      </c>
      <c r="D162" s="16" t="str">
        <f>LOWER(TRIM('Data DEEPSEEK'!H162))</f>
        <v>major</v>
      </c>
      <c r="E162" s="23">
        <f>IF(ISNUMBER(SEARCH("move_legality",C162)),Parameters!$B$4,IF(ISNUMBER(SEARCH("piece_placement",C162)),Parameters!$B$5,IF(ISNUMBER(SEARCH("material",C162)),Parameters!$B$6,IF(ISNUMBER(SEARCH("piece_relations",C162)),Parameters!$B$7,IF(ISNUMBER(SEARCH("geometry",C162)),Parameters!$B$8,IF(ISNUMBER(SEARCH("reasoning",C162)),Parameters!$B$9,Parameters!$B$10))))))</f>
        <v>4</v>
      </c>
      <c r="F162" s="23">
        <f>IF(D162="major",Parameters!$B$14,IF(D162="medium",Parameters!$B$15,Parameters!$B$16))</f>
        <v>3</v>
      </c>
      <c r="G162" s="16">
        <f t="shared" si="5"/>
        <v>0</v>
      </c>
      <c r="H162" s="24">
        <f>Parameters!$B$20^(G162-1)</f>
        <v>1.4285714285714286</v>
      </c>
      <c r="I162" s="18">
        <f t="shared" si="6"/>
        <v>17.142857142857142</v>
      </c>
    </row>
    <row r="163" spans="1:9" ht="13.15" x14ac:dyDescent="0.35">
      <c r="A163" s="21">
        <v>162</v>
      </c>
      <c r="B163" s="16">
        <f>'Data DEEPSEEK'!B163</f>
        <v>9</v>
      </c>
      <c r="C163" s="22" t="str">
        <f>'Data DEEPSEEK'!F163</f>
        <v>piece_placement</v>
      </c>
      <c r="D163" s="16" t="str">
        <f>LOWER(TRIM('Data DEEPSEEK'!H163))</f>
        <v>major</v>
      </c>
      <c r="E163" s="23">
        <f>IF(ISNUMBER(SEARCH("move_legality",C163)),Parameters!$B$4,IF(ISNUMBER(SEARCH("piece_placement",C163)),Parameters!$B$5,IF(ISNUMBER(SEARCH("material",C163)),Parameters!$B$6,IF(ISNUMBER(SEARCH("piece_relations",C163)),Parameters!$B$7,IF(ISNUMBER(SEARCH("geometry",C163)),Parameters!$B$8,IF(ISNUMBER(SEARCH("reasoning",C163)),Parameters!$B$9,Parameters!$B$10))))))</f>
        <v>6</v>
      </c>
      <c r="F163" s="23">
        <f>IF(D163="major",Parameters!$B$14,IF(D163="medium",Parameters!$B$15,Parameters!$B$16))</f>
        <v>3</v>
      </c>
      <c r="G163" s="16">
        <f t="shared" si="5"/>
        <v>0</v>
      </c>
      <c r="H163" s="24">
        <f>Parameters!$B$20^(G163-1)</f>
        <v>1.4285714285714286</v>
      </c>
      <c r="I163" s="18">
        <f t="shared" si="6"/>
        <v>25.714285714285715</v>
      </c>
    </row>
    <row r="164" spans="1:9" ht="13.15" x14ac:dyDescent="0.35">
      <c r="A164" s="21">
        <v>163</v>
      </c>
      <c r="B164" s="16">
        <f>'Data DEEPSEEK'!B164</f>
        <v>9</v>
      </c>
      <c r="C164" s="22" t="str">
        <f>'Data DEEPSEEK'!F164</f>
        <v>piece_relations</v>
      </c>
      <c r="D164" s="16" t="str">
        <f>LOWER(TRIM('Data DEEPSEEK'!H164))</f>
        <v>major</v>
      </c>
      <c r="E164" s="23">
        <f>IF(ISNUMBER(SEARCH("move_legality",C164)),Parameters!$B$4,IF(ISNUMBER(SEARCH("piece_placement",C164)),Parameters!$B$5,IF(ISNUMBER(SEARCH("material",C164)),Parameters!$B$6,IF(ISNUMBER(SEARCH("piece_relations",C164)),Parameters!$B$7,IF(ISNUMBER(SEARCH("geometry",C164)),Parameters!$B$8,IF(ISNUMBER(SEARCH("reasoning",C164)),Parameters!$B$9,Parameters!$B$10))))))</f>
        <v>4</v>
      </c>
      <c r="F164" s="23">
        <f>IF(D164="major",Parameters!$B$14,IF(D164="medium",Parameters!$B$15,Parameters!$B$16))</f>
        <v>3</v>
      </c>
      <c r="G164" s="16">
        <f t="shared" si="5"/>
        <v>0</v>
      </c>
      <c r="H164" s="24">
        <f>Parameters!$B$20^(G164-1)</f>
        <v>1.4285714285714286</v>
      </c>
      <c r="I164" s="18">
        <f t="shared" si="6"/>
        <v>17.142857142857142</v>
      </c>
    </row>
    <row r="165" spans="1:9" ht="13.15" x14ac:dyDescent="0.35">
      <c r="A165" s="21">
        <v>164</v>
      </c>
      <c r="B165" s="16">
        <f>'Data DEEPSEEK'!B165</f>
        <v>9</v>
      </c>
      <c r="C165" s="22" t="str">
        <f>'Data DEEPSEEK'!F165</f>
        <v>piece_relations</v>
      </c>
      <c r="D165" s="16" t="str">
        <f>LOWER(TRIM('Data DEEPSEEK'!H165))</f>
        <v>major</v>
      </c>
      <c r="E165" s="23">
        <f>IF(ISNUMBER(SEARCH("move_legality",C165)),Parameters!$B$4,IF(ISNUMBER(SEARCH("piece_placement",C165)),Parameters!$B$5,IF(ISNUMBER(SEARCH("material",C165)),Parameters!$B$6,IF(ISNUMBER(SEARCH("piece_relations",C165)),Parameters!$B$7,IF(ISNUMBER(SEARCH("geometry",C165)),Parameters!$B$8,IF(ISNUMBER(SEARCH("reasoning",C165)),Parameters!$B$9,Parameters!$B$10))))))</f>
        <v>4</v>
      </c>
      <c r="F165" s="23">
        <f>IF(D165="major",Parameters!$B$14,IF(D165="medium",Parameters!$B$15,Parameters!$B$16))</f>
        <v>3</v>
      </c>
      <c r="G165" s="16">
        <f t="shared" si="5"/>
        <v>0</v>
      </c>
      <c r="H165" s="24">
        <f>Parameters!$B$20^(G165-1)</f>
        <v>1.4285714285714286</v>
      </c>
      <c r="I165" s="18">
        <f t="shared" si="6"/>
        <v>17.142857142857142</v>
      </c>
    </row>
    <row r="166" spans="1:9" ht="13.15" x14ac:dyDescent="0.35">
      <c r="A166" s="21">
        <v>165</v>
      </c>
      <c r="B166" s="16">
        <f>'Data DEEPSEEK'!B166</f>
        <v>9</v>
      </c>
      <c r="C166" s="22" t="str">
        <f>'Data DEEPSEEK'!F166</f>
        <v>piece_placement</v>
      </c>
      <c r="D166" s="16" t="str">
        <f>LOWER(TRIM('Data DEEPSEEK'!H166))</f>
        <v>major</v>
      </c>
      <c r="E166" s="23">
        <f>IF(ISNUMBER(SEARCH("move_legality",C166)),Parameters!$B$4,IF(ISNUMBER(SEARCH("piece_placement",C166)),Parameters!$B$5,IF(ISNUMBER(SEARCH("material",C166)),Parameters!$B$6,IF(ISNUMBER(SEARCH("piece_relations",C166)),Parameters!$B$7,IF(ISNUMBER(SEARCH("geometry",C166)),Parameters!$B$8,IF(ISNUMBER(SEARCH("reasoning",C166)),Parameters!$B$9,Parameters!$B$10))))))</f>
        <v>6</v>
      </c>
      <c r="F166" s="23">
        <f>IF(D166="major",Parameters!$B$14,IF(D166="medium",Parameters!$B$15,Parameters!$B$16))</f>
        <v>3</v>
      </c>
      <c r="G166" s="16">
        <f t="shared" si="5"/>
        <v>0</v>
      </c>
      <c r="H166" s="24">
        <f>Parameters!$B$20^(G166-1)</f>
        <v>1.4285714285714286</v>
      </c>
      <c r="I166" s="18">
        <f t="shared" si="6"/>
        <v>25.714285714285715</v>
      </c>
    </row>
    <row r="167" spans="1:9" ht="13.15" x14ac:dyDescent="0.35">
      <c r="A167" s="21">
        <v>166</v>
      </c>
      <c r="B167" s="16">
        <f>'Data DEEPSEEK'!B167</f>
        <v>9</v>
      </c>
      <c r="C167" s="22" t="str">
        <f>'Data DEEPSEEK'!F167</f>
        <v>piece_placement</v>
      </c>
      <c r="D167" s="16" t="str">
        <f>LOWER(TRIM('Data DEEPSEEK'!H167))</f>
        <v>major</v>
      </c>
      <c r="E167" s="23">
        <f>IF(ISNUMBER(SEARCH("move_legality",C167)),Parameters!$B$4,IF(ISNUMBER(SEARCH("piece_placement",C167)),Parameters!$B$5,IF(ISNUMBER(SEARCH("material",C167)),Parameters!$B$6,IF(ISNUMBER(SEARCH("piece_relations",C167)),Parameters!$B$7,IF(ISNUMBER(SEARCH("geometry",C167)),Parameters!$B$8,IF(ISNUMBER(SEARCH("reasoning",C167)),Parameters!$B$9,Parameters!$B$10))))))</f>
        <v>6</v>
      </c>
      <c r="F167" s="23">
        <f>IF(D167="major",Parameters!$B$14,IF(D167="medium",Parameters!$B$15,Parameters!$B$16))</f>
        <v>3</v>
      </c>
      <c r="G167" s="16">
        <f t="shared" si="5"/>
        <v>0</v>
      </c>
      <c r="H167" s="24">
        <f>Parameters!$B$20^(G167-1)</f>
        <v>1.4285714285714286</v>
      </c>
      <c r="I167" s="18">
        <f t="shared" si="6"/>
        <v>25.714285714285715</v>
      </c>
    </row>
    <row r="168" spans="1:9" ht="13.15" x14ac:dyDescent="0.35">
      <c r="A168" s="21">
        <v>167</v>
      </c>
      <c r="B168" s="16">
        <f>'Data DEEPSEEK'!B168</f>
        <v>9</v>
      </c>
      <c r="C168" s="22" t="str">
        <f>'Data DEEPSEEK'!F168</f>
        <v>piece_relations</v>
      </c>
      <c r="D168" s="16" t="str">
        <f>LOWER(TRIM('Data DEEPSEEK'!H168))</f>
        <v>major</v>
      </c>
      <c r="E168" s="23">
        <f>IF(ISNUMBER(SEARCH("move_legality",C168)),Parameters!$B$4,IF(ISNUMBER(SEARCH("piece_placement",C168)),Parameters!$B$5,IF(ISNUMBER(SEARCH("material",C168)),Parameters!$B$6,IF(ISNUMBER(SEARCH("piece_relations",C168)),Parameters!$B$7,IF(ISNUMBER(SEARCH("geometry",C168)),Parameters!$B$8,IF(ISNUMBER(SEARCH("reasoning",C168)),Parameters!$B$9,Parameters!$B$10))))))</f>
        <v>4</v>
      </c>
      <c r="F168" s="23">
        <f>IF(D168="major",Parameters!$B$14,IF(D168="medium",Parameters!$B$15,Parameters!$B$16))</f>
        <v>3</v>
      </c>
      <c r="G168" s="16">
        <f t="shared" si="5"/>
        <v>0</v>
      </c>
      <c r="H168" s="24">
        <f>Parameters!$B$20^(G168-1)</f>
        <v>1.4285714285714286</v>
      </c>
      <c r="I168" s="18">
        <f t="shared" si="6"/>
        <v>17.142857142857142</v>
      </c>
    </row>
    <row r="169" spans="1:9" ht="13.15" x14ac:dyDescent="0.35">
      <c r="A169" s="21">
        <v>168</v>
      </c>
      <c r="B169" s="16">
        <f>'Data DEEPSEEK'!B169</f>
        <v>9</v>
      </c>
      <c r="C169" s="22" t="str">
        <f>'Data DEEPSEEK'!F169</f>
        <v>piece_relations</v>
      </c>
      <c r="D169" s="16" t="str">
        <f>LOWER(TRIM('Data DEEPSEEK'!H169))</f>
        <v>major</v>
      </c>
      <c r="E169" s="23">
        <f>IF(ISNUMBER(SEARCH("move_legality",C169)),Parameters!$B$4,IF(ISNUMBER(SEARCH("piece_placement",C169)),Parameters!$B$5,IF(ISNUMBER(SEARCH("material",C169)),Parameters!$B$6,IF(ISNUMBER(SEARCH("piece_relations",C169)),Parameters!$B$7,IF(ISNUMBER(SEARCH("geometry",C169)),Parameters!$B$8,IF(ISNUMBER(SEARCH("reasoning",C169)),Parameters!$B$9,Parameters!$B$10))))))</f>
        <v>4</v>
      </c>
      <c r="F169" s="23">
        <f>IF(D169="major",Parameters!$B$14,IF(D169="medium",Parameters!$B$15,Parameters!$B$16))</f>
        <v>3</v>
      </c>
      <c r="G169" s="16">
        <f t="shared" si="5"/>
        <v>0</v>
      </c>
      <c r="H169" s="24">
        <f>Parameters!$B$20^(G169-1)</f>
        <v>1.4285714285714286</v>
      </c>
      <c r="I169" s="18">
        <f t="shared" si="6"/>
        <v>17.142857142857142</v>
      </c>
    </row>
    <row r="170" spans="1:9" ht="13.15" x14ac:dyDescent="0.35">
      <c r="A170" s="21">
        <v>169</v>
      </c>
      <c r="B170" s="16">
        <f>'Data DEEPSEEK'!B170</f>
        <v>9</v>
      </c>
      <c r="C170" s="22" t="str">
        <f>'Data DEEPSEEK'!F170</f>
        <v>reasoning</v>
      </c>
      <c r="D170" s="16" t="str">
        <f>LOWER(TRIM('Data DEEPSEEK'!H170))</f>
        <v>medium</v>
      </c>
      <c r="E170" s="23">
        <f>IF(ISNUMBER(SEARCH("move_legality",C170)),Parameters!$B$4,IF(ISNUMBER(SEARCH("piece_placement",C170)),Parameters!$B$5,IF(ISNUMBER(SEARCH("material",C170)),Parameters!$B$6,IF(ISNUMBER(SEARCH("piece_relations",C170)),Parameters!$B$7,IF(ISNUMBER(SEARCH("geometry",C170)),Parameters!$B$8,IF(ISNUMBER(SEARCH("reasoning",C170)),Parameters!$B$9,Parameters!$B$10))))))</f>
        <v>2</v>
      </c>
      <c r="F170" s="23">
        <f>IF(D170="major",Parameters!$B$14,IF(D170="medium",Parameters!$B$15,Parameters!$B$16))</f>
        <v>2</v>
      </c>
      <c r="G170" s="16">
        <f t="shared" si="5"/>
        <v>0</v>
      </c>
      <c r="H170" s="24">
        <f>Parameters!$B$20^(G170-1)</f>
        <v>1.4285714285714286</v>
      </c>
      <c r="I170" s="18">
        <f t="shared" si="6"/>
        <v>5.7142857142857144</v>
      </c>
    </row>
    <row r="171" spans="1:9" ht="13.15" x14ac:dyDescent="0.35">
      <c r="A171" s="21">
        <v>170</v>
      </c>
      <c r="B171" s="16">
        <f>'Data DEEPSEEK'!B171</f>
        <v>9</v>
      </c>
      <c r="C171" s="22" t="str">
        <f>'Data DEEPSEEK'!F171</f>
        <v>piece_relations</v>
      </c>
      <c r="D171" s="16" t="str">
        <f>LOWER(TRIM('Data DEEPSEEK'!H171))</f>
        <v>major</v>
      </c>
      <c r="E171" s="23">
        <f>IF(ISNUMBER(SEARCH("move_legality",C171)),Parameters!$B$4,IF(ISNUMBER(SEARCH("piece_placement",C171)),Parameters!$B$5,IF(ISNUMBER(SEARCH("material",C171)),Parameters!$B$6,IF(ISNUMBER(SEARCH("piece_relations",C171)),Parameters!$B$7,IF(ISNUMBER(SEARCH("geometry",C171)),Parameters!$B$8,IF(ISNUMBER(SEARCH("reasoning",C171)),Parameters!$B$9,Parameters!$B$10))))))</f>
        <v>4</v>
      </c>
      <c r="F171" s="23">
        <f>IF(D171="major",Parameters!$B$14,IF(D171="medium",Parameters!$B$15,Parameters!$B$16))</f>
        <v>3</v>
      </c>
      <c r="G171" s="16">
        <f t="shared" si="5"/>
        <v>0</v>
      </c>
      <c r="H171" s="24">
        <f>Parameters!$B$20^(G171-1)</f>
        <v>1.4285714285714286</v>
      </c>
      <c r="I171" s="18">
        <f t="shared" si="6"/>
        <v>17.142857142857142</v>
      </c>
    </row>
    <row r="172" spans="1:9" ht="13.15" x14ac:dyDescent="0.35">
      <c r="A172" s="21">
        <v>171</v>
      </c>
      <c r="B172" s="16">
        <f>'Data DEEPSEEK'!B172</f>
        <v>9</v>
      </c>
      <c r="C172" s="22" t="str">
        <f>'Data DEEPSEEK'!F172</f>
        <v>reasoning</v>
      </c>
      <c r="D172" s="16" t="str">
        <f>LOWER(TRIM('Data DEEPSEEK'!H172))</f>
        <v>major</v>
      </c>
      <c r="E172" s="23">
        <f>IF(ISNUMBER(SEARCH("move_legality",C172)),Parameters!$B$4,IF(ISNUMBER(SEARCH("piece_placement",C172)),Parameters!$B$5,IF(ISNUMBER(SEARCH("material",C172)),Parameters!$B$6,IF(ISNUMBER(SEARCH("piece_relations",C172)),Parameters!$B$7,IF(ISNUMBER(SEARCH("geometry",C172)),Parameters!$B$8,IF(ISNUMBER(SEARCH("reasoning",C172)),Parameters!$B$9,Parameters!$B$10))))))</f>
        <v>2</v>
      </c>
      <c r="F172" s="23">
        <f>IF(D172="major",Parameters!$B$14,IF(D172="medium",Parameters!$B$15,Parameters!$B$16))</f>
        <v>3</v>
      </c>
      <c r="G172" s="16">
        <f t="shared" si="5"/>
        <v>0</v>
      </c>
      <c r="H172" s="24">
        <f>Parameters!$B$20^(G172-1)</f>
        <v>1.4285714285714286</v>
      </c>
      <c r="I172" s="18">
        <f t="shared" si="6"/>
        <v>8.5714285714285712</v>
      </c>
    </row>
    <row r="173" spans="1:9" ht="13.15" x14ac:dyDescent="0.35">
      <c r="A173" s="21">
        <v>172</v>
      </c>
      <c r="B173" s="16">
        <f>'Data DEEPSEEK'!B173</f>
        <v>9</v>
      </c>
      <c r="C173" s="22" t="str">
        <f>'Data DEEPSEEK'!F173</f>
        <v>reasoning</v>
      </c>
      <c r="D173" s="16" t="str">
        <f>LOWER(TRIM('Data DEEPSEEK'!H173))</f>
        <v>medium</v>
      </c>
      <c r="E173" s="23">
        <f>IF(ISNUMBER(SEARCH("move_legality",C173)),Parameters!$B$4,IF(ISNUMBER(SEARCH("piece_placement",C173)),Parameters!$B$5,IF(ISNUMBER(SEARCH("material",C173)),Parameters!$B$6,IF(ISNUMBER(SEARCH("piece_relations",C173)),Parameters!$B$7,IF(ISNUMBER(SEARCH("geometry",C173)),Parameters!$B$8,IF(ISNUMBER(SEARCH("reasoning",C173)),Parameters!$B$9,Parameters!$B$10))))))</f>
        <v>2</v>
      </c>
      <c r="F173" s="23">
        <f>IF(D173="major",Parameters!$B$14,IF(D173="medium",Parameters!$B$15,Parameters!$B$16))</f>
        <v>2</v>
      </c>
      <c r="G173" s="16">
        <f t="shared" si="5"/>
        <v>0</v>
      </c>
      <c r="H173" s="24">
        <f>Parameters!$B$20^(G173-1)</f>
        <v>1.4285714285714286</v>
      </c>
      <c r="I173" s="18">
        <f t="shared" si="6"/>
        <v>5.7142857142857144</v>
      </c>
    </row>
    <row r="174" spans="1:9" ht="13.15" x14ac:dyDescent="0.35">
      <c r="A174" s="21">
        <v>173</v>
      </c>
      <c r="B174" s="16">
        <f>'Data DEEPSEEK'!B174</f>
        <v>9</v>
      </c>
      <c r="C174" s="22" t="str">
        <f>'Data DEEPSEEK'!F174</f>
        <v>piece_placement</v>
      </c>
      <c r="D174" s="16" t="str">
        <f>LOWER(TRIM('Data DEEPSEEK'!H174))</f>
        <v>major</v>
      </c>
      <c r="E174" s="23">
        <f>IF(ISNUMBER(SEARCH("move_legality",C174)),Parameters!$B$4,IF(ISNUMBER(SEARCH("piece_placement",C174)),Parameters!$B$5,IF(ISNUMBER(SEARCH("material",C174)),Parameters!$B$6,IF(ISNUMBER(SEARCH("piece_relations",C174)),Parameters!$B$7,IF(ISNUMBER(SEARCH("geometry",C174)),Parameters!$B$8,IF(ISNUMBER(SEARCH("reasoning",C174)),Parameters!$B$9,Parameters!$B$10))))))</f>
        <v>6</v>
      </c>
      <c r="F174" s="23">
        <f>IF(D174="major",Parameters!$B$14,IF(D174="medium",Parameters!$B$15,Parameters!$B$16))</f>
        <v>3</v>
      </c>
      <c r="G174" s="16">
        <f t="shared" si="5"/>
        <v>0</v>
      </c>
      <c r="H174" s="24">
        <f>Parameters!$B$20^(G174-1)</f>
        <v>1.4285714285714286</v>
      </c>
      <c r="I174" s="18">
        <f t="shared" si="6"/>
        <v>25.714285714285715</v>
      </c>
    </row>
    <row r="175" spans="1:9" ht="13.15" x14ac:dyDescent="0.35">
      <c r="A175" s="21">
        <v>174</v>
      </c>
      <c r="B175" s="16">
        <f>'Data DEEPSEEK'!B175</f>
        <v>9</v>
      </c>
      <c r="C175" s="22" t="str">
        <f>'Data DEEPSEEK'!F175</f>
        <v>piece_relations</v>
      </c>
      <c r="D175" s="16" t="str">
        <f>LOWER(TRIM('Data DEEPSEEK'!H175))</f>
        <v>major</v>
      </c>
      <c r="E175" s="23">
        <f>IF(ISNUMBER(SEARCH("move_legality",C175)),Parameters!$B$4,IF(ISNUMBER(SEARCH("piece_placement",C175)),Parameters!$B$5,IF(ISNUMBER(SEARCH("material",C175)),Parameters!$B$6,IF(ISNUMBER(SEARCH("piece_relations",C175)),Parameters!$B$7,IF(ISNUMBER(SEARCH("geometry",C175)),Parameters!$B$8,IF(ISNUMBER(SEARCH("reasoning",C175)),Parameters!$B$9,Parameters!$B$10))))))</f>
        <v>4</v>
      </c>
      <c r="F175" s="23">
        <f>IF(D175="major",Parameters!$B$14,IF(D175="medium",Parameters!$B$15,Parameters!$B$16))</f>
        <v>3</v>
      </c>
      <c r="G175" s="16">
        <f t="shared" si="5"/>
        <v>0</v>
      </c>
      <c r="H175" s="24">
        <f>Parameters!$B$20^(G175-1)</f>
        <v>1.4285714285714286</v>
      </c>
      <c r="I175" s="18">
        <f t="shared" si="6"/>
        <v>17.142857142857142</v>
      </c>
    </row>
    <row r="176" spans="1:9" ht="13.15" x14ac:dyDescent="0.35">
      <c r="A176" s="21">
        <v>175</v>
      </c>
      <c r="B176" s="16">
        <f>'Data DEEPSEEK'!B176</f>
        <v>9</v>
      </c>
      <c r="C176" s="22" t="str">
        <f>'Data DEEPSEEK'!F176</f>
        <v>reasoning</v>
      </c>
      <c r="D176" s="16" t="str">
        <f>LOWER(TRIM('Data DEEPSEEK'!H176))</f>
        <v>medium</v>
      </c>
      <c r="E176" s="23">
        <f>IF(ISNUMBER(SEARCH("move_legality",C176)),Parameters!$B$4,IF(ISNUMBER(SEARCH("piece_placement",C176)),Parameters!$B$5,IF(ISNUMBER(SEARCH("material",C176)),Parameters!$B$6,IF(ISNUMBER(SEARCH("piece_relations",C176)),Parameters!$B$7,IF(ISNUMBER(SEARCH("geometry",C176)),Parameters!$B$8,IF(ISNUMBER(SEARCH("reasoning",C176)),Parameters!$B$9,Parameters!$B$10))))))</f>
        <v>2</v>
      </c>
      <c r="F176" s="23">
        <f>IF(D176="major",Parameters!$B$14,IF(D176="medium",Parameters!$B$15,Parameters!$B$16))</f>
        <v>2</v>
      </c>
      <c r="G176" s="16">
        <f t="shared" si="5"/>
        <v>0</v>
      </c>
      <c r="H176" s="24">
        <f>Parameters!$B$20^(G176-1)</f>
        <v>1.4285714285714286</v>
      </c>
      <c r="I176" s="18">
        <f t="shared" si="6"/>
        <v>5.7142857142857144</v>
      </c>
    </row>
    <row r="177" spans="1:9" ht="13.15" x14ac:dyDescent="0.35">
      <c r="A177" s="21">
        <v>176</v>
      </c>
      <c r="B177" s="16">
        <f>'Data DEEPSEEK'!B177</f>
        <v>9</v>
      </c>
      <c r="C177" s="22" t="str">
        <f>'Data DEEPSEEK'!F177</f>
        <v>piece_relations</v>
      </c>
      <c r="D177" s="16" t="str">
        <f>LOWER(TRIM('Data DEEPSEEK'!H177))</f>
        <v>minor</v>
      </c>
      <c r="E177" s="23">
        <f>IF(ISNUMBER(SEARCH("move_legality",C177)),Parameters!$B$4,IF(ISNUMBER(SEARCH("piece_placement",C177)),Parameters!$B$5,IF(ISNUMBER(SEARCH("material",C177)),Parameters!$B$6,IF(ISNUMBER(SEARCH("piece_relations",C177)),Parameters!$B$7,IF(ISNUMBER(SEARCH("geometry",C177)),Parameters!$B$8,IF(ISNUMBER(SEARCH("reasoning",C177)),Parameters!$B$9,Parameters!$B$10))))))</f>
        <v>4</v>
      </c>
      <c r="F177" s="23">
        <f>IF(D177="major",Parameters!$B$14,IF(D177="medium",Parameters!$B$15,Parameters!$B$16))</f>
        <v>1</v>
      </c>
      <c r="G177" s="16">
        <f t="shared" si="5"/>
        <v>0</v>
      </c>
      <c r="H177" s="24">
        <f>Parameters!$B$20^(G177-1)</f>
        <v>1.4285714285714286</v>
      </c>
      <c r="I177" s="18">
        <f t="shared" si="6"/>
        <v>5.7142857142857144</v>
      </c>
    </row>
    <row r="178" spans="1:9" ht="13.15" x14ac:dyDescent="0.35">
      <c r="A178" s="21">
        <v>177</v>
      </c>
      <c r="B178" s="16">
        <f>'Data DEEPSEEK'!B178</f>
        <v>9</v>
      </c>
      <c r="C178" s="22" t="str">
        <f>'Data DEEPSEEK'!F178</f>
        <v>piece_placement</v>
      </c>
      <c r="D178" s="16" t="str">
        <f>LOWER(TRIM('Data DEEPSEEK'!H178))</f>
        <v>major</v>
      </c>
      <c r="E178" s="23">
        <f>IF(ISNUMBER(SEARCH("move_legality",C178)),Parameters!$B$4,IF(ISNUMBER(SEARCH("piece_placement",C178)),Parameters!$B$5,IF(ISNUMBER(SEARCH("material",C178)),Parameters!$B$6,IF(ISNUMBER(SEARCH("piece_relations",C178)),Parameters!$B$7,IF(ISNUMBER(SEARCH("geometry",C178)),Parameters!$B$8,IF(ISNUMBER(SEARCH("reasoning",C178)),Parameters!$B$9,Parameters!$B$10))))))</f>
        <v>6</v>
      </c>
      <c r="F178" s="23">
        <f>IF(D178="major",Parameters!$B$14,IF(D178="medium",Parameters!$B$15,Parameters!$B$16))</f>
        <v>3</v>
      </c>
      <c r="G178" s="16">
        <f t="shared" si="5"/>
        <v>0</v>
      </c>
      <c r="H178" s="24">
        <f>Parameters!$B$20^(G178-1)</f>
        <v>1.4285714285714286</v>
      </c>
      <c r="I178" s="18">
        <f t="shared" si="6"/>
        <v>25.714285714285715</v>
      </c>
    </row>
    <row r="179" spans="1:9" ht="13.15" x14ac:dyDescent="0.35">
      <c r="A179" s="21">
        <v>178</v>
      </c>
      <c r="B179" s="16">
        <f>'Data DEEPSEEK'!B179</f>
        <v>9</v>
      </c>
      <c r="C179" s="22" t="str">
        <f>'Data DEEPSEEK'!F179</f>
        <v>reasoning</v>
      </c>
      <c r="D179" s="16" t="str">
        <f>LOWER(TRIM('Data DEEPSEEK'!H179))</f>
        <v>major</v>
      </c>
      <c r="E179" s="23">
        <f>IF(ISNUMBER(SEARCH("move_legality",C179)),Parameters!$B$4,IF(ISNUMBER(SEARCH("piece_placement",C179)),Parameters!$B$5,IF(ISNUMBER(SEARCH("material",C179)),Parameters!$B$6,IF(ISNUMBER(SEARCH("piece_relations",C179)),Parameters!$B$7,IF(ISNUMBER(SEARCH("geometry",C179)),Parameters!$B$8,IF(ISNUMBER(SEARCH("reasoning",C179)),Parameters!$B$9,Parameters!$B$10))))))</f>
        <v>2</v>
      </c>
      <c r="F179" s="23">
        <f>IF(D179="major",Parameters!$B$14,IF(D179="medium",Parameters!$B$15,Parameters!$B$16))</f>
        <v>3</v>
      </c>
      <c r="G179" s="16">
        <f t="shared" si="5"/>
        <v>0</v>
      </c>
      <c r="H179" s="24">
        <f>Parameters!$B$20^(G179-1)</f>
        <v>1.4285714285714286</v>
      </c>
      <c r="I179" s="18">
        <f t="shared" si="6"/>
        <v>8.5714285714285712</v>
      </c>
    </row>
    <row r="180" spans="1:9" ht="13.15" x14ac:dyDescent="0.35">
      <c r="A180" s="21">
        <v>179</v>
      </c>
      <c r="B180" s="16">
        <f>'Data DEEPSEEK'!B180</f>
        <v>9</v>
      </c>
      <c r="C180" s="22" t="str">
        <f>'Data DEEPSEEK'!F180</f>
        <v>move_legality</v>
      </c>
      <c r="D180" s="16" t="str">
        <f>LOWER(TRIM('Data DEEPSEEK'!H180))</f>
        <v>major</v>
      </c>
      <c r="E180" s="23">
        <f>IF(ISNUMBER(SEARCH("move_legality",C180)),Parameters!$B$4,IF(ISNUMBER(SEARCH("piece_placement",C180)),Parameters!$B$5,IF(ISNUMBER(SEARCH("material",C180)),Parameters!$B$6,IF(ISNUMBER(SEARCH("piece_relations",C180)),Parameters!$B$7,IF(ISNUMBER(SEARCH("geometry",C180)),Parameters!$B$8,IF(ISNUMBER(SEARCH("reasoning",C180)),Parameters!$B$9,Parameters!$B$10))))))</f>
        <v>8</v>
      </c>
      <c r="F180" s="23">
        <f>IF(D180="major",Parameters!$B$14,IF(D180="medium",Parameters!$B$15,Parameters!$B$16))</f>
        <v>3</v>
      </c>
      <c r="G180" s="16">
        <f t="shared" si="5"/>
        <v>0</v>
      </c>
      <c r="H180" s="24">
        <f>Parameters!$B$20^(G180-1)</f>
        <v>1.4285714285714286</v>
      </c>
      <c r="I180" s="18">
        <f t="shared" si="6"/>
        <v>34.285714285714285</v>
      </c>
    </row>
    <row r="181" spans="1:9" ht="13.15" x14ac:dyDescent="0.35">
      <c r="A181" s="21">
        <v>180</v>
      </c>
      <c r="B181" s="16">
        <f>'Data DEEPSEEK'!B181</f>
        <v>9</v>
      </c>
      <c r="C181" s="22" t="str">
        <f>'Data DEEPSEEK'!F181</f>
        <v>reasoning</v>
      </c>
      <c r="D181" s="16" t="str">
        <f>LOWER(TRIM('Data DEEPSEEK'!H181))</f>
        <v>major</v>
      </c>
      <c r="E181" s="23">
        <f>IF(ISNUMBER(SEARCH("move_legality",C181)),Parameters!$B$4,IF(ISNUMBER(SEARCH("piece_placement",C181)),Parameters!$B$5,IF(ISNUMBER(SEARCH("material",C181)),Parameters!$B$6,IF(ISNUMBER(SEARCH("piece_relations",C181)),Parameters!$B$7,IF(ISNUMBER(SEARCH("geometry",C181)),Parameters!$B$8,IF(ISNUMBER(SEARCH("reasoning",C181)),Parameters!$B$9,Parameters!$B$10))))))</f>
        <v>2</v>
      </c>
      <c r="F181" s="23">
        <f>IF(D181="major",Parameters!$B$14,IF(D181="medium",Parameters!$B$15,Parameters!$B$16))</f>
        <v>3</v>
      </c>
      <c r="G181" s="16">
        <f t="shared" si="5"/>
        <v>0</v>
      </c>
      <c r="H181" s="24">
        <f>Parameters!$B$20^(G181-1)</f>
        <v>1.4285714285714286</v>
      </c>
      <c r="I181" s="18">
        <f t="shared" si="6"/>
        <v>8.5714285714285712</v>
      </c>
    </row>
    <row r="182" spans="1:9" ht="13.15" x14ac:dyDescent="0.35">
      <c r="A182" s="21">
        <v>181</v>
      </c>
      <c r="B182" s="16">
        <f>'Data DEEPSEEK'!B182</f>
        <v>9</v>
      </c>
      <c r="C182" s="22" t="str">
        <f>'Data DEEPSEEK'!F182</f>
        <v>reasoning</v>
      </c>
      <c r="D182" s="16" t="str">
        <f>LOWER(TRIM('Data DEEPSEEK'!H182))</f>
        <v>medium</v>
      </c>
      <c r="E182" s="23">
        <f>IF(ISNUMBER(SEARCH("move_legality",C182)),Parameters!$B$4,IF(ISNUMBER(SEARCH("piece_placement",C182)),Parameters!$B$5,IF(ISNUMBER(SEARCH("material",C182)),Parameters!$B$6,IF(ISNUMBER(SEARCH("piece_relations",C182)),Parameters!$B$7,IF(ISNUMBER(SEARCH("geometry",C182)),Parameters!$B$8,IF(ISNUMBER(SEARCH("reasoning",C182)),Parameters!$B$9,Parameters!$B$10))))))</f>
        <v>2</v>
      </c>
      <c r="F182" s="23">
        <f>IF(D182="major",Parameters!$B$14,IF(D182="medium",Parameters!$B$15,Parameters!$B$16))</f>
        <v>2</v>
      </c>
      <c r="G182" s="16">
        <f t="shared" si="5"/>
        <v>0</v>
      </c>
      <c r="H182" s="24">
        <f>Parameters!$B$20^(G182-1)</f>
        <v>1.4285714285714286</v>
      </c>
      <c r="I182" s="18">
        <f t="shared" si="6"/>
        <v>5.7142857142857144</v>
      </c>
    </row>
    <row r="183" spans="1:9" ht="13.15" x14ac:dyDescent="0.35">
      <c r="A183" s="21">
        <v>182</v>
      </c>
      <c r="B183" s="16">
        <f>'Data DEEPSEEK'!B183</f>
        <v>9</v>
      </c>
      <c r="C183" s="22" t="str">
        <f>'Data DEEPSEEK'!F183</f>
        <v>reasoning</v>
      </c>
      <c r="D183" s="16" t="str">
        <f>LOWER(TRIM('Data DEEPSEEK'!H183))</f>
        <v>medium</v>
      </c>
      <c r="E183" s="23">
        <f>IF(ISNUMBER(SEARCH("move_legality",C183)),Parameters!$B$4,IF(ISNUMBER(SEARCH("piece_placement",C183)),Parameters!$B$5,IF(ISNUMBER(SEARCH("material",C183)),Parameters!$B$6,IF(ISNUMBER(SEARCH("piece_relations",C183)),Parameters!$B$7,IF(ISNUMBER(SEARCH("geometry",C183)),Parameters!$B$8,IF(ISNUMBER(SEARCH("reasoning",C183)),Parameters!$B$9,Parameters!$B$10))))))</f>
        <v>2</v>
      </c>
      <c r="F183" s="23">
        <f>IF(D183="major",Parameters!$B$14,IF(D183="medium",Parameters!$B$15,Parameters!$B$16))</f>
        <v>2</v>
      </c>
      <c r="G183" s="16">
        <f t="shared" si="5"/>
        <v>0</v>
      </c>
      <c r="H183" s="24">
        <f>Parameters!$B$20^(G183-1)</f>
        <v>1.4285714285714286</v>
      </c>
      <c r="I183" s="18">
        <f t="shared" si="6"/>
        <v>5.7142857142857144</v>
      </c>
    </row>
    <row r="184" spans="1:9" ht="13.15" x14ac:dyDescent="0.35">
      <c r="A184" s="21">
        <v>183</v>
      </c>
      <c r="B184" s="16">
        <f>'Data DEEPSEEK'!B184</f>
        <v>9</v>
      </c>
      <c r="C184" s="22" t="str">
        <f>'Data DEEPSEEK'!F184</f>
        <v>reasoning</v>
      </c>
      <c r="D184" s="16" t="str">
        <f>LOWER(TRIM('Data DEEPSEEK'!H184))</f>
        <v>major</v>
      </c>
      <c r="E184" s="23">
        <f>IF(ISNUMBER(SEARCH("move_legality",C184)),Parameters!$B$4,IF(ISNUMBER(SEARCH("piece_placement",C184)),Parameters!$B$5,IF(ISNUMBER(SEARCH("material",C184)),Parameters!$B$6,IF(ISNUMBER(SEARCH("piece_relations",C184)),Parameters!$B$7,IF(ISNUMBER(SEARCH("geometry",C184)),Parameters!$B$8,IF(ISNUMBER(SEARCH("reasoning",C184)),Parameters!$B$9,Parameters!$B$10))))))</f>
        <v>2</v>
      </c>
      <c r="F184" s="23">
        <f>IF(D184="major",Parameters!$B$14,IF(D184="medium",Parameters!$B$15,Parameters!$B$16))</f>
        <v>3</v>
      </c>
      <c r="G184" s="16">
        <f t="shared" si="5"/>
        <v>0</v>
      </c>
      <c r="H184" s="24">
        <f>Parameters!$B$20^(G184-1)</f>
        <v>1.4285714285714286</v>
      </c>
      <c r="I184" s="18">
        <f t="shared" si="6"/>
        <v>8.5714285714285712</v>
      </c>
    </row>
    <row r="185" spans="1:9" ht="13.15" x14ac:dyDescent="0.35">
      <c r="A185" s="21">
        <v>184</v>
      </c>
      <c r="B185" s="16">
        <f>'Data DEEPSEEK'!B185</f>
        <v>9</v>
      </c>
      <c r="C185" s="22" t="str">
        <f>'Data DEEPSEEK'!F185</f>
        <v>reasoning</v>
      </c>
      <c r="D185" s="16" t="str">
        <f>LOWER(TRIM('Data DEEPSEEK'!H185))</f>
        <v>medium</v>
      </c>
      <c r="E185" s="23">
        <f>IF(ISNUMBER(SEARCH("move_legality",C185)),Parameters!$B$4,IF(ISNUMBER(SEARCH("piece_placement",C185)),Parameters!$B$5,IF(ISNUMBER(SEARCH("material",C185)),Parameters!$B$6,IF(ISNUMBER(SEARCH("piece_relations",C185)),Parameters!$B$7,IF(ISNUMBER(SEARCH("geometry",C185)),Parameters!$B$8,IF(ISNUMBER(SEARCH("reasoning",C185)),Parameters!$B$9,Parameters!$B$10))))))</f>
        <v>2</v>
      </c>
      <c r="F185" s="23">
        <f>IF(D185="major",Parameters!$B$14,IF(D185="medium",Parameters!$B$15,Parameters!$B$16))</f>
        <v>2</v>
      </c>
      <c r="G185" s="16">
        <f t="shared" si="5"/>
        <v>0</v>
      </c>
      <c r="H185" s="24">
        <f>Parameters!$B$20^(G185-1)</f>
        <v>1.4285714285714286</v>
      </c>
      <c r="I185" s="18">
        <f t="shared" si="6"/>
        <v>5.7142857142857144</v>
      </c>
    </row>
    <row r="186" spans="1:9" ht="13.15" x14ac:dyDescent="0.35">
      <c r="A186" s="21">
        <v>185</v>
      </c>
      <c r="B186" s="16">
        <f>'Data DEEPSEEK'!B186</f>
        <v>9</v>
      </c>
      <c r="C186" s="22" t="str">
        <f>'Data DEEPSEEK'!F186</f>
        <v>piece_placement</v>
      </c>
      <c r="D186" s="16" t="str">
        <f>LOWER(TRIM('Data DEEPSEEK'!H186))</f>
        <v>major</v>
      </c>
      <c r="E186" s="23">
        <f>IF(ISNUMBER(SEARCH("move_legality",C186)),Parameters!$B$4,IF(ISNUMBER(SEARCH("piece_placement",C186)),Parameters!$B$5,IF(ISNUMBER(SEARCH("material",C186)),Parameters!$B$6,IF(ISNUMBER(SEARCH("piece_relations",C186)),Parameters!$B$7,IF(ISNUMBER(SEARCH("geometry",C186)),Parameters!$B$8,IF(ISNUMBER(SEARCH("reasoning",C186)),Parameters!$B$9,Parameters!$B$10))))))</f>
        <v>6</v>
      </c>
      <c r="F186" s="23">
        <f>IF(D186="major",Parameters!$B$14,IF(D186="medium",Parameters!$B$15,Parameters!$B$16))</f>
        <v>3</v>
      </c>
      <c r="G186" s="16">
        <f t="shared" si="5"/>
        <v>0</v>
      </c>
      <c r="H186" s="24">
        <f>Parameters!$B$20^(G186-1)</f>
        <v>1.4285714285714286</v>
      </c>
      <c r="I186" s="18">
        <f t="shared" si="6"/>
        <v>25.714285714285715</v>
      </c>
    </row>
    <row r="187" spans="1:9" ht="13.15" x14ac:dyDescent="0.35">
      <c r="A187" s="21">
        <v>186</v>
      </c>
      <c r="B187" s="16">
        <f>'Data DEEPSEEK'!B187</f>
        <v>9</v>
      </c>
      <c r="C187" s="22" t="str">
        <f>'Data DEEPSEEK'!F187</f>
        <v>move_legality</v>
      </c>
      <c r="D187" s="16" t="str">
        <f>LOWER(TRIM('Data DEEPSEEK'!H187))</f>
        <v>major</v>
      </c>
      <c r="E187" s="23">
        <f>IF(ISNUMBER(SEARCH("move_legality",C187)),Parameters!$B$4,IF(ISNUMBER(SEARCH("piece_placement",C187)),Parameters!$B$5,IF(ISNUMBER(SEARCH("material",C187)),Parameters!$B$6,IF(ISNUMBER(SEARCH("piece_relations",C187)),Parameters!$B$7,IF(ISNUMBER(SEARCH("geometry",C187)),Parameters!$B$8,IF(ISNUMBER(SEARCH("reasoning",C187)),Parameters!$B$9,Parameters!$B$10))))))</f>
        <v>8</v>
      </c>
      <c r="F187" s="23">
        <f>IF(D187="major",Parameters!$B$14,IF(D187="medium",Parameters!$B$15,Parameters!$B$16))</f>
        <v>3</v>
      </c>
      <c r="G187" s="16">
        <f t="shared" si="5"/>
        <v>0</v>
      </c>
      <c r="H187" s="24">
        <f>Parameters!$B$20^(G187-1)</f>
        <v>1.4285714285714286</v>
      </c>
      <c r="I187" s="18">
        <f t="shared" si="6"/>
        <v>34.285714285714285</v>
      </c>
    </row>
    <row r="188" spans="1:9" ht="13.15" x14ac:dyDescent="0.35">
      <c r="A188" s="21">
        <v>187</v>
      </c>
      <c r="B188" s="16">
        <f>'Data DEEPSEEK'!B188</f>
        <v>9</v>
      </c>
      <c r="C188" s="22" t="str">
        <f>'Data DEEPSEEK'!F188</f>
        <v>reasoning</v>
      </c>
      <c r="D188" s="16" t="str">
        <f>LOWER(TRIM('Data DEEPSEEK'!H188))</f>
        <v>major</v>
      </c>
      <c r="E188" s="23">
        <f>IF(ISNUMBER(SEARCH("move_legality",C188)),Parameters!$B$4,IF(ISNUMBER(SEARCH("piece_placement",C188)),Parameters!$B$5,IF(ISNUMBER(SEARCH("material",C188)),Parameters!$B$6,IF(ISNUMBER(SEARCH("piece_relations",C188)),Parameters!$B$7,IF(ISNUMBER(SEARCH("geometry",C188)),Parameters!$B$8,IF(ISNUMBER(SEARCH("reasoning",C188)),Parameters!$B$9,Parameters!$B$10))))))</f>
        <v>2</v>
      </c>
      <c r="F188" s="23">
        <f>IF(D188="major",Parameters!$B$14,IF(D188="medium",Parameters!$B$15,Parameters!$B$16))</f>
        <v>3</v>
      </c>
      <c r="G188" s="16">
        <f t="shared" si="5"/>
        <v>0</v>
      </c>
      <c r="H188" s="24">
        <f>Parameters!$B$20^(G188-1)</f>
        <v>1.4285714285714286</v>
      </c>
      <c r="I188" s="18">
        <f t="shared" si="6"/>
        <v>8.5714285714285712</v>
      </c>
    </row>
    <row r="189" spans="1:9" ht="13.15" x14ac:dyDescent="0.35">
      <c r="A189" s="21">
        <v>188</v>
      </c>
      <c r="B189" s="16">
        <f>'Data DEEPSEEK'!B189</f>
        <v>9</v>
      </c>
      <c r="C189" s="22" t="str">
        <f>'Data DEEPSEEK'!F189</f>
        <v>reasoning</v>
      </c>
      <c r="D189" s="16" t="str">
        <f>LOWER(TRIM('Data DEEPSEEK'!H189))</f>
        <v>major</v>
      </c>
      <c r="E189" s="23">
        <f>IF(ISNUMBER(SEARCH("move_legality",C189)),Parameters!$B$4,IF(ISNUMBER(SEARCH("piece_placement",C189)),Parameters!$B$5,IF(ISNUMBER(SEARCH("material",C189)),Parameters!$B$6,IF(ISNUMBER(SEARCH("piece_relations",C189)),Parameters!$B$7,IF(ISNUMBER(SEARCH("geometry",C189)),Parameters!$B$8,IF(ISNUMBER(SEARCH("reasoning",C189)),Parameters!$B$9,Parameters!$B$10))))))</f>
        <v>2</v>
      </c>
      <c r="F189" s="23">
        <f>IF(D189="major",Parameters!$B$14,IF(D189="medium",Parameters!$B$15,Parameters!$B$16))</f>
        <v>3</v>
      </c>
      <c r="G189" s="16">
        <f t="shared" si="5"/>
        <v>0</v>
      </c>
      <c r="H189" s="24">
        <f>Parameters!$B$20^(G189-1)</f>
        <v>1.4285714285714286</v>
      </c>
      <c r="I189" s="18">
        <f t="shared" si="6"/>
        <v>8.5714285714285712</v>
      </c>
    </row>
    <row r="190" spans="1:9" ht="13.15" x14ac:dyDescent="0.35">
      <c r="A190" s="21">
        <v>189</v>
      </c>
      <c r="B190" s="16">
        <f>'Data DEEPSEEK'!B190</f>
        <v>9</v>
      </c>
      <c r="C190" s="22" t="str">
        <f>'Data DEEPSEEK'!F190</f>
        <v>reasoning</v>
      </c>
      <c r="D190" s="16" t="str">
        <f>LOWER(TRIM('Data DEEPSEEK'!H190))</f>
        <v>major</v>
      </c>
      <c r="E190" s="23">
        <f>IF(ISNUMBER(SEARCH("move_legality",C190)),Parameters!$B$4,IF(ISNUMBER(SEARCH("piece_placement",C190)),Parameters!$B$5,IF(ISNUMBER(SEARCH("material",C190)),Parameters!$B$6,IF(ISNUMBER(SEARCH("piece_relations",C190)),Parameters!$B$7,IF(ISNUMBER(SEARCH("geometry",C190)),Parameters!$B$8,IF(ISNUMBER(SEARCH("reasoning",C190)),Parameters!$B$9,Parameters!$B$10))))))</f>
        <v>2</v>
      </c>
      <c r="F190" s="23">
        <f>IF(D190="major",Parameters!$B$14,IF(D190="medium",Parameters!$B$15,Parameters!$B$16))</f>
        <v>3</v>
      </c>
      <c r="G190" s="16">
        <f t="shared" si="5"/>
        <v>0</v>
      </c>
      <c r="H190" s="24">
        <f>Parameters!$B$20^(G190-1)</f>
        <v>1.4285714285714286</v>
      </c>
      <c r="I190" s="18">
        <f t="shared" si="6"/>
        <v>8.5714285714285712</v>
      </c>
    </row>
    <row r="191" spans="1:9" ht="13.15" x14ac:dyDescent="0.35">
      <c r="A191" s="21">
        <v>190</v>
      </c>
      <c r="B191" s="16">
        <f>'Data DEEPSEEK'!B191</f>
        <v>10</v>
      </c>
      <c r="C191" s="22" t="str">
        <f>'Data DEEPSEEK'!F191</f>
        <v>geometry</v>
      </c>
      <c r="D191" s="16" t="str">
        <f>LOWER(TRIM('Data DEEPSEEK'!H191))</f>
        <v>minor</v>
      </c>
      <c r="E191" s="23">
        <f>IF(ISNUMBER(SEARCH("move_legality",C191)),Parameters!$B$4,IF(ISNUMBER(SEARCH("piece_placement",C191)),Parameters!$B$5,IF(ISNUMBER(SEARCH("material",C191)),Parameters!$B$6,IF(ISNUMBER(SEARCH("piece_relations",C191)),Parameters!$B$7,IF(ISNUMBER(SEARCH("geometry",C191)),Parameters!$B$8,IF(ISNUMBER(SEARCH("reasoning",C191)),Parameters!$B$9,Parameters!$B$10))))))</f>
        <v>3</v>
      </c>
      <c r="F191" s="23">
        <f>IF(D191="major",Parameters!$B$14,IF(D191="medium",Parameters!$B$15,Parameters!$B$16))</f>
        <v>1</v>
      </c>
      <c r="G191" s="16">
        <f t="shared" si="5"/>
        <v>0</v>
      </c>
      <c r="H191" s="24">
        <f>Parameters!$B$20^(G191-1)</f>
        <v>1.4285714285714286</v>
      </c>
      <c r="I191" s="18">
        <f t="shared" si="6"/>
        <v>4.2857142857142856</v>
      </c>
    </row>
    <row r="192" spans="1:9" ht="13.15" x14ac:dyDescent="0.35">
      <c r="A192" s="21">
        <v>191</v>
      </c>
      <c r="B192" s="16">
        <f>'Data DEEPSEEK'!B192</f>
        <v>10</v>
      </c>
      <c r="C192" s="22" t="str">
        <f>'Data DEEPSEEK'!F192</f>
        <v>reasoning</v>
      </c>
      <c r="D192" s="16" t="str">
        <f>LOWER(TRIM('Data DEEPSEEK'!H192))</f>
        <v>medium</v>
      </c>
      <c r="E192" s="23">
        <f>IF(ISNUMBER(SEARCH("move_legality",C192)),Parameters!$B$4,IF(ISNUMBER(SEARCH("piece_placement",C192)),Parameters!$B$5,IF(ISNUMBER(SEARCH("material",C192)),Parameters!$B$6,IF(ISNUMBER(SEARCH("piece_relations",C192)),Parameters!$B$7,IF(ISNUMBER(SEARCH("geometry",C192)),Parameters!$B$8,IF(ISNUMBER(SEARCH("reasoning",C192)),Parameters!$B$9,Parameters!$B$10))))))</f>
        <v>2</v>
      </c>
      <c r="F192" s="23">
        <f>IF(D192="major",Parameters!$B$14,IF(D192="medium",Parameters!$B$15,Parameters!$B$16))</f>
        <v>2</v>
      </c>
      <c r="G192" s="16">
        <f t="shared" si="5"/>
        <v>0</v>
      </c>
      <c r="H192" s="24">
        <f>Parameters!$B$20^(G192-1)</f>
        <v>1.4285714285714286</v>
      </c>
      <c r="I192" s="18">
        <f t="shared" si="6"/>
        <v>5.7142857142857144</v>
      </c>
    </row>
    <row r="193" spans="1:9" ht="13.15" x14ac:dyDescent="0.35">
      <c r="A193" s="21">
        <v>192</v>
      </c>
      <c r="B193" s="16">
        <f>'Data DEEPSEEK'!B193</f>
        <v>10</v>
      </c>
      <c r="C193" s="22" t="str">
        <f>'Data DEEPSEEK'!F193</f>
        <v>piece_relations</v>
      </c>
      <c r="D193" s="16" t="str">
        <f>LOWER(TRIM('Data DEEPSEEK'!H193))</f>
        <v>major</v>
      </c>
      <c r="E193" s="23">
        <f>IF(ISNUMBER(SEARCH("move_legality",C193)),Parameters!$B$4,IF(ISNUMBER(SEARCH("piece_placement",C193)),Parameters!$B$5,IF(ISNUMBER(SEARCH("material",C193)),Parameters!$B$6,IF(ISNUMBER(SEARCH("piece_relations",C193)),Parameters!$B$7,IF(ISNUMBER(SEARCH("geometry",C193)),Parameters!$B$8,IF(ISNUMBER(SEARCH("reasoning",C193)),Parameters!$B$9,Parameters!$B$10))))))</f>
        <v>4</v>
      </c>
      <c r="F193" s="23">
        <f>IF(D193="major",Parameters!$B$14,IF(D193="medium",Parameters!$B$15,Parameters!$B$16))</f>
        <v>3</v>
      </c>
      <c r="G193" s="16">
        <f t="shared" si="5"/>
        <v>0</v>
      </c>
      <c r="H193" s="24">
        <f>Parameters!$B$20^(G193-1)</f>
        <v>1.4285714285714286</v>
      </c>
      <c r="I193" s="18">
        <f t="shared" si="6"/>
        <v>17.142857142857142</v>
      </c>
    </row>
    <row r="194" spans="1:9" ht="13.15" x14ac:dyDescent="0.35">
      <c r="A194" s="21">
        <v>193</v>
      </c>
      <c r="B194" s="16">
        <f>'Data DEEPSEEK'!B194</f>
        <v>10</v>
      </c>
      <c r="C194" s="22" t="str">
        <f>'Data DEEPSEEK'!F194</f>
        <v>piece_relations</v>
      </c>
      <c r="D194" s="16" t="str">
        <f>LOWER(TRIM('Data DEEPSEEK'!H194))</f>
        <v>medium</v>
      </c>
      <c r="E194" s="23">
        <f>IF(ISNUMBER(SEARCH("move_legality",C194)),Parameters!$B$4,IF(ISNUMBER(SEARCH("piece_placement",C194)),Parameters!$B$5,IF(ISNUMBER(SEARCH("material",C194)),Parameters!$B$6,IF(ISNUMBER(SEARCH("piece_relations",C194)),Parameters!$B$7,IF(ISNUMBER(SEARCH("geometry",C194)),Parameters!$B$8,IF(ISNUMBER(SEARCH("reasoning",C194)),Parameters!$B$9,Parameters!$B$10))))))</f>
        <v>4</v>
      </c>
      <c r="F194" s="23">
        <f>IF(D194="major",Parameters!$B$14,IF(D194="medium",Parameters!$B$15,Parameters!$B$16))</f>
        <v>2</v>
      </c>
      <c r="G194" s="16">
        <f t="shared" si="5"/>
        <v>0</v>
      </c>
      <c r="H194" s="24">
        <f>Parameters!$B$20^(G194-1)</f>
        <v>1.4285714285714286</v>
      </c>
      <c r="I194" s="18">
        <f t="shared" si="6"/>
        <v>11.428571428571429</v>
      </c>
    </row>
    <row r="195" spans="1:9" ht="13.15" x14ac:dyDescent="0.35">
      <c r="A195" s="21">
        <v>194</v>
      </c>
      <c r="B195" s="16">
        <f>'Data DEEPSEEK'!B195</f>
        <v>10</v>
      </c>
      <c r="C195" s="22" t="str">
        <f>'Data DEEPSEEK'!F195</f>
        <v>move_legality</v>
      </c>
      <c r="D195" s="16" t="str">
        <f>LOWER(TRIM('Data DEEPSEEK'!H195))</f>
        <v>major</v>
      </c>
      <c r="E195" s="23">
        <f>IF(ISNUMBER(SEARCH("move_legality",C195)),Parameters!$B$4,IF(ISNUMBER(SEARCH("piece_placement",C195)),Parameters!$B$5,IF(ISNUMBER(SEARCH("material",C195)),Parameters!$B$6,IF(ISNUMBER(SEARCH("piece_relations",C195)),Parameters!$B$7,IF(ISNUMBER(SEARCH("geometry",C195)),Parameters!$B$8,IF(ISNUMBER(SEARCH("reasoning",C195)),Parameters!$B$9,Parameters!$B$10))))))</f>
        <v>8</v>
      </c>
      <c r="F195" s="23">
        <f>IF(D195="major",Parameters!$B$14,IF(D195="medium",Parameters!$B$15,Parameters!$B$16))</f>
        <v>3</v>
      </c>
      <c r="G195" s="16">
        <f t="shared" ref="G195:G258" si="7">COUNTIFS($B$2:$B$12,B195,$C$2:$C$12,C195,$F$2:$F$12,"&gt;"&amp;F195)+COUNTIFS($B$2:$B$12,B195,$C$2:$C$12,C195,$F$2:$F$12,F195,$A$2:$A$12,"&lt;="&amp;A195)</f>
        <v>0</v>
      </c>
      <c r="H195" s="24">
        <f>Parameters!$B$20^(G195-1)</f>
        <v>1.4285714285714286</v>
      </c>
      <c r="I195" s="18">
        <f t="shared" ref="I195:I258" si="8">E195*F195*H195</f>
        <v>34.285714285714285</v>
      </c>
    </row>
    <row r="196" spans="1:9" ht="13.15" x14ac:dyDescent="0.35">
      <c r="A196" s="21">
        <v>195</v>
      </c>
      <c r="B196" s="16">
        <f>'Data DEEPSEEK'!B196</f>
        <v>11</v>
      </c>
      <c r="C196" s="22" t="str">
        <f>'Data DEEPSEEK'!F196</f>
        <v>piece_relations</v>
      </c>
      <c r="D196" s="16" t="str">
        <f>LOWER(TRIM('Data DEEPSEEK'!H196))</f>
        <v>major</v>
      </c>
      <c r="E196" s="23">
        <f>IF(ISNUMBER(SEARCH("move_legality",C196)),Parameters!$B$4,IF(ISNUMBER(SEARCH("piece_placement",C196)),Parameters!$B$5,IF(ISNUMBER(SEARCH("material",C196)),Parameters!$B$6,IF(ISNUMBER(SEARCH("piece_relations",C196)),Parameters!$B$7,IF(ISNUMBER(SEARCH("geometry",C196)),Parameters!$B$8,IF(ISNUMBER(SEARCH("reasoning",C196)),Parameters!$B$9,Parameters!$B$10))))))</f>
        <v>4</v>
      </c>
      <c r="F196" s="23">
        <f>IF(D196="major",Parameters!$B$14,IF(D196="medium",Parameters!$B$15,Parameters!$B$16))</f>
        <v>3</v>
      </c>
      <c r="G196" s="16">
        <f t="shared" si="7"/>
        <v>0</v>
      </c>
      <c r="H196" s="24">
        <f>Parameters!$B$20^(G196-1)</f>
        <v>1.4285714285714286</v>
      </c>
      <c r="I196" s="18">
        <f t="shared" si="8"/>
        <v>17.142857142857142</v>
      </c>
    </row>
    <row r="197" spans="1:9" ht="13.15" x14ac:dyDescent="0.35">
      <c r="A197" s="21">
        <v>196</v>
      </c>
      <c r="B197" s="16">
        <f>'Data DEEPSEEK'!B197</f>
        <v>11</v>
      </c>
      <c r="C197" s="22" t="str">
        <f>'Data DEEPSEEK'!F197</f>
        <v>piece_relations</v>
      </c>
      <c r="D197" s="16" t="str">
        <f>LOWER(TRIM('Data DEEPSEEK'!H197))</f>
        <v>major</v>
      </c>
      <c r="E197" s="23">
        <f>IF(ISNUMBER(SEARCH("move_legality",C197)),Parameters!$B$4,IF(ISNUMBER(SEARCH("piece_placement",C197)),Parameters!$B$5,IF(ISNUMBER(SEARCH("material",C197)),Parameters!$B$6,IF(ISNUMBER(SEARCH("piece_relations",C197)),Parameters!$B$7,IF(ISNUMBER(SEARCH("geometry",C197)),Parameters!$B$8,IF(ISNUMBER(SEARCH("reasoning",C197)),Parameters!$B$9,Parameters!$B$10))))))</f>
        <v>4</v>
      </c>
      <c r="F197" s="23">
        <f>IF(D197="major",Parameters!$B$14,IF(D197="medium",Parameters!$B$15,Parameters!$B$16))</f>
        <v>3</v>
      </c>
      <c r="G197" s="16">
        <f t="shared" si="7"/>
        <v>0</v>
      </c>
      <c r="H197" s="24">
        <f>Parameters!$B$20^(G197-1)</f>
        <v>1.4285714285714286</v>
      </c>
      <c r="I197" s="18">
        <f t="shared" si="8"/>
        <v>17.142857142857142</v>
      </c>
    </row>
    <row r="198" spans="1:9" ht="13.15" x14ac:dyDescent="0.35">
      <c r="A198" s="21">
        <v>197</v>
      </c>
      <c r="B198" s="16">
        <f>'Data DEEPSEEK'!B198</f>
        <v>11</v>
      </c>
      <c r="C198" s="22" t="str">
        <f>'Data DEEPSEEK'!F198</f>
        <v>geometry</v>
      </c>
      <c r="D198" s="16" t="str">
        <f>LOWER(TRIM('Data DEEPSEEK'!H198))</f>
        <v>major</v>
      </c>
      <c r="E198" s="23">
        <f>IF(ISNUMBER(SEARCH("move_legality",C198)),Parameters!$B$4,IF(ISNUMBER(SEARCH("piece_placement",C198)),Parameters!$B$5,IF(ISNUMBER(SEARCH("material",C198)),Parameters!$B$6,IF(ISNUMBER(SEARCH("piece_relations",C198)),Parameters!$B$7,IF(ISNUMBER(SEARCH("geometry",C198)),Parameters!$B$8,IF(ISNUMBER(SEARCH("reasoning",C198)),Parameters!$B$9,Parameters!$B$10))))))</f>
        <v>3</v>
      </c>
      <c r="F198" s="23">
        <f>IF(D198="major",Parameters!$B$14,IF(D198="medium",Parameters!$B$15,Parameters!$B$16))</f>
        <v>3</v>
      </c>
      <c r="G198" s="16">
        <f t="shared" si="7"/>
        <v>0</v>
      </c>
      <c r="H198" s="24">
        <f>Parameters!$B$20^(G198-1)</f>
        <v>1.4285714285714286</v>
      </c>
      <c r="I198" s="18">
        <f t="shared" si="8"/>
        <v>12.857142857142858</v>
      </c>
    </row>
    <row r="199" spans="1:9" ht="13.15" x14ac:dyDescent="0.35">
      <c r="A199" s="21">
        <v>198</v>
      </c>
      <c r="B199" s="16">
        <f>'Data DEEPSEEK'!B199</f>
        <v>11</v>
      </c>
      <c r="C199" s="22" t="str">
        <f>'Data DEEPSEEK'!F199</f>
        <v>piece_relations</v>
      </c>
      <c r="D199" s="16" t="str">
        <f>LOWER(TRIM('Data DEEPSEEK'!H199))</f>
        <v>major</v>
      </c>
      <c r="E199" s="23">
        <f>IF(ISNUMBER(SEARCH("move_legality",C199)),Parameters!$B$4,IF(ISNUMBER(SEARCH("piece_placement",C199)),Parameters!$B$5,IF(ISNUMBER(SEARCH("material",C199)),Parameters!$B$6,IF(ISNUMBER(SEARCH("piece_relations",C199)),Parameters!$B$7,IF(ISNUMBER(SEARCH("geometry",C199)),Parameters!$B$8,IF(ISNUMBER(SEARCH("reasoning",C199)),Parameters!$B$9,Parameters!$B$10))))))</f>
        <v>4</v>
      </c>
      <c r="F199" s="23">
        <f>IF(D199="major",Parameters!$B$14,IF(D199="medium",Parameters!$B$15,Parameters!$B$16))</f>
        <v>3</v>
      </c>
      <c r="G199" s="16">
        <f t="shared" si="7"/>
        <v>0</v>
      </c>
      <c r="H199" s="24">
        <f>Parameters!$B$20^(G199-1)</f>
        <v>1.4285714285714286</v>
      </c>
      <c r="I199" s="18">
        <f t="shared" si="8"/>
        <v>17.142857142857142</v>
      </c>
    </row>
    <row r="200" spans="1:9" ht="13.15" x14ac:dyDescent="0.35">
      <c r="A200" s="21">
        <v>199</v>
      </c>
      <c r="B200" s="16">
        <f>'Data DEEPSEEK'!B200</f>
        <v>11</v>
      </c>
      <c r="C200" s="22" t="str">
        <f>'Data DEEPSEEK'!F200</f>
        <v>move_legality</v>
      </c>
      <c r="D200" s="16" t="str">
        <f>LOWER(TRIM('Data DEEPSEEK'!H200))</f>
        <v>major</v>
      </c>
      <c r="E200" s="23">
        <f>IF(ISNUMBER(SEARCH("move_legality",C200)),Parameters!$B$4,IF(ISNUMBER(SEARCH("piece_placement",C200)),Parameters!$B$5,IF(ISNUMBER(SEARCH("material",C200)),Parameters!$B$6,IF(ISNUMBER(SEARCH("piece_relations",C200)),Parameters!$B$7,IF(ISNUMBER(SEARCH("geometry",C200)),Parameters!$B$8,IF(ISNUMBER(SEARCH("reasoning",C200)),Parameters!$B$9,Parameters!$B$10))))))</f>
        <v>8</v>
      </c>
      <c r="F200" s="23">
        <f>IF(D200="major",Parameters!$B$14,IF(D200="medium",Parameters!$B$15,Parameters!$B$16))</f>
        <v>3</v>
      </c>
      <c r="G200" s="16">
        <f t="shared" si="7"/>
        <v>0</v>
      </c>
      <c r="H200" s="24">
        <f>Parameters!$B$20^(G200-1)</f>
        <v>1.4285714285714286</v>
      </c>
      <c r="I200" s="18">
        <f t="shared" si="8"/>
        <v>34.285714285714285</v>
      </c>
    </row>
    <row r="201" spans="1:9" ht="13.15" x14ac:dyDescent="0.35">
      <c r="A201" s="21">
        <v>200</v>
      </c>
      <c r="B201" s="16">
        <f>'Data DEEPSEEK'!B201</f>
        <v>11</v>
      </c>
      <c r="C201" s="22" t="str">
        <f>'Data DEEPSEEK'!F201</f>
        <v>piece_relations</v>
      </c>
      <c r="D201" s="16" t="str">
        <f>LOWER(TRIM('Data DEEPSEEK'!H201))</f>
        <v>major</v>
      </c>
      <c r="E201" s="23">
        <f>IF(ISNUMBER(SEARCH("move_legality",C201)),Parameters!$B$4,IF(ISNUMBER(SEARCH("piece_placement",C201)),Parameters!$B$5,IF(ISNUMBER(SEARCH("material",C201)),Parameters!$B$6,IF(ISNUMBER(SEARCH("piece_relations",C201)),Parameters!$B$7,IF(ISNUMBER(SEARCH("geometry",C201)),Parameters!$B$8,IF(ISNUMBER(SEARCH("reasoning",C201)),Parameters!$B$9,Parameters!$B$10))))))</f>
        <v>4</v>
      </c>
      <c r="F201" s="23">
        <f>IF(D201="major",Parameters!$B$14,IF(D201="medium",Parameters!$B$15,Parameters!$B$16))</f>
        <v>3</v>
      </c>
      <c r="G201" s="16">
        <f t="shared" si="7"/>
        <v>0</v>
      </c>
      <c r="H201" s="24">
        <f>Parameters!$B$20^(G201-1)</f>
        <v>1.4285714285714286</v>
      </c>
      <c r="I201" s="18">
        <f t="shared" si="8"/>
        <v>17.142857142857142</v>
      </c>
    </row>
    <row r="202" spans="1:9" ht="13.15" x14ac:dyDescent="0.35">
      <c r="A202" s="21">
        <v>201</v>
      </c>
      <c r="B202" s="16">
        <f>'Data DEEPSEEK'!B202</f>
        <v>11</v>
      </c>
      <c r="C202" s="22" t="str">
        <f>'Data DEEPSEEK'!F202</f>
        <v>piece_relations</v>
      </c>
      <c r="D202" s="16" t="str">
        <f>LOWER(TRIM('Data DEEPSEEK'!H202))</f>
        <v>major</v>
      </c>
      <c r="E202" s="23">
        <f>IF(ISNUMBER(SEARCH("move_legality",C202)),Parameters!$B$4,IF(ISNUMBER(SEARCH("piece_placement",C202)),Parameters!$B$5,IF(ISNUMBER(SEARCH("material",C202)),Parameters!$B$6,IF(ISNUMBER(SEARCH("piece_relations",C202)),Parameters!$B$7,IF(ISNUMBER(SEARCH("geometry",C202)),Parameters!$B$8,IF(ISNUMBER(SEARCH("reasoning",C202)),Parameters!$B$9,Parameters!$B$10))))))</f>
        <v>4</v>
      </c>
      <c r="F202" s="23">
        <f>IF(D202="major",Parameters!$B$14,IF(D202="medium",Parameters!$B$15,Parameters!$B$16))</f>
        <v>3</v>
      </c>
      <c r="G202" s="16">
        <f t="shared" si="7"/>
        <v>0</v>
      </c>
      <c r="H202" s="24">
        <f>Parameters!$B$20^(G202-1)</f>
        <v>1.4285714285714286</v>
      </c>
      <c r="I202" s="18">
        <f t="shared" si="8"/>
        <v>17.142857142857142</v>
      </c>
    </row>
    <row r="203" spans="1:9" ht="13.15" x14ac:dyDescent="0.35">
      <c r="A203" s="21">
        <v>202</v>
      </c>
      <c r="B203" s="16">
        <f>'Data DEEPSEEK'!B203</f>
        <v>11</v>
      </c>
      <c r="C203" s="22" t="str">
        <f>'Data DEEPSEEK'!F203</f>
        <v>reasoning</v>
      </c>
      <c r="D203" s="16" t="str">
        <f>LOWER(TRIM('Data DEEPSEEK'!H203))</f>
        <v>medium</v>
      </c>
      <c r="E203" s="23">
        <f>IF(ISNUMBER(SEARCH("move_legality",C203)),Parameters!$B$4,IF(ISNUMBER(SEARCH("piece_placement",C203)),Parameters!$B$5,IF(ISNUMBER(SEARCH("material",C203)),Parameters!$B$6,IF(ISNUMBER(SEARCH("piece_relations",C203)),Parameters!$B$7,IF(ISNUMBER(SEARCH("geometry",C203)),Parameters!$B$8,IF(ISNUMBER(SEARCH("reasoning",C203)),Parameters!$B$9,Parameters!$B$10))))))</f>
        <v>2</v>
      </c>
      <c r="F203" s="23">
        <f>IF(D203="major",Parameters!$B$14,IF(D203="medium",Parameters!$B$15,Parameters!$B$16))</f>
        <v>2</v>
      </c>
      <c r="G203" s="16">
        <f t="shared" si="7"/>
        <v>0</v>
      </c>
      <c r="H203" s="24">
        <f>Parameters!$B$20^(G203-1)</f>
        <v>1.4285714285714286</v>
      </c>
      <c r="I203" s="18">
        <f t="shared" si="8"/>
        <v>5.7142857142857144</v>
      </c>
    </row>
    <row r="204" spans="1:9" ht="13.15" x14ac:dyDescent="0.35">
      <c r="A204" s="21">
        <v>203</v>
      </c>
      <c r="B204" s="16">
        <f>'Data DEEPSEEK'!B204</f>
        <v>11</v>
      </c>
      <c r="C204" s="22" t="str">
        <f>'Data DEEPSEEK'!F204</f>
        <v>move_legality</v>
      </c>
      <c r="D204" s="16" t="str">
        <f>LOWER(TRIM('Data DEEPSEEK'!H204))</f>
        <v>major</v>
      </c>
      <c r="E204" s="23">
        <f>IF(ISNUMBER(SEARCH("move_legality",C204)),Parameters!$B$4,IF(ISNUMBER(SEARCH("piece_placement",C204)),Parameters!$B$5,IF(ISNUMBER(SEARCH("material",C204)),Parameters!$B$6,IF(ISNUMBER(SEARCH("piece_relations",C204)),Parameters!$B$7,IF(ISNUMBER(SEARCH("geometry",C204)),Parameters!$B$8,IF(ISNUMBER(SEARCH("reasoning",C204)),Parameters!$B$9,Parameters!$B$10))))))</f>
        <v>8</v>
      </c>
      <c r="F204" s="23">
        <f>IF(D204="major",Parameters!$B$14,IF(D204="medium",Parameters!$B$15,Parameters!$B$16))</f>
        <v>3</v>
      </c>
      <c r="G204" s="16">
        <f t="shared" si="7"/>
        <v>0</v>
      </c>
      <c r="H204" s="24">
        <f>Parameters!$B$20^(G204-1)</f>
        <v>1.4285714285714286</v>
      </c>
      <c r="I204" s="18">
        <f t="shared" si="8"/>
        <v>34.285714285714285</v>
      </c>
    </row>
    <row r="205" spans="1:9" ht="13.15" x14ac:dyDescent="0.35">
      <c r="A205" s="21">
        <v>204</v>
      </c>
      <c r="B205" s="16">
        <f>'Data DEEPSEEK'!B205</f>
        <v>11</v>
      </c>
      <c r="C205" s="22" t="str">
        <f>'Data DEEPSEEK'!F205</f>
        <v>piece_relations</v>
      </c>
      <c r="D205" s="16" t="str">
        <f>LOWER(TRIM('Data DEEPSEEK'!H205))</f>
        <v>minor</v>
      </c>
      <c r="E205" s="23">
        <f>IF(ISNUMBER(SEARCH("move_legality",C205)),Parameters!$B$4,IF(ISNUMBER(SEARCH("piece_placement",C205)),Parameters!$B$5,IF(ISNUMBER(SEARCH("material",C205)),Parameters!$B$6,IF(ISNUMBER(SEARCH("piece_relations",C205)),Parameters!$B$7,IF(ISNUMBER(SEARCH("geometry",C205)),Parameters!$B$8,IF(ISNUMBER(SEARCH("reasoning",C205)),Parameters!$B$9,Parameters!$B$10))))))</f>
        <v>4</v>
      </c>
      <c r="F205" s="23">
        <f>IF(D205="major",Parameters!$B$14,IF(D205="medium",Parameters!$B$15,Parameters!$B$16))</f>
        <v>1</v>
      </c>
      <c r="G205" s="16">
        <f t="shared" si="7"/>
        <v>0</v>
      </c>
      <c r="H205" s="24">
        <f>Parameters!$B$20^(G205-1)</f>
        <v>1.4285714285714286</v>
      </c>
      <c r="I205" s="18">
        <f t="shared" si="8"/>
        <v>5.7142857142857144</v>
      </c>
    </row>
    <row r="206" spans="1:9" ht="13.15" x14ac:dyDescent="0.35">
      <c r="A206" s="21">
        <v>205</v>
      </c>
      <c r="B206" s="16">
        <f>'Data DEEPSEEK'!B206</f>
        <v>11</v>
      </c>
      <c r="C206" s="22" t="str">
        <f>'Data DEEPSEEK'!F206</f>
        <v>reasoning</v>
      </c>
      <c r="D206" s="16" t="str">
        <f>LOWER(TRIM('Data DEEPSEEK'!H206))</f>
        <v>medium</v>
      </c>
      <c r="E206" s="23">
        <f>IF(ISNUMBER(SEARCH("move_legality",C206)),Parameters!$B$4,IF(ISNUMBER(SEARCH("piece_placement",C206)),Parameters!$B$5,IF(ISNUMBER(SEARCH("material",C206)),Parameters!$B$6,IF(ISNUMBER(SEARCH("piece_relations",C206)),Parameters!$B$7,IF(ISNUMBER(SEARCH("geometry",C206)),Parameters!$B$8,IF(ISNUMBER(SEARCH("reasoning",C206)),Parameters!$B$9,Parameters!$B$10))))))</f>
        <v>2</v>
      </c>
      <c r="F206" s="23">
        <f>IF(D206="major",Parameters!$B$14,IF(D206="medium",Parameters!$B$15,Parameters!$B$16))</f>
        <v>2</v>
      </c>
      <c r="G206" s="16">
        <f t="shared" si="7"/>
        <v>0</v>
      </c>
      <c r="H206" s="24">
        <f>Parameters!$B$20^(G206-1)</f>
        <v>1.4285714285714286</v>
      </c>
      <c r="I206" s="18">
        <f t="shared" si="8"/>
        <v>5.7142857142857144</v>
      </c>
    </row>
    <row r="207" spans="1:9" ht="13.15" x14ac:dyDescent="0.35">
      <c r="A207" s="21">
        <v>206</v>
      </c>
      <c r="B207" s="16">
        <f>'Data DEEPSEEK'!B207</f>
        <v>11</v>
      </c>
      <c r="C207" s="22" t="str">
        <f>'Data DEEPSEEK'!F207</f>
        <v>piece_relations</v>
      </c>
      <c r="D207" s="16" t="str">
        <f>LOWER(TRIM('Data DEEPSEEK'!H207))</f>
        <v>major</v>
      </c>
      <c r="E207" s="23">
        <f>IF(ISNUMBER(SEARCH("move_legality",C207)),Parameters!$B$4,IF(ISNUMBER(SEARCH("piece_placement",C207)),Parameters!$B$5,IF(ISNUMBER(SEARCH("material",C207)),Parameters!$B$6,IF(ISNUMBER(SEARCH("piece_relations",C207)),Parameters!$B$7,IF(ISNUMBER(SEARCH("geometry",C207)),Parameters!$B$8,IF(ISNUMBER(SEARCH("reasoning",C207)),Parameters!$B$9,Parameters!$B$10))))))</f>
        <v>4</v>
      </c>
      <c r="F207" s="23">
        <f>IF(D207="major",Parameters!$B$14,IF(D207="medium",Parameters!$B$15,Parameters!$B$16))</f>
        <v>3</v>
      </c>
      <c r="G207" s="16">
        <f t="shared" si="7"/>
        <v>0</v>
      </c>
      <c r="H207" s="24">
        <f>Parameters!$B$20^(G207-1)</f>
        <v>1.4285714285714286</v>
      </c>
      <c r="I207" s="18">
        <f t="shared" si="8"/>
        <v>17.142857142857142</v>
      </c>
    </row>
    <row r="208" spans="1:9" ht="13.15" x14ac:dyDescent="0.35">
      <c r="A208" s="21">
        <v>207</v>
      </c>
      <c r="B208" s="16">
        <f>'Data DEEPSEEK'!B208</f>
        <v>11</v>
      </c>
      <c r="C208" s="22" t="str">
        <f>'Data DEEPSEEK'!F208</f>
        <v>piece_relations</v>
      </c>
      <c r="D208" s="16" t="str">
        <f>LOWER(TRIM('Data DEEPSEEK'!H208))</f>
        <v>major</v>
      </c>
      <c r="E208" s="23">
        <f>IF(ISNUMBER(SEARCH("move_legality",C208)),Parameters!$B$4,IF(ISNUMBER(SEARCH("piece_placement",C208)),Parameters!$B$5,IF(ISNUMBER(SEARCH("material",C208)),Parameters!$B$6,IF(ISNUMBER(SEARCH("piece_relations",C208)),Parameters!$B$7,IF(ISNUMBER(SEARCH("geometry",C208)),Parameters!$B$8,IF(ISNUMBER(SEARCH("reasoning",C208)),Parameters!$B$9,Parameters!$B$10))))))</f>
        <v>4</v>
      </c>
      <c r="F208" s="23">
        <f>IF(D208="major",Parameters!$B$14,IF(D208="medium",Parameters!$B$15,Parameters!$B$16))</f>
        <v>3</v>
      </c>
      <c r="G208" s="16">
        <f t="shared" si="7"/>
        <v>0</v>
      </c>
      <c r="H208" s="24">
        <f>Parameters!$B$20^(G208-1)</f>
        <v>1.4285714285714286</v>
      </c>
      <c r="I208" s="18">
        <f t="shared" si="8"/>
        <v>17.142857142857142</v>
      </c>
    </row>
    <row r="209" spans="1:9" ht="13.15" x14ac:dyDescent="0.35">
      <c r="A209" s="21">
        <v>208</v>
      </c>
      <c r="B209" s="16">
        <f>'Data DEEPSEEK'!B209</f>
        <v>11</v>
      </c>
      <c r="C209" s="22" t="str">
        <f>'Data DEEPSEEK'!F209</f>
        <v>reasoning</v>
      </c>
      <c r="D209" s="16" t="str">
        <f>LOWER(TRIM('Data DEEPSEEK'!H209))</f>
        <v>major</v>
      </c>
      <c r="E209" s="23">
        <f>IF(ISNUMBER(SEARCH("move_legality",C209)),Parameters!$B$4,IF(ISNUMBER(SEARCH("piece_placement",C209)),Parameters!$B$5,IF(ISNUMBER(SEARCH("material",C209)),Parameters!$B$6,IF(ISNUMBER(SEARCH("piece_relations",C209)),Parameters!$B$7,IF(ISNUMBER(SEARCH("geometry",C209)),Parameters!$B$8,IF(ISNUMBER(SEARCH("reasoning",C209)),Parameters!$B$9,Parameters!$B$10))))))</f>
        <v>2</v>
      </c>
      <c r="F209" s="23">
        <f>IF(D209="major",Parameters!$B$14,IF(D209="medium",Parameters!$B$15,Parameters!$B$16))</f>
        <v>3</v>
      </c>
      <c r="G209" s="16">
        <f t="shared" si="7"/>
        <v>0</v>
      </c>
      <c r="H209" s="24">
        <f>Parameters!$B$20^(G209-1)</f>
        <v>1.4285714285714286</v>
      </c>
      <c r="I209" s="18">
        <f t="shared" si="8"/>
        <v>8.5714285714285712</v>
      </c>
    </row>
    <row r="210" spans="1:9" ht="13.15" x14ac:dyDescent="0.35">
      <c r="A210" s="21">
        <v>209</v>
      </c>
      <c r="B210" s="16">
        <f>'Data DEEPSEEK'!B210</f>
        <v>11</v>
      </c>
      <c r="C210" s="22" t="str">
        <f>'Data DEEPSEEK'!F210</f>
        <v>piece_relations</v>
      </c>
      <c r="D210" s="16" t="str">
        <f>LOWER(TRIM('Data DEEPSEEK'!H210))</f>
        <v>major</v>
      </c>
      <c r="E210" s="23">
        <f>IF(ISNUMBER(SEARCH("move_legality",C210)),Parameters!$B$4,IF(ISNUMBER(SEARCH("piece_placement",C210)),Parameters!$B$5,IF(ISNUMBER(SEARCH("material",C210)),Parameters!$B$6,IF(ISNUMBER(SEARCH("piece_relations",C210)),Parameters!$B$7,IF(ISNUMBER(SEARCH("geometry",C210)),Parameters!$B$8,IF(ISNUMBER(SEARCH("reasoning",C210)),Parameters!$B$9,Parameters!$B$10))))))</f>
        <v>4</v>
      </c>
      <c r="F210" s="23">
        <f>IF(D210="major",Parameters!$B$14,IF(D210="medium",Parameters!$B$15,Parameters!$B$16))</f>
        <v>3</v>
      </c>
      <c r="G210" s="16">
        <f t="shared" si="7"/>
        <v>0</v>
      </c>
      <c r="H210" s="24">
        <f>Parameters!$B$20^(G210-1)</f>
        <v>1.4285714285714286</v>
      </c>
      <c r="I210" s="18">
        <f t="shared" si="8"/>
        <v>17.142857142857142</v>
      </c>
    </row>
    <row r="211" spans="1:9" ht="13.15" x14ac:dyDescent="0.35">
      <c r="A211" s="21">
        <v>210</v>
      </c>
      <c r="B211" s="16">
        <f>'Data DEEPSEEK'!B211</f>
        <v>11</v>
      </c>
      <c r="C211" s="22" t="str">
        <f>'Data DEEPSEEK'!F211</f>
        <v>material</v>
      </c>
      <c r="D211" s="16" t="str">
        <f>LOWER(TRIM('Data DEEPSEEK'!H211))</f>
        <v>minor</v>
      </c>
      <c r="E211" s="23">
        <f>IF(ISNUMBER(SEARCH("move_legality",C211)),Parameters!$B$4,IF(ISNUMBER(SEARCH("piece_placement",C211)),Parameters!$B$5,IF(ISNUMBER(SEARCH("material",C211)),Parameters!$B$6,IF(ISNUMBER(SEARCH("piece_relations",C211)),Parameters!$B$7,IF(ISNUMBER(SEARCH("geometry",C211)),Parameters!$B$8,IF(ISNUMBER(SEARCH("reasoning",C211)),Parameters!$B$9,Parameters!$B$10))))))</f>
        <v>5</v>
      </c>
      <c r="F211" s="23">
        <f>IF(D211="major",Parameters!$B$14,IF(D211="medium",Parameters!$B$15,Parameters!$B$16))</f>
        <v>1</v>
      </c>
      <c r="G211" s="16">
        <f t="shared" si="7"/>
        <v>0</v>
      </c>
      <c r="H211" s="24">
        <f>Parameters!$B$20^(G211-1)</f>
        <v>1.4285714285714286</v>
      </c>
      <c r="I211" s="18">
        <f t="shared" si="8"/>
        <v>7.1428571428571432</v>
      </c>
    </row>
    <row r="212" spans="1:9" ht="13.15" x14ac:dyDescent="0.35">
      <c r="A212" s="21">
        <v>211</v>
      </c>
      <c r="B212" s="16">
        <f>'Data DEEPSEEK'!B212</f>
        <v>11</v>
      </c>
      <c r="C212" s="22" t="str">
        <f>'Data DEEPSEEK'!F212</f>
        <v>reasoning</v>
      </c>
      <c r="D212" s="16" t="str">
        <f>LOWER(TRIM('Data DEEPSEEK'!H212))</f>
        <v>major</v>
      </c>
      <c r="E212" s="23">
        <f>IF(ISNUMBER(SEARCH("move_legality",C212)),Parameters!$B$4,IF(ISNUMBER(SEARCH("piece_placement",C212)),Parameters!$B$5,IF(ISNUMBER(SEARCH("material",C212)),Parameters!$B$6,IF(ISNUMBER(SEARCH("piece_relations",C212)),Parameters!$B$7,IF(ISNUMBER(SEARCH("geometry",C212)),Parameters!$B$8,IF(ISNUMBER(SEARCH("reasoning",C212)),Parameters!$B$9,Parameters!$B$10))))))</f>
        <v>2</v>
      </c>
      <c r="F212" s="23">
        <f>IF(D212="major",Parameters!$B$14,IF(D212="medium",Parameters!$B$15,Parameters!$B$16))</f>
        <v>3</v>
      </c>
      <c r="G212" s="16">
        <f t="shared" si="7"/>
        <v>0</v>
      </c>
      <c r="H212" s="24">
        <f>Parameters!$B$20^(G212-1)</f>
        <v>1.4285714285714286</v>
      </c>
      <c r="I212" s="18">
        <f t="shared" si="8"/>
        <v>8.5714285714285712</v>
      </c>
    </row>
    <row r="213" spans="1:9" ht="13.15" x14ac:dyDescent="0.35">
      <c r="A213" s="21">
        <v>212</v>
      </c>
      <c r="B213" s="16">
        <f>'Data DEEPSEEK'!B213</f>
        <v>11</v>
      </c>
      <c r="C213" s="22" t="str">
        <f>'Data DEEPSEEK'!F213</f>
        <v>reasoning</v>
      </c>
      <c r="D213" s="16" t="str">
        <f>LOWER(TRIM('Data DEEPSEEK'!H213))</f>
        <v>major</v>
      </c>
      <c r="E213" s="23">
        <f>IF(ISNUMBER(SEARCH("move_legality",C213)),Parameters!$B$4,IF(ISNUMBER(SEARCH("piece_placement",C213)),Parameters!$B$5,IF(ISNUMBER(SEARCH("material",C213)),Parameters!$B$6,IF(ISNUMBER(SEARCH("piece_relations",C213)),Parameters!$B$7,IF(ISNUMBER(SEARCH("geometry",C213)),Parameters!$B$8,IF(ISNUMBER(SEARCH("reasoning",C213)),Parameters!$B$9,Parameters!$B$10))))))</f>
        <v>2</v>
      </c>
      <c r="F213" s="23">
        <f>IF(D213="major",Parameters!$B$14,IF(D213="medium",Parameters!$B$15,Parameters!$B$16))</f>
        <v>3</v>
      </c>
      <c r="G213" s="16">
        <f t="shared" si="7"/>
        <v>0</v>
      </c>
      <c r="H213" s="24">
        <f>Parameters!$B$20^(G213-1)</f>
        <v>1.4285714285714286</v>
      </c>
      <c r="I213" s="18">
        <f t="shared" si="8"/>
        <v>8.5714285714285712</v>
      </c>
    </row>
    <row r="214" spans="1:9" ht="13.15" x14ac:dyDescent="0.35">
      <c r="A214" s="21">
        <v>213</v>
      </c>
      <c r="B214" s="16">
        <f>'Data DEEPSEEK'!B214</f>
        <v>11</v>
      </c>
      <c r="C214" s="22" t="str">
        <f>'Data DEEPSEEK'!F214</f>
        <v>piece_relations</v>
      </c>
      <c r="D214" s="16" t="str">
        <f>LOWER(TRIM('Data DEEPSEEK'!H214))</f>
        <v>major</v>
      </c>
      <c r="E214" s="23">
        <f>IF(ISNUMBER(SEARCH("move_legality",C214)),Parameters!$B$4,IF(ISNUMBER(SEARCH("piece_placement",C214)),Parameters!$B$5,IF(ISNUMBER(SEARCH("material",C214)),Parameters!$B$6,IF(ISNUMBER(SEARCH("piece_relations",C214)),Parameters!$B$7,IF(ISNUMBER(SEARCH("geometry",C214)),Parameters!$B$8,IF(ISNUMBER(SEARCH("reasoning",C214)),Parameters!$B$9,Parameters!$B$10))))))</f>
        <v>4</v>
      </c>
      <c r="F214" s="23">
        <f>IF(D214="major",Parameters!$B$14,IF(D214="medium",Parameters!$B$15,Parameters!$B$16))</f>
        <v>3</v>
      </c>
      <c r="G214" s="16">
        <f t="shared" si="7"/>
        <v>0</v>
      </c>
      <c r="H214" s="24">
        <f>Parameters!$B$20^(G214-1)</f>
        <v>1.4285714285714286</v>
      </c>
      <c r="I214" s="18">
        <f t="shared" si="8"/>
        <v>17.142857142857142</v>
      </c>
    </row>
    <row r="215" spans="1:9" ht="13.15" x14ac:dyDescent="0.35">
      <c r="A215" s="21">
        <v>214</v>
      </c>
      <c r="B215" s="16">
        <f>'Data DEEPSEEK'!B215</f>
        <v>11</v>
      </c>
      <c r="C215" s="22" t="str">
        <f>'Data DEEPSEEK'!F215</f>
        <v>reasoning</v>
      </c>
      <c r="D215" s="16" t="str">
        <f>LOWER(TRIM('Data DEEPSEEK'!H215))</f>
        <v>major</v>
      </c>
      <c r="E215" s="23">
        <f>IF(ISNUMBER(SEARCH("move_legality",C215)),Parameters!$B$4,IF(ISNUMBER(SEARCH("piece_placement",C215)),Parameters!$B$5,IF(ISNUMBER(SEARCH("material",C215)),Parameters!$B$6,IF(ISNUMBER(SEARCH("piece_relations",C215)),Parameters!$B$7,IF(ISNUMBER(SEARCH("geometry",C215)),Parameters!$B$8,IF(ISNUMBER(SEARCH("reasoning",C215)),Parameters!$B$9,Parameters!$B$10))))))</f>
        <v>2</v>
      </c>
      <c r="F215" s="23">
        <f>IF(D215="major",Parameters!$B$14,IF(D215="medium",Parameters!$B$15,Parameters!$B$16))</f>
        <v>3</v>
      </c>
      <c r="G215" s="16">
        <f t="shared" si="7"/>
        <v>0</v>
      </c>
      <c r="H215" s="24">
        <f>Parameters!$B$20^(G215-1)</f>
        <v>1.4285714285714286</v>
      </c>
      <c r="I215" s="18">
        <f t="shared" si="8"/>
        <v>8.5714285714285712</v>
      </c>
    </row>
    <row r="216" spans="1:9" ht="13.15" x14ac:dyDescent="0.35">
      <c r="A216" s="21">
        <v>215</v>
      </c>
      <c r="B216" s="16">
        <f>'Data DEEPSEEK'!B216</f>
        <v>12</v>
      </c>
      <c r="C216" s="22" t="str">
        <f>'Data DEEPSEEK'!F216</f>
        <v>reasoning</v>
      </c>
      <c r="D216" s="16" t="str">
        <f>LOWER(TRIM('Data DEEPSEEK'!H216))</f>
        <v>medium</v>
      </c>
      <c r="E216" s="23">
        <f>IF(ISNUMBER(SEARCH("move_legality",C216)),Parameters!$B$4,IF(ISNUMBER(SEARCH("piece_placement",C216)),Parameters!$B$5,IF(ISNUMBER(SEARCH("material",C216)),Parameters!$B$6,IF(ISNUMBER(SEARCH("piece_relations",C216)),Parameters!$B$7,IF(ISNUMBER(SEARCH("geometry",C216)),Parameters!$B$8,IF(ISNUMBER(SEARCH("reasoning",C216)),Parameters!$B$9,Parameters!$B$10))))))</f>
        <v>2</v>
      </c>
      <c r="F216" s="23">
        <f>IF(D216="major",Parameters!$B$14,IF(D216="medium",Parameters!$B$15,Parameters!$B$16))</f>
        <v>2</v>
      </c>
      <c r="G216" s="16">
        <f t="shared" si="7"/>
        <v>0</v>
      </c>
      <c r="H216" s="24">
        <f>Parameters!$B$20^(G216-1)</f>
        <v>1.4285714285714286</v>
      </c>
      <c r="I216" s="18">
        <f t="shared" si="8"/>
        <v>5.7142857142857144</v>
      </c>
    </row>
    <row r="217" spans="1:9" ht="13.15" x14ac:dyDescent="0.35">
      <c r="A217" s="21">
        <v>216</v>
      </c>
      <c r="B217" s="16">
        <f>'Data DEEPSEEK'!B217</f>
        <v>12</v>
      </c>
      <c r="C217" s="22" t="str">
        <f>'Data DEEPSEEK'!F217</f>
        <v>reasoning</v>
      </c>
      <c r="D217" s="16" t="str">
        <f>LOWER(TRIM('Data DEEPSEEK'!H217))</f>
        <v>major</v>
      </c>
      <c r="E217" s="23">
        <f>IF(ISNUMBER(SEARCH("move_legality",C217)),Parameters!$B$4,IF(ISNUMBER(SEARCH("piece_placement",C217)),Parameters!$B$5,IF(ISNUMBER(SEARCH("material",C217)),Parameters!$B$6,IF(ISNUMBER(SEARCH("piece_relations",C217)),Parameters!$B$7,IF(ISNUMBER(SEARCH("geometry",C217)),Parameters!$B$8,IF(ISNUMBER(SEARCH("reasoning",C217)),Parameters!$B$9,Parameters!$B$10))))))</f>
        <v>2</v>
      </c>
      <c r="F217" s="23">
        <f>IF(D217="major",Parameters!$B$14,IF(D217="medium",Parameters!$B$15,Parameters!$B$16))</f>
        <v>3</v>
      </c>
      <c r="G217" s="16">
        <f t="shared" si="7"/>
        <v>0</v>
      </c>
      <c r="H217" s="24">
        <f>Parameters!$B$20^(G217-1)</f>
        <v>1.4285714285714286</v>
      </c>
      <c r="I217" s="18">
        <f t="shared" si="8"/>
        <v>8.5714285714285712</v>
      </c>
    </row>
    <row r="218" spans="1:9" ht="13.15" x14ac:dyDescent="0.35">
      <c r="A218" s="21">
        <v>217</v>
      </c>
      <c r="B218" s="16">
        <f>'Data DEEPSEEK'!B218</f>
        <v>12</v>
      </c>
      <c r="C218" s="22" t="str">
        <f>'Data DEEPSEEK'!F218</f>
        <v>piece_relations</v>
      </c>
      <c r="D218" s="16" t="str">
        <f>LOWER(TRIM('Data DEEPSEEK'!H218))</f>
        <v>major</v>
      </c>
      <c r="E218" s="23">
        <f>IF(ISNUMBER(SEARCH("move_legality",C218)),Parameters!$B$4,IF(ISNUMBER(SEARCH("piece_placement",C218)),Parameters!$B$5,IF(ISNUMBER(SEARCH("material",C218)),Parameters!$B$6,IF(ISNUMBER(SEARCH("piece_relations",C218)),Parameters!$B$7,IF(ISNUMBER(SEARCH("geometry",C218)),Parameters!$B$8,IF(ISNUMBER(SEARCH("reasoning",C218)),Parameters!$B$9,Parameters!$B$10))))))</f>
        <v>4</v>
      </c>
      <c r="F218" s="23">
        <f>IF(D218="major",Parameters!$B$14,IF(D218="medium",Parameters!$B$15,Parameters!$B$16))</f>
        <v>3</v>
      </c>
      <c r="G218" s="16">
        <f t="shared" si="7"/>
        <v>0</v>
      </c>
      <c r="H218" s="24">
        <f>Parameters!$B$20^(G218-1)</f>
        <v>1.4285714285714286</v>
      </c>
      <c r="I218" s="18">
        <f t="shared" si="8"/>
        <v>17.142857142857142</v>
      </c>
    </row>
    <row r="219" spans="1:9" ht="13.15" x14ac:dyDescent="0.35">
      <c r="A219" s="21">
        <v>218</v>
      </c>
      <c r="B219" s="16">
        <f>'Data DEEPSEEK'!B219</f>
        <v>12</v>
      </c>
      <c r="C219" s="22" t="str">
        <f>'Data DEEPSEEK'!F219</f>
        <v>piece_relations</v>
      </c>
      <c r="D219" s="16" t="str">
        <f>LOWER(TRIM('Data DEEPSEEK'!H219))</f>
        <v>major</v>
      </c>
      <c r="E219" s="23">
        <f>IF(ISNUMBER(SEARCH("move_legality",C219)),Parameters!$B$4,IF(ISNUMBER(SEARCH("piece_placement",C219)),Parameters!$B$5,IF(ISNUMBER(SEARCH("material",C219)),Parameters!$B$6,IF(ISNUMBER(SEARCH("piece_relations",C219)),Parameters!$B$7,IF(ISNUMBER(SEARCH("geometry",C219)),Parameters!$B$8,IF(ISNUMBER(SEARCH("reasoning",C219)),Parameters!$B$9,Parameters!$B$10))))))</f>
        <v>4</v>
      </c>
      <c r="F219" s="23">
        <f>IF(D219="major",Parameters!$B$14,IF(D219="medium",Parameters!$B$15,Parameters!$B$16))</f>
        <v>3</v>
      </c>
      <c r="G219" s="16">
        <f t="shared" si="7"/>
        <v>0</v>
      </c>
      <c r="H219" s="24">
        <f>Parameters!$B$20^(G219-1)</f>
        <v>1.4285714285714286</v>
      </c>
      <c r="I219" s="18">
        <f t="shared" si="8"/>
        <v>17.142857142857142</v>
      </c>
    </row>
    <row r="220" spans="1:9" ht="13.15" x14ac:dyDescent="0.35">
      <c r="A220" s="21">
        <v>219</v>
      </c>
      <c r="B220" s="16">
        <f>'Data DEEPSEEK'!B220</f>
        <v>12</v>
      </c>
      <c r="C220" s="22" t="str">
        <f>'Data DEEPSEEK'!F220</f>
        <v>piece_relations</v>
      </c>
      <c r="D220" s="16" t="str">
        <f>LOWER(TRIM('Data DEEPSEEK'!H220))</f>
        <v>major</v>
      </c>
      <c r="E220" s="23">
        <f>IF(ISNUMBER(SEARCH("move_legality",C220)),Parameters!$B$4,IF(ISNUMBER(SEARCH("piece_placement",C220)),Parameters!$B$5,IF(ISNUMBER(SEARCH("material",C220)),Parameters!$B$6,IF(ISNUMBER(SEARCH("piece_relations",C220)),Parameters!$B$7,IF(ISNUMBER(SEARCH("geometry",C220)),Parameters!$B$8,IF(ISNUMBER(SEARCH("reasoning",C220)),Parameters!$B$9,Parameters!$B$10))))))</f>
        <v>4</v>
      </c>
      <c r="F220" s="23">
        <f>IF(D220="major",Parameters!$B$14,IF(D220="medium",Parameters!$B$15,Parameters!$B$16))</f>
        <v>3</v>
      </c>
      <c r="G220" s="16">
        <f t="shared" si="7"/>
        <v>0</v>
      </c>
      <c r="H220" s="24">
        <f>Parameters!$B$20^(G220-1)</f>
        <v>1.4285714285714286</v>
      </c>
      <c r="I220" s="18">
        <f t="shared" si="8"/>
        <v>17.142857142857142</v>
      </c>
    </row>
    <row r="221" spans="1:9" ht="13.15" x14ac:dyDescent="0.35">
      <c r="A221" s="21">
        <v>220</v>
      </c>
      <c r="B221" s="16">
        <f>'Data DEEPSEEK'!B221</f>
        <v>12</v>
      </c>
      <c r="C221" s="22" t="str">
        <f>'Data DEEPSEEK'!F221</f>
        <v>reasoning</v>
      </c>
      <c r="D221" s="16" t="str">
        <f>LOWER(TRIM('Data DEEPSEEK'!H221))</f>
        <v>major</v>
      </c>
      <c r="E221" s="23">
        <f>IF(ISNUMBER(SEARCH("move_legality",C221)),Parameters!$B$4,IF(ISNUMBER(SEARCH("piece_placement",C221)),Parameters!$B$5,IF(ISNUMBER(SEARCH("material",C221)),Parameters!$B$6,IF(ISNUMBER(SEARCH("piece_relations",C221)),Parameters!$B$7,IF(ISNUMBER(SEARCH("geometry",C221)),Parameters!$B$8,IF(ISNUMBER(SEARCH("reasoning",C221)),Parameters!$B$9,Parameters!$B$10))))))</f>
        <v>2</v>
      </c>
      <c r="F221" s="23">
        <f>IF(D221="major",Parameters!$B$14,IF(D221="medium",Parameters!$B$15,Parameters!$B$16))</f>
        <v>3</v>
      </c>
      <c r="G221" s="16">
        <f t="shared" si="7"/>
        <v>0</v>
      </c>
      <c r="H221" s="24">
        <f>Parameters!$B$20^(G221-1)</f>
        <v>1.4285714285714286</v>
      </c>
      <c r="I221" s="18">
        <f t="shared" si="8"/>
        <v>8.5714285714285712</v>
      </c>
    </row>
    <row r="222" spans="1:9" ht="13.15" x14ac:dyDescent="0.35">
      <c r="A222" s="21">
        <v>221</v>
      </c>
      <c r="B222" s="16">
        <f>'Data DEEPSEEK'!B222</f>
        <v>12</v>
      </c>
      <c r="C222" s="22" t="str">
        <f>'Data DEEPSEEK'!F222</f>
        <v>piece_relations</v>
      </c>
      <c r="D222" s="16" t="str">
        <f>LOWER(TRIM('Data DEEPSEEK'!H222))</f>
        <v>major</v>
      </c>
      <c r="E222" s="23">
        <f>IF(ISNUMBER(SEARCH("move_legality",C222)),Parameters!$B$4,IF(ISNUMBER(SEARCH("piece_placement",C222)),Parameters!$B$5,IF(ISNUMBER(SEARCH("material",C222)),Parameters!$B$6,IF(ISNUMBER(SEARCH("piece_relations",C222)),Parameters!$B$7,IF(ISNUMBER(SEARCH("geometry",C222)),Parameters!$B$8,IF(ISNUMBER(SEARCH("reasoning",C222)),Parameters!$B$9,Parameters!$B$10))))))</f>
        <v>4</v>
      </c>
      <c r="F222" s="23">
        <f>IF(D222="major",Parameters!$B$14,IF(D222="medium",Parameters!$B$15,Parameters!$B$16))</f>
        <v>3</v>
      </c>
      <c r="G222" s="16">
        <f t="shared" si="7"/>
        <v>0</v>
      </c>
      <c r="H222" s="24">
        <f>Parameters!$B$20^(G222-1)</f>
        <v>1.4285714285714286</v>
      </c>
      <c r="I222" s="18">
        <f t="shared" si="8"/>
        <v>17.142857142857142</v>
      </c>
    </row>
    <row r="223" spans="1:9" ht="13.15" x14ac:dyDescent="0.35">
      <c r="A223" s="21">
        <v>222</v>
      </c>
      <c r="B223" s="16">
        <f>'Data DEEPSEEK'!B223</f>
        <v>12</v>
      </c>
      <c r="C223" s="22" t="str">
        <f>'Data DEEPSEEK'!F223</f>
        <v>piece_relations</v>
      </c>
      <c r="D223" s="16" t="str">
        <f>LOWER(TRIM('Data DEEPSEEK'!H223))</f>
        <v>major</v>
      </c>
      <c r="E223" s="23">
        <f>IF(ISNUMBER(SEARCH("move_legality",C223)),Parameters!$B$4,IF(ISNUMBER(SEARCH("piece_placement",C223)),Parameters!$B$5,IF(ISNUMBER(SEARCH("material",C223)),Parameters!$B$6,IF(ISNUMBER(SEARCH("piece_relations",C223)),Parameters!$B$7,IF(ISNUMBER(SEARCH("geometry",C223)),Parameters!$B$8,IF(ISNUMBER(SEARCH("reasoning",C223)),Parameters!$B$9,Parameters!$B$10))))))</f>
        <v>4</v>
      </c>
      <c r="F223" s="23">
        <f>IF(D223="major",Parameters!$B$14,IF(D223="medium",Parameters!$B$15,Parameters!$B$16))</f>
        <v>3</v>
      </c>
      <c r="G223" s="16">
        <f t="shared" si="7"/>
        <v>0</v>
      </c>
      <c r="H223" s="24">
        <f>Parameters!$B$20^(G223-1)</f>
        <v>1.4285714285714286</v>
      </c>
      <c r="I223" s="18">
        <f t="shared" si="8"/>
        <v>17.142857142857142</v>
      </c>
    </row>
    <row r="224" spans="1:9" ht="13.15" x14ac:dyDescent="0.35">
      <c r="A224" s="21">
        <v>223</v>
      </c>
      <c r="B224" s="16">
        <f>'Data DEEPSEEK'!B224</f>
        <v>12</v>
      </c>
      <c r="C224" s="22" t="str">
        <f>'Data DEEPSEEK'!F224</f>
        <v>reasoning</v>
      </c>
      <c r="D224" s="16" t="str">
        <f>LOWER(TRIM('Data DEEPSEEK'!H224))</f>
        <v>medium</v>
      </c>
      <c r="E224" s="23">
        <f>IF(ISNUMBER(SEARCH("move_legality",C224)),Parameters!$B$4,IF(ISNUMBER(SEARCH("piece_placement",C224)),Parameters!$B$5,IF(ISNUMBER(SEARCH("material",C224)),Parameters!$B$6,IF(ISNUMBER(SEARCH("piece_relations",C224)),Parameters!$B$7,IF(ISNUMBER(SEARCH("geometry",C224)),Parameters!$B$8,IF(ISNUMBER(SEARCH("reasoning",C224)),Parameters!$B$9,Parameters!$B$10))))))</f>
        <v>2</v>
      </c>
      <c r="F224" s="23">
        <f>IF(D224="major",Parameters!$B$14,IF(D224="medium",Parameters!$B$15,Parameters!$B$16))</f>
        <v>2</v>
      </c>
      <c r="G224" s="16">
        <f t="shared" si="7"/>
        <v>0</v>
      </c>
      <c r="H224" s="24">
        <f>Parameters!$B$20^(G224-1)</f>
        <v>1.4285714285714286</v>
      </c>
      <c r="I224" s="18">
        <f t="shared" si="8"/>
        <v>5.7142857142857144</v>
      </c>
    </row>
    <row r="225" spans="1:9" ht="13.15" x14ac:dyDescent="0.35">
      <c r="A225" s="21">
        <v>224</v>
      </c>
      <c r="B225" s="16">
        <f>'Data DEEPSEEK'!B225</f>
        <v>12</v>
      </c>
      <c r="C225" s="22" t="str">
        <f>'Data DEEPSEEK'!F225</f>
        <v>piece_relations</v>
      </c>
      <c r="D225" s="16" t="str">
        <f>LOWER(TRIM('Data DEEPSEEK'!H225))</f>
        <v>major</v>
      </c>
      <c r="E225" s="23">
        <f>IF(ISNUMBER(SEARCH("move_legality",C225)),Parameters!$B$4,IF(ISNUMBER(SEARCH("piece_placement",C225)),Parameters!$B$5,IF(ISNUMBER(SEARCH("material",C225)),Parameters!$B$6,IF(ISNUMBER(SEARCH("piece_relations",C225)),Parameters!$B$7,IF(ISNUMBER(SEARCH("geometry",C225)),Parameters!$B$8,IF(ISNUMBER(SEARCH("reasoning",C225)),Parameters!$B$9,Parameters!$B$10))))))</f>
        <v>4</v>
      </c>
      <c r="F225" s="23">
        <f>IF(D225="major",Parameters!$B$14,IF(D225="medium",Parameters!$B$15,Parameters!$B$16))</f>
        <v>3</v>
      </c>
      <c r="G225" s="16">
        <f t="shared" si="7"/>
        <v>0</v>
      </c>
      <c r="H225" s="24">
        <f>Parameters!$B$20^(G225-1)</f>
        <v>1.4285714285714286</v>
      </c>
      <c r="I225" s="18">
        <f t="shared" si="8"/>
        <v>17.142857142857142</v>
      </c>
    </row>
    <row r="226" spans="1:9" ht="13.15" x14ac:dyDescent="0.35">
      <c r="A226" s="21">
        <v>225</v>
      </c>
      <c r="B226" s="16">
        <f>'Data DEEPSEEK'!B226</f>
        <v>12</v>
      </c>
      <c r="C226" s="22" t="str">
        <f>'Data DEEPSEEK'!F226</f>
        <v>piece_relations</v>
      </c>
      <c r="D226" s="16" t="str">
        <f>LOWER(TRIM('Data DEEPSEEK'!H226))</f>
        <v>major</v>
      </c>
      <c r="E226" s="23">
        <f>IF(ISNUMBER(SEARCH("move_legality",C226)),Parameters!$B$4,IF(ISNUMBER(SEARCH("piece_placement",C226)),Parameters!$B$5,IF(ISNUMBER(SEARCH("material",C226)),Parameters!$B$6,IF(ISNUMBER(SEARCH("piece_relations",C226)),Parameters!$B$7,IF(ISNUMBER(SEARCH("geometry",C226)),Parameters!$B$8,IF(ISNUMBER(SEARCH("reasoning",C226)),Parameters!$B$9,Parameters!$B$10))))))</f>
        <v>4</v>
      </c>
      <c r="F226" s="23">
        <f>IF(D226="major",Parameters!$B$14,IF(D226="medium",Parameters!$B$15,Parameters!$B$16))</f>
        <v>3</v>
      </c>
      <c r="G226" s="16">
        <f t="shared" si="7"/>
        <v>0</v>
      </c>
      <c r="H226" s="24">
        <f>Parameters!$B$20^(G226-1)</f>
        <v>1.4285714285714286</v>
      </c>
      <c r="I226" s="18">
        <f t="shared" si="8"/>
        <v>17.142857142857142</v>
      </c>
    </row>
    <row r="227" spans="1:9" ht="13.15" x14ac:dyDescent="0.35">
      <c r="A227" s="21">
        <v>226</v>
      </c>
      <c r="B227" s="16">
        <f>'Data DEEPSEEK'!B227</f>
        <v>12</v>
      </c>
      <c r="C227" s="22" t="str">
        <f>'Data DEEPSEEK'!F227</f>
        <v>reasoning</v>
      </c>
      <c r="D227" s="16" t="str">
        <f>LOWER(TRIM('Data DEEPSEEK'!H227))</f>
        <v>minor</v>
      </c>
      <c r="E227" s="23">
        <f>IF(ISNUMBER(SEARCH("move_legality",C227)),Parameters!$B$4,IF(ISNUMBER(SEARCH("piece_placement",C227)),Parameters!$B$5,IF(ISNUMBER(SEARCH("material",C227)),Parameters!$B$6,IF(ISNUMBER(SEARCH("piece_relations",C227)),Parameters!$B$7,IF(ISNUMBER(SEARCH("geometry",C227)),Parameters!$B$8,IF(ISNUMBER(SEARCH("reasoning",C227)),Parameters!$B$9,Parameters!$B$10))))))</f>
        <v>2</v>
      </c>
      <c r="F227" s="23">
        <f>IF(D227="major",Parameters!$B$14,IF(D227="medium",Parameters!$B$15,Parameters!$B$16))</f>
        <v>1</v>
      </c>
      <c r="G227" s="16">
        <f t="shared" si="7"/>
        <v>0</v>
      </c>
      <c r="H227" s="24">
        <f>Parameters!$B$20^(G227-1)</f>
        <v>1.4285714285714286</v>
      </c>
      <c r="I227" s="18">
        <f t="shared" si="8"/>
        <v>2.8571428571428572</v>
      </c>
    </row>
    <row r="228" spans="1:9" ht="13.15" x14ac:dyDescent="0.35">
      <c r="A228" s="21">
        <v>227</v>
      </c>
      <c r="B228" s="16">
        <f>'Data DEEPSEEK'!B228</f>
        <v>12</v>
      </c>
      <c r="C228" s="22" t="str">
        <f>'Data DEEPSEEK'!F228</f>
        <v>reasoning</v>
      </c>
      <c r="D228" s="16" t="str">
        <f>LOWER(TRIM('Data DEEPSEEK'!H228))</f>
        <v>medium</v>
      </c>
      <c r="E228" s="23">
        <f>IF(ISNUMBER(SEARCH("move_legality",C228)),Parameters!$B$4,IF(ISNUMBER(SEARCH("piece_placement",C228)),Parameters!$B$5,IF(ISNUMBER(SEARCH("material",C228)),Parameters!$B$6,IF(ISNUMBER(SEARCH("piece_relations",C228)),Parameters!$B$7,IF(ISNUMBER(SEARCH("geometry",C228)),Parameters!$B$8,IF(ISNUMBER(SEARCH("reasoning",C228)),Parameters!$B$9,Parameters!$B$10))))))</f>
        <v>2</v>
      </c>
      <c r="F228" s="23">
        <f>IF(D228="major",Parameters!$B$14,IF(D228="medium",Parameters!$B$15,Parameters!$B$16))</f>
        <v>2</v>
      </c>
      <c r="G228" s="16">
        <f t="shared" si="7"/>
        <v>0</v>
      </c>
      <c r="H228" s="24">
        <f>Parameters!$B$20^(G228-1)</f>
        <v>1.4285714285714286</v>
      </c>
      <c r="I228" s="18">
        <f t="shared" si="8"/>
        <v>5.7142857142857144</v>
      </c>
    </row>
    <row r="229" spans="1:9" ht="13.15" x14ac:dyDescent="0.35">
      <c r="A229" s="21">
        <v>228</v>
      </c>
      <c r="B229" s="16">
        <f>'Data DEEPSEEK'!B229</f>
        <v>12</v>
      </c>
      <c r="C229" s="22" t="str">
        <f>'Data DEEPSEEK'!F229</f>
        <v>reasoning</v>
      </c>
      <c r="D229" s="16" t="str">
        <f>LOWER(TRIM('Data DEEPSEEK'!H229))</f>
        <v>major</v>
      </c>
      <c r="E229" s="23">
        <f>IF(ISNUMBER(SEARCH("move_legality",C229)),Parameters!$B$4,IF(ISNUMBER(SEARCH("piece_placement",C229)),Parameters!$B$5,IF(ISNUMBER(SEARCH("material",C229)),Parameters!$B$6,IF(ISNUMBER(SEARCH("piece_relations",C229)),Parameters!$B$7,IF(ISNUMBER(SEARCH("geometry",C229)),Parameters!$B$8,IF(ISNUMBER(SEARCH("reasoning",C229)),Parameters!$B$9,Parameters!$B$10))))))</f>
        <v>2</v>
      </c>
      <c r="F229" s="23">
        <f>IF(D229="major",Parameters!$B$14,IF(D229="medium",Parameters!$B$15,Parameters!$B$16))</f>
        <v>3</v>
      </c>
      <c r="G229" s="16">
        <f t="shared" si="7"/>
        <v>0</v>
      </c>
      <c r="H229" s="24">
        <f>Parameters!$B$20^(G229-1)</f>
        <v>1.4285714285714286</v>
      </c>
      <c r="I229" s="18">
        <f t="shared" si="8"/>
        <v>8.5714285714285712</v>
      </c>
    </row>
    <row r="230" spans="1:9" ht="13.15" x14ac:dyDescent="0.35">
      <c r="A230" s="21">
        <v>229</v>
      </c>
      <c r="B230" s="16">
        <f>'Data DEEPSEEK'!B230</f>
        <v>13</v>
      </c>
      <c r="C230" s="22" t="str">
        <f>'Data DEEPSEEK'!F230</f>
        <v>piece_relations</v>
      </c>
      <c r="D230" s="16" t="str">
        <f>LOWER(TRIM('Data DEEPSEEK'!H230))</f>
        <v>major</v>
      </c>
      <c r="E230" s="23">
        <f>IF(ISNUMBER(SEARCH("move_legality",C230)),Parameters!$B$4,IF(ISNUMBER(SEARCH("piece_placement",C230)),Parameters!$B$5,IF(ISNUMBER(SEARCH("material",C230)),Parameters!$B$6,IF(ISNUMBER(SEARCH("piece_relations",C230)),Parameters!$B$7,IF(ISNUMBER(SEARCH("geometry",C230)),Parameters!$B$8,IF(ISNUMBER(SEARCH("reasoning",C230)),Parameters!$B$9,Parameters!$B$10))))))</f>
        <v>4</v>
      </c>
      <c r="F230" s="23">
        <f>IF(D230="major",Parameters!$B$14,IF(D230="medium",Parameters!$B$15,Parameters!$B$16))</f>
        <v>3</v>
      </c>
      <c r="G230" s="16">
        <f t="shared" si="7"/>
        <v>0</v>
      </c>
      <c r="H230" s="24">
        <f>Parameters!$B$20^(G230-1)</f>
        <v>1.4285714285714286</v>
      </c>
      <c r="I230" s="18">
        <f t="shared" si="8"/>
        <v>17.142857142857142</v>
      </c>
    </row>
    <row r="231" spans="1:9" ht="13.15" x14ac:dyDescent="0.35">
      <c r="A231" s="21">
        <v>230</v>
      </c>
      <c r="B231" s="16">
        <f>'Data DEEPSEEK'!B231</f>
        <v>13</v>
      </c>
      <c r="C231" s="22" t="str">
        <f>'Data DEEPSEEK'!F231</f>
        <v>geometry</v>
      </c>
      <c r="D231" s="16" t="str">
        <f>LOWER(TRIM('Data DEEPSEEK'!H231))</f>
        <v>major</v>
      </c>
      <c r="E231" s="23">
        <f>IF(ISNUMBER(SEARCH("move_legality",C231)),Parameters!$B$4,IF(ISNUMBER(SEARCH("piece_placement",C231)),Parameters!$B$5,IF(ISNUMBER(SEARCH("material",C231)),Parameters!$B$6,IF(ISNUMBER(SEARCH("piece_relations",C231)),Parameters!$B$7,IF(ISNUMBER(SEARCH("geometry",C231)),Parameters!$B$8,IF(ISNUMBER(SEARCH("reasoning",C231)),Parameters!$B$9,Parameters!$B$10))))))</f>
        <v>3</v>
      </c>
      <c r="F231" s="23">
        <f>IF(D231="major",Parameters!$B$14,IF(D231="medium",Parameters!$B$15,Parameters!$B$16))</f>
        <v>3</v>
      </c>
      <c r="G231" s="16">
        <f t="shared" si="7"/>
        <v>0</v>
      </c>
      <c r="H231" s="24">
        <f>Parameters!$B$20^(G231-1)</f>
        <v>1.4285714285714286</v>
      </c>
      <c r="I231" s="18">
        <f t="shared" si="8"/>
        <v>12.857142857142858</v>
      </c>
    </row>
    <row r="232" spans="1:9" ht="13.15" x14ac:dyDescent="0.35">
      <c r="A232" s="21">
        <v>231</v>
      </c>
      <c r="B232" s="16">
        <f>'Data DEEPSEEK'!B232</f>
        <v>13</v>
      </c>
      <c r="C232" s="22" t="str">
        <f>'Data DEEPSEEK'!F232</f>
        <v>piece_relations</v>
      </c>
      <c r="D232" s="16" t="str">
        <f>LOWER(TRIM('Data DEEPSEEK'!H232))</f>
        <v>major</v>
      </c>
      <c r="E232" s="23">
        <f>IF(ISNUMBER(SEARCH("move_legality",C232)),Parameters!$B$4,IF(ISNUMBER(SEARCH("piece_placement",C232)),Parameters!$B$5,IF(ISNUMBER(SEARCH("material",C232)),Parameters!$B$6,IF(ISNUMBER(SEARCH("piece_relations",C232)),Parameters!$B$7,IF(ISNUMBER(SEARCH("geometry",C232)),Parameters!$B$8,IF(ISNUMBER(SEARCH("reasoning",C232)),Parameters!$B$9,Parameters!$B$10))))))</f>
        <v>4</v>
      </c>
      <c r="F232" s="23">
        <f>IF(D232="major",Parameters!$B$14,IF(D232="medium",Parameters!$B$15,Parameters!$B$16))</f>
        <v>3</v>
      </c>
      <c r="G232" s="16">
        <f t="shared" si="7"/>
        <v>0</v>
      </c>
      <c r="H232" s="24">
        <f>Parameters!$B$20^(G232-1)</f>
        <v>1.4285714285714286</v>
      </c>
      <c r="I232" s="18">
        <f t="shared" si="8"/>
        <v>17.142857142857142</v>
      </c>
    </row>
    <row r="233" spans="1:9" ht="13.15" x14ac:dyDescent="0.35">
      <c r="A233" s="21">
        <v>232</v>
      </c>
      <c r="B233" s="16">
        <f>'Data DEEPSEEK'!B233</f>
        <v>13</v>
      </c>
      <c r="C233" s="22" t="str">
        <f>'Data DEEPSEEK'!F233</f>
        <v>reasoning</v>
      </c>
      <c r="D233" s="16" t="str">
        <f>LOWER(TRIM('Data DEEPSEEK'!H233))</f>
        <v>medium</v>
      </c>
      <c r="E233" s="23">
        <f>IF(ISNUMBER(SEARCH("move_legality",C233)),Parameters!$B$4,IF(ISNUMBER(SEARCH("piece_placement",C233)),Parameters!$B$5,IF(ISNUMBER(SEARCH("material",C233)),Parameters!$B$6,IF(ISNUMBER(SEARCH("piece_relations",C233)),Parameters!$B$7,IF(ISNUMBER(SEARCH("geometry",C233)),Parameters!$B$8,IF(ISNUMBER(SEARCH("reasoning",C233)),Parameters!$B$9,Parameters!$B$10))))))</f>
        <v>2</v>
      </c>
      <c r="F233" s="23">
        <f>IF(D233="major",Parameters!$B$14,IF(D233="medium",Parameters!$B$15,Parameters!$B$16))</f>
        <v>2</v>
      </c>
      <c r="G233" s="16">
        <f t="shared" si="7"/>
        <v>0</v>
      </c>
      <c r="H233" s="24">
        <f>Parameters!$B$20^(G233-1)</f>
        <v>1.4285714285714286</v>
      </c>
      <c r="I233" s="18">
        <f t="shared" si="8"/>
        <v>5.7142857142857144</v>
      </c>
    </row>
    <row r="234" spans="1:9" ht="13.15" x14ac:dyDescent="0.35">
      <c r="A234" s="21">
        <v>233</v>
      </c>
      <c r="B234" s="16">
        <f>'Data DEEPSEEK'!B234</f>
        <v>13</v>
      </c>
      <c r="C234" s="22" t="str">
        <f>'Data DEEPSEEK'!F234</f>
        <v>reasoning</v>
      </c>
      <c r="D234" s="16" t="str">
        <f>LOWER(TRIM('Data DEEPSEEK'!H234))</f>
        <v>medium</v>
      </c>
      <c r="E234" s="23">
        <f>IF(ISNUMBER(SEARCH("move_legality",C234)),Parameters!$B$4,IF(ISNUMBER(SEARCH("piece_placement",C234)),Parameters!$B$5,IF(ISNUMBER(SEARCH("material",C234)),Parameters!$B$6,IF(ISNUMBER(SEARCH("piece_relations",C234)),Parameters!$B$7,IF(ISNUMBER(SEARCH("geometry",C234)),Parameters!$B$8,IF(ISNUMBER(SEARCH("reasoning",C234)),Parameters!$B$9,Parameters!$B$10))))))</f>
        <v>2</v>
      </c>
      <c r="F234" s="23">
        <f>IF(D234="major",Parameters!$B$14,IF(D234="medium",Parameters!$B$15,Parameters!$B$16))</f>
        <v>2</v>
      </c>
      <c r="G234" s="16">
        <f t="shared" si="7"/>
        <v>0</v>
      </c>
      <c r="H234" s="24">
        <f>Parameters!$B$20^(G234-1)</f>
        <v>1.4285714285714286</v>
      </c>
      <c r="I234" s="18">
        <f t="shared" si="8"/>
        <v>5.7142857142857144</v>
      </c>
    </row>
    <row r="235" spans="1:9" ht="13.15" x14ac:dyDescent="0.35">
      <c r="A235" s="21">
        <v>234</v>
      </c>
      <c r="B235" s="16">
        <f>'Data DEEPSEEK'!B235</f>
        <v>13</v>
      </c>
      <c r="C235" s="22" t="str">
        <f>'Data DEEPSEEK'!F235</f>
        <v>reasoning</v>
      </c>
      <c r="D235" s="16" t="str">
        <f>LOWER(TRIM('Data DEEPSEEK'!H235))</f>
        <v>medium</v>
      </c>
      <c r="E235" s="23">
        <f>IF(ISNUMBER(SEARCH("move_legality",C235)),Parameters!$B$4,IF(ISNUMBER(SEARCH("piece_placement",C235)),Parameters!$B$5,IF(ISNUMBER(SEARCH("material",C235)),Parameters!$B$6,IF(ISNUMBER(SEARCH("piece_relations",C235)),Parameters!$B$7,IF(ISNUMBER(SEARCH("geometry",C235)),Parameters!$B$8,IF(ISNUMBER(SEARCH("reasoning",C235)),Parameters!$B$9,Parameters!$B$10))))))</f>
        <v>2</v>
      </c>
      <c r="F235" s="23">
        <f>IF(D235="major",Parameters!$B$14,IF(D235="medium",Parameters!$B$15,Parameters!$B$16))</f>
        <v>2</v>
      </c>
      <c r="G235" s="16">
        <f t="shared" si="7"/>
        <v>0</v>
      </c>
      <c r="H235" s="24">
        <f>Parameters!$B$20^(G235-1)</f>
        <v>1.4285714285714286</v>
      </c>
      <c r="I235" s="18">
        <f t="shared" si="8"/>
        <v>5.7142857142857144</v>
      </c>
    </row>
    <row r="236" spans="1:9" ht="13.15" x14ac:dyDescent="0.35">
      <c r="A236" s="21">
        <v>235</v>
      </c>
      <c r="B236" s="16">
        <f>'Data DEEPSEEK'!B236</f>
        <v>13</v>
      </c>
      <c r="C236" s="22" t="str">
        <f>'Data DEEPSEEK'!F236</f>
        <v>piece_relations</v>
      </c>
      <c r="D236" s="16" t="str">
        <f>LOWER(TRIM('Data DEEPSEEK'!H236))</f>
        <v>medium</v>
      </c>
      <c r="E236" s="23">
        <f>IF(ISNUMBER(SEARCH("move_legality",C236)),Parameters!$B$4,IF(ISNUMBER(SEARCH("piece_placement",C236)),Parameters!$B$5,IF(ISNUMBER(SEARCH("material",C236)),Parameters!$B$6,IF(ISNUMBER(SEARCH("piece_relations",C236)),Parameters!$B$7,IF(ISNUMBER(SEARCH("geometry",C236)),Parameters!$B$8,IF(ISNUMBER(SEARCH("reasoning",C236)),Parameters!$B$9,Parameters!$B$10))))))</f>
        <v>4</v>
      </c>
      <c r="F236" s="23">
        <f>IF(D236="major",Parameters!$B$14,IF(D236="medium",Parameters!$B$15,Parameters!$B$16))</f>
        <v>2</v>
      </c>
      <c r="G236" s="16">
        <f t="shared" si="7"/>
        <v>0</v>
      </c>
      <c r="H236" s="24">
        <f>Parameters!$B$20^(G236-1)</f>
        <v>1.4285714285714286</v>
      </c>
      <c r="I236" s="18">
        <f t="shared" si="8"/>
        <v>11.428571428571429</v>
      </c>
    </row>
    <row r="237" spans="1:9" ht="13.15" x14ac:dyDescent="0.35">
      <c r="A237" s="21">
        <v>236</v>
      </c>
      <c r="B237" s="16">
        <f>'Data DEEPSEEK'!B237</f>
        <v>13</v>
      </c>
      <c r="C237" s="22" t="str">
        <f>'Data DEEPSEEK'!F237</f>
        <v>reasoning</v>
      </c>
      <c r="D237" s="16" t="str">
        <f>LOWER(TRIM('Data DEEPSEEK'!H237))</f>
        <v>medium</v>
      </c>
      <c r="E237" s="23">
        <f>IF(ISNUMBER(SEARCH("move_legality",C237)),Parameters!$B$4,IF(ISNUMBER(SEARCH("piece_placement",C237)),Parameters!$B$5,IF(ISNUMBER(SEARCH("material",C237)),Parameters!$B$6,IF(ISNUMBER(SEARCH("piece_relations",C237)),Parameters!$B$7,IF(ISNUMBER(SEARCH("geometry",C237)),Parameters!$B$8,IF(ISNUMBER(SEARCH("reasoning",C237)),Parameters!$B$9,Parameters!$B$10))))))</f>
        <v>2</v>
      </c>
      <c r="F237" s="23">
        <f>IF(D237="major",Parameters!$B$14,IF(D237="medium",Parameters!$B$15,Parameters!$B$16))</f>
        <v>2</v>
      </c>
      <c r="G237" s="16">
        <f t="shared" si="7"/>
        <v>0</v>
      </c>
      <c r="H237" s="24">
        <f>Parameters!$B$20^(G237-1)</f>
        <v>1.4285714285714286</v>
      </c>
      <c r="I237" s="18">
        <f t="shared" si="8"/>
        <v>5.7142857142857144</v>
      </c>
    </row>
    <row r="238" spans="1:9" ht="13.15" x14ac:dyDescent="0.35">
      <c r="A238" s="21">
        <v>237</v>
      </c>
      <c r="B238" s="16">
        <f>'Data DEEPSEEK'!B238</f>
        <v>13</v>
      </c>
      <c r="C238" s="22" t="str">
        <f>'Data DEEPSEEK'!F238</f>
        <v>reasoning</v>
      </c>
      <c r="D238" s="16" t="str">
        <f>LOWER(TRIM('Data DEEPSEEK'!H238))</f>
        <v>major</v>
      </c>
      <c r="E238" s="23">
        <f>IF(ISNUMBER(SEARCH("move_legality",C238)),Parameters!$B$4,IF(ISNUMBER(SEARCH("piece_placement",C238)),Parameters!$B$5,IF(ISNUMBER(SEARCH("material",C238)),Parameters!$B$6,IF(ISNUMBER(SEARCH("piece_relations",C238)),Parameters!$B$7,IF(ISNUMBER(SEARCH("geometry",C238)),Parameters!$B$8,IF(ISNUMBER(SEARCH("reasoning",C238)),Parameters!$B$9,Parameters!$B$10))))))</f>
        <v>2</v>
      </c>
      <c r="F238" s="23">
        <f>IF(D238="major",Parameters!$B$14,IF(D238="medium",Parameters!$B$15,Parameters!$B$16))</f>
        <v>3</v>
      </c>
      <c r="G238" s="16">
        <f t="shared" si="7"/>
        <v>0</v>
      </c>
      <c r="H238" s="24">
        <f>Parameters!$B$20^(G238-1)</f>
        <v>1.4285714285714286</v>
      </c>
      <c r="I238" s="18">
        <f t="shared" si="8"/>
        <v>8.5714285714285712</v>
      </c>
    </row>
    <row r="239" spans="1:9" ht="13.15" x14ac:dyDescent="0.35">
      <c r="A239" s="21">
        <v>238</v>
      </c>
      <c r="B239" s="16">
        <f>'Data DEEPSEEK'!B239</f>
        <v>13</v>
      </c>
      <c r="C239" s="22" t="str">
        <f>'Data DEEPSEEK'!F239</f>
        <v>piece_relations</v>
      </c>
      <c r="D239" s="16" t="str">
        <f>LOWER(TRIM('Data DEEPSEEK'!H239))</f>
        <v>major</v>
      </c>
      <c r="E239" s="23">
        <f>IF(ISNUMBER(SEARCH("move_legality",C239)),Parameters!$B$4,IF(ISNUMBER(SEARCH("piece_placement",C239)),Parameters!$B$5,IF(ISNUMBER(SEARCH("material",C239)),Parameters!$B$6,IF(ISNUMBER(SEARCH("piece_relations",C239)),Parameters!$B$7,IF(ISNUMBER(SEARCH("geometry",C239)),Parameters!$B$8,IF(ISNUMBER(SEARCH("reasoning",C239)),Parameters!$B$9,Parameters!$B$10))))))</f>
        <v>4</v>
      </c>
      <c r="F239" s="23">
        <f>IF(D239="major",Parameters!$B$14,IF(D239="medium",Parameters!$B$15,Parameters!$B$16))</f>
        <v>3</v>
      </c>
      <c r="G239" s="16">
        <f t="shared" si="7"/>
        <v>0</v>
      </c>
      <c r="H239" s="24">
        <f>Parameters!$B$20^(G239-1)</f>
        <v>1.4285714285714286</v>
      </c>
      <c r="I239" s="18">
        <f t="shared" si="8"/>
        <v>17.142857142857142</v>
      </c>
    </row>
    <row r="240" spans="1:9" ht="13.15" x14ac:dyDescent="0.35">
      <c r="A240" s="21">
        <v>239</v>
      </c>
      <c r="B240" s="16">
        <f>'Data DEEPSEEK'!B240</f>
        <v>14</v>
      </c>
      <c r="C240" s="22" t="str">
        <f>'Data DEEPSEEK'!F240</f>
        <v>piece_relations</v>
      </c>
      <c r="D240" s="16" t="str">
        <f>LOWER(TRIM('Data DEEPSEEK'!H240))</f>
        <v>major</v>
      </c>
      <c r="E240" s="23">
        <f>IF(ISNUMBER(SEARCH("move_legality",C240)),Parameters!$B$4,IF(ISNUMBER(SEARCH("piece_placement",C240)),Parameters!$B$5,IF(ISNUMBER(SEARCH("material",C240)),Parameters!$B$6,IF(ISNUMBER(SEARCH("piece_relations",C240)),Parameters!$B$7,IF(ISNUMBER(SEARCH("geometry",C240)),Parameters!$B$8,IF(ISNUMBER(SEARCH("reasoning",C240)),Parameters!$B$9,Parameters!$B$10))))))</f>
        <v>4</v>
      </c>
      <c r="F240" s="23">
        <f>IF(D240="major",Parameters!$B$14,IF(D240="medium",Parameters!$B$15,Parameters!$B$16))</f>
        <v>3</v>
      </c>
      <c r="G240" s="16">
        <f t="shared" si="7"/>
        <v>0</v>
      </c>
      <c r="H240" s="24">
        <f>Parameters!$B$20^(G240-1)</f>
        <v>1.4285714285714286</v>
      </c>
      <c r="I240" s="18">
        <f t="shared" si="8"/>
        <v>17.142857142857142</v>
      </c>
    </row>
    <row r="241" spans="1:9" ht="13.15" x14ac:dyDescent="0.35">
      <c r="A241" s="21">
        <v>240</v>
      </c>
      <c r="B241" s="16">
        <f>'Data DEEPSEEK'!B241</f>
        <v>14</v>
      </c>
      <c r="C241" s="22" t="str">
        <f>'Data DEEPSEEK'!F241</f>
        <v>geometry</v>
      </c>
      <c r="D241" s="16" t="str">
        <f>LOWER(TRIM('Data DEEPSEEK'!H241))</f>
        <v>major</v>
      </c>
      <c r="E241" s="23">
        <f>IF(ISNUMBER(SEARCH("move_legality",C241)),Parameters!$B$4,IF(ISNUMBER(SEARCH("piece_placement",C241)),Parameters!$B$5,IF(ISNUMBER(SEARCH("material",C241)),Parameters!$B$6,IF(ISNUMBER(SEARCH("piece_relations",C241)),Parameters!$B$7,IF(ISNUMBER(SEARCH("geometry",C241)),Parameters!$B$8,IF(ISNUMBER(SEARCH("reasoning",C241)),Parameters!$B$9,Parameters!$B$10))))))</f>
        <v>3</v>
      </c>
      <c r="F241" s="23">
        <f>IF(D241="major",Parameters!$B$14,IF(D241="medium",Parameters!$B$15,Parameters!$B$16))</f>
        <v>3</v>
      </c>
      <c r="G241" s="16">
        <f t="shared" si="7"/>
        <v>0</v>
      </c>
      <c r="H241" s="24">
        <f>Parameters!$B$20^(G241-1)</f>
        <v>1.4285714285714286</v>
      </c>
      <c r="I241" s="18">
        <f t="shared" si="8"/>
        <v>12.857142857142858</v>
      </c>
    </row>
    <row r="242" spans="1:9" ht="13.15" x14ac:dyDescent="0.35">
      <c r="A242" s="21">
        <v>241</v>
      </c>
      <c r="B242" s="16">
        <f>'Data DEEPSEEK'!B242</f>
        <v>14</v>
      </c>
      <c r="C242" s="22" t="str">
        <f>'Data DEEPSEEK'!F242</f>
        <v>geometry</v>
      </c>
      <c r="D242" s="16" t="str">
        <f>LOWER(TRIM('Data DEEPSEEK'!H242))</f>
        <v>major</v>
      </c>
      <c r="E242" s="23">
        <f>IF(ISNUMBER(SEARCH("move_legality",C242)),Parameters!$B$4,IF(ISNUMBER(SEARCH("piece_placement",C242)),Parameters!$B$5,IF(ISNUMBER(SEARCH("material",C242)),Parameters!$B$6,IF(ISNUMBER(SEARCH("piece_relations",C242)),Parameters!$B$7,IF(ISNUMBER(SEARCH("geometry",C242)),Parameters!$B$8,IF(ISNUMBER(SEARCH("reasoning",C242)),Parameters!$B$9,Parameters!$B$10))))))</f>
        <v>3</v>
      </c>
      <c r="F242" s="23">
        <f>IF(D242="major",Parameters!$B$14,IF(D242="medium",Parameters!$B$15,Parameters!$B$16))</f>
        <v>3</v>
      </c>
      <c r="G242" s="16">
        <f t="shared" si="7"/>
        <v>0</v>
      </c>
      <c r="H242" s="24">
        <f>Parameters!$B$20^(G242-1)</f>
        <v>1.4285714285714286</v>
      </c>
      <c r="I242" s="18">
        <f t="shared" si="8"/>
        <v>12.857142857142858</v>
      </c>
    </row>
    <row r="243" spans="1:9" ht="13.15" x14ac:dyDescent="0.35">
      <c r="A243" s="21">
        <v>242</v>
      </c>
      <c r="B243" s="16">
        <f>'Data DEEPSEEK'!B243</f>
        <v>14</v>
      </c>
      <c r="C243" s="22" t="str">
        <f>'Data DEEPSEEK'!F243</f>
        <v>piece_placement</v>
      </c>
      <c r="D243" s="16" t="str">
        <f>LOWER(TRIM('Data DEEPSEEK'!H243))</f>
        <v>major</v>
      </c>
      <c r="E243" s="23">
        <f>IF(ISNUMBER(SEARCH("move_legality",C243)),Parameters!$B$4,IF(ISNUMBER(SEARCH("piece_placement",C243)),Parameters!$B$5,IF(ISNUMBER(SEARCH("material",C243)),Parameters!$B$6,IF(ISNUMBER(SEARCH("piece_relations",C243)),Parameters!$B$7,IF(ISNUMBER(SEARCH("geometry",C243)),Parameters!$B$8,IF(ISNUMBER(SEARCH("reasoning",C243)),Parameters!$B$9,Parameters!$B$10))))))</f>
        <v>6</v>
      </c>
      <c r="F243" s="23">
        <f>IF(D243="major",Parameters!$B$14,IF(D243="medium",Parameters!$B$15,Parameters!$B$16))</f>
        <v>3</v>
      </c>
      <c r="G243" s="16">
        <f t="shared" si="7"/>
        <v>0</v>
      </c>
      <c r="H243" s="24">
        <f>Parameters!$B$20^(G243-1)</f>
        <v>1.4285714285714286</v>
      </c>
      <c r="I243" s="18">
        <f t="shared" si="8"/>
        <v>25.714285714285715</v>
      </c>
    </row>
    <row r="244" spans="1:9" ht="13.15" x14ac:dyDescent="0.35">
      <c r="A244" s="21">
        <v>243</v>
      </c>
      <c r="B244" s="16">
        <f>'Data DEEPSEEK'!B244</f>
        <v>14</v>
      </c>
      <c r="C244" s="22" t="str">
        <f>'Data DEEPSEEK'!F244</f>
        <v>move_legality</v>
      </c>
      <c r="D244" s="16" t="str">
        <f>LOWER(TRIM('Data DEEPSEEK'!H244))</f>
        <v>major</v>
      </c>
      <c r="E244" s="23">
        <f>IF(ISNUMBER(SEARCH("move_legality",C244)),Parameters!$B$4,IF(ISNUMBER(SEARCH("piece_placement",C244)),Parameters!$B$5,IF(ISNUMBER(SEARCH("material",C244)),Parameters!$B$6,IF(ISNUMBER(SEARCH("piece_relations",C244)),Parameters!$B$7,IF(ISNUMBER(SEARCH("geometry",C244)),Parameters!$B$8,IF(ISNUMBER(SEARCH("reasoning",C244)),Parameters!$B$9,Parameters!$B$10))))))</f>
        <v>8</v>
      </c>
      <c r="F244" s="23">
        <f>IF(D244="major",Parameters!$B$14,IF(D244="medium",Parameters!$B$15,Parameters!$B$16))</f>
        <v>3</v>
      </c>
      <c r="G244" s="16">
        <f t="shared" si="7"/>
        <v>0</v>
      </c>
      <c r="H244" s="24">
        <f>Parameters!$B$20^(G244-1)</f>
        <v>1.4285714285714286</v>
      </c>
      <c r="I244" s="18">
        <f t="shared" si="8"/>
        <v>34.285714285714285</v>
      </c>
    </row>
    <row r="245" spans="1:9" ht="13.15" x14ac:dyDescent="0.35">
      <c r="A245" s="21">
        <v>244</v>
      </c>
      <c r="B245" s="16">
        <f>'Data DEEPSEEK'!B245</f>
        <v>14</v>
      </c>
      <c r="C245" s="22" t="str">
        <f>'Data DEEPSEEK'!F245</f>
        <v>piece_relations</v>
      </c>
      <c r="D245" s="16" t="str">
        <f>LOWER(TRIM('Data DEEPSEEK'!H245))</f>
        <v>medium</v>
      </c>
      <c r="E245" s="23">
        <f>IF(ISNUMBER(SEARCH("move_legality",C245)),Parameters!$B$4,IF(ISNUMBER(SEARCH("piece_placement",C245)),Parameters!$B$5,IF(ISNUMBER(SEARCH("material",C245)),Parameters!$B$6,IF(ISNUMBER(SEARCH("piece_relations",C245)),Parameters!$B$7,IF(ISNUMBER(SEARCH("geometry",C245)),Parameters!$B$8,IF(ISNUMBER(SEARCH("reasoning",C245)),Parameters!$B$9,Parameters!$B$10))))))</f>
        <v>4</v>
      </c>
      <c r="F245" s="23">
        <f>IF(D245="major",Parameters!$B$14,IF(D245="medium",Parameters!$B$15,Parameters!$B$16))</f>
        <v>2</v>
      </c>
      <c r="G245" s="16">
        <f t="shared" si="7"/>
        <v>0</v>
      </c>
      <c r="H245" s="24">
        <f>Parameters!$B$20^(G245-1)</f>
        <v>1.4285714285714286</v>
      </c>
      <c r="I245" s="18">
        <f t="shared" si="8"/>
        <v>11.428571428571429</v>
      </c>
    </row>
    <row r="246" spans="1:9" ht="13.15" x14ac:dyDescent="0.35">
      <c r="A246" s="21">
        <v>245</v>
      </c>
      <c r="B246" s="16">
        <f>'Data DEEPSEEK'!B246</f>
        <v>14</v>
      </c>
      <c r="C246" s="22" t="str">
        <f>'Data DEEPSEEK'!F246</f>
        <v>piece_placement</v>
      </c>
      <c r="D246" s="16" t="str">
        <f>LOWER(TRIM('Data DEEPSEEK'!H246))</f>
        <v>major</v>
      </c>
      <c r="E246" s="23">
        <f>IF(ISNUMBER(SEARCH("move_legality",C246)),Parameters!$B$4,IF(ISNUMBER(SEARCH("piece_placement",C246)),Parameters!$B$5,IF(ISNUMBER(SEARCH("material",C246)),Parameters!$B$6,IF(ISNUMBER(SEARCH("piece_relations",C246)),Parameters!$B$7,IF(ISNUMBER(SEARCH("geometry",C246)),Parameters!$B$8,IF(ISNUMBER(SEARCH("reasoning",C246)),Parameters!$B$9,Parameters!$B$10))))))</f>
        <v>6</v>
      </c>
      <c r="F246" s="23">
        <f>IF(D246="major",Parameters!$B$14,IF(D246="medium",Parameters!$B$15,Parameters!$B$16))</f>
        <v>3</v>
      </c>
      <c r="G246" s="16">
        <f t="shared" si="7"/>
        <v>0</v>
      </c>
      <c r="H246" s="24">
        <f>Parameters!$B$20^(G246-1)</f>
        <v>1.4285714285714286</v>
      </c>
      <c r="I246" s="18">
        <f t="shared" si="8"/>
        <v>25.714285714285715</v>
      </c>
    </row>
    <row r="247" spans="1:9" ht="13.15" x14ac:dyDescent="0.35">
      <c r="A247" s="21">
        <v>246</v>
      </c>
      <c r="B247" s="16">
        <f>'Data DEEPSEEK'!B247</f>
        <v>14</v>
      </c>
      <c r="C247" s="22" t="str">
        <f>'Data DEEPSEEK'!F247</f>
        <v>move_legality</v>
      </c>
      <c r="D247" s="16" t="str">
        <f>LOWER(TRIM('Data DEEPSEEK'!H247))</f>
        <v>major</v>
      </c>
      <c r="E247" s="23">
        <f>IF(ISNUMBER(SEARCH("move_legality",C247)),Parameters!$B$4,IF(ISNUMBER(SEARCH("piece_placement",C247)),Parameters!$B$5,IF(ISNUMBER(SEARCH("material",C247)),Parameters!$B$6,IF(ISNUMBER(SEARCH("piece_relations",C247)),Parameters!$B$7,IF(ISNUMBER(SEARCH("geometry",C247)),Parameters!$B$8,IF(ISNUMBER(SEARCH("reasoning",C247)),Parameters!$B$9,Parameters!$B$10))))))</f>
        <v>8</v>
      </c>
      <c r="F247" s="23">
        <f>IF(D247="major",Parameters!$B$14,IF(D247="medium",Parameters!$B$15,Parameters!$B$16))</f>
        <v>3</v>
      </c>
      <c r="G247" s="16">
        <f t="shared" si="7"/>
        <v>0</v>
      </c>
      <c r="H247" s="24">
        <f>Parameters!$B$20^(G247-1)</f>
        <v>1.4285714285714286</v>
      </c>
      <c r="I247" s="18">
        <f t="shared" si="8"/>
        <v>34.285714285714285</v>
      </c>
    </row>
    <row r="248" spans="1:9" ht="13.15" x14ac:dyDescent="0.35">
      <c r="A248" s="21">
        <v>247</v>
      </c>
      <c r="B248" s="16">
        <f>'Data DEEPSEEK'!B248</f>
        <v>14</v>
      </c>
      <c r="C248" s="22" t="str">
        <f>'Data DEEPSEEK'!F248</f>
        <v>piece_placement</v>
      </c>
      <c r="D248" s="16" t="str">
        <f>LOWER(TRIM('Data DEEPSEEK'!H248))</f>
        <v>major</v>
      </c>
      <c r="E248" s="23">
        <f>IF(ISNUMBER(SEARCH("move_legality",C248)),Parameters!$B$4,IF(ISNUMBER(SEARCH("piece_placement",C248)),Parameters!$B$5,IF(ISNUMBER(SEARCH("material",C248)),Parameters!$B$6,IF(ISNUMBER(SEARCH("piece_relations",C248)),Parameters!$B$7,IF(ISNUMBER(SEARCH("geometry",C248)),Parameters!$B$8,IF(ISNUMBER(SEARCH("reasoning",C248)),Parameters!$B$9,Parameters!$B$10))))))</f>
        <v>6</v>
      </c>
      <c r="F248" s="23">
        <f>IF(D248="major",Parameters!$B$14,IF(D248="medium",Parameters!$B$15,Parameters!$B$16))</f>
        <v>3</v>
      </c>
      <c r="G248" s="16">
        <f t="shared" si="7"/>
        <v>0</v>
      </c>
      <c r="H248" s="24">
        <f>Parameters!$B$20^(G248-1)</f>
        <v>1.4285714285714286</v>
      </c>
      <c r="I248" s="18">
        <f t="shared" si="8"/>
        <v>25.714285714285715</v>
      </c>
    </row>
    <row r="249" spans="1:9" ht="13.15" x14ac:dyDescent="0.35">
      <c r="A249" s="21">
        <v>248</v>
      </c>
      <c r="B249" s="16">
        <f>'Data DEEPSEEK'!B249</f>
        <v>14</v>
      </c>
      <c r="C249" s="22" t="str">
        <f>'Data DEEPSEEK'!F249</f>
        <v>piece_relations</v>
      </c>
      <c r="D249" s="16" t="str">
        <f>LOWER(TRIM('Data DEEPSEEK'!H249))</f>
        <v>major</v>
      </c>
      <c r="E249" s="23">
        <f>IF(ISNUMBER(SEARCH("move_legality",C249)),Parameters!$B$4,IF(ISNUMBER(SEARCH("piece_placement",C249)),Parameters!$B$5,IF(ISNUMBER(SEARCH("material",C249)),Parameters!$B$6,IF(ISNUMBER(SEARCH("piece_relations",C249)),Parameters!$B$7,IF(ISNUMBER(SEARCH("geometry",C249)),Parameters!$B$8,IF(ISNUMBER(SEARCH("reasoning",C249)),Parameters!$B$9,Parameters!$B$10))))))</f>
        <v>4</v>
      </c>
      <c r="F249" s="23">
        <f>IF(D249="major",Parameters!$B$14,IF(D249="medium",Parameters!$B$15,Parameters!$B$16))</f>
        <v>3</v>
      </c>
      <c r="G249" s="16">
        <f t="shared" si="7"/>
        <v>0</v>
      </c>
      <c r="H249" s="24">
        <f>Parameters!$B$20^(G249-1)</f>
        <v>1.4285714285714286</v>
      </c>
      <c r="I249" s="18">
        <f t="shared" si="8"/>
        <v>17.142857142857142</v>
      </c>
    </row>
    <row r="250" spans="1:9" ht="13.15" x14ac:dyDescent="0.35">
      <c r="A250" s="21">
        <v>249</v>
      </c>
      <c r="B250" s="16">
        <f>'Data DEEPSEEK'!B250</f>
        <v>14</v>
      </c>
      <c r="C250" s="22" t="str">
        <f>'Data DEEPSEEK'!F250</f>
        <v>piece_relations</v>
      </c>
      <c r="D250" s="16" t="str">
        <f>LOWER(TRIM('Data DEEPSEEK'!H250))</f>
        <v>medium</v>
      </c>
      <c r="E250" s="23">
        <f>IF(ISNUMBER(SEARCH("move_legality",C250)),Parameters!$B$4,IF(ISNUMBER(SEARCH("piece_placement",C250)),Parameters!$B$5,IF(ISNUMBER(SEARCH("material",C250)),Parameters!$B$6,IF(ISNUMBER(SEARCH("piece_relations",C250)),Parameters!$B$7,IF(ISNUMBER(SEARCH("geometry",C250)),Parameters!$B$8,IF(ISNUMBER(SEARCH("reasoning",C250)),Parameters!$B$9,Parameters!$B$10))))))</f>
        <v>4</v>
      </c>
      <c r="F250" s="23">
        <f>IF(D250="major",Parameters!$B$14,IF(D250="medium",Parameters!$B$15,Parameters!$B$16))</f>
        <v>2</v>
      </c>
      <c r="G250" s="16">
        <f t="shared" si="7"/>
        <v>0</v>
      </c>
      <c r="H250" s="24">
        <f>Parameters!$B$20^(G250-1)</f>
        <v>1.4285714285714286</v>
      </c>
      <c r="I250" s="18">
        <f t="shared" si="8"/>
        <v>11.428571428571429</v>
      </c>
    </row>
    <row r="251" spans="1:9" ht="13.15" x14ac:dyDescent="0.35">
      <c r="A251" s="21">
        <v>250</v>
      </c>
      <c r="B251" s="16">
        <f>'Data DEEPSEEK'!B251</f>
        <v>14</v>
      </c>
      <c r="C251" s="22" t="str">
        <f>'Data DEEPSEEK'!F251</f>
        <v>piece_placement</v>
      </c>
      <c r="D251" s="16" t="str">
        <f>LOWER(TRIM('Data DEEPSEEK'!H251))</f>
        <v>major</v>
      </c>
      <c r="E251" s="23">
        <f>IF(ISNUMBER(SEARCH("move_legality",C251)),Parameters!$B$4,IF(ISNUMBER(SEARCH("piece_placement",C251)),Parameters!$B$5,IF(ISNUMBER(SEARCH("material",C251)),Parameters!$B$6,IF(ISNUMBER(SEARCH("piece_relations",C251)),Parameters!$B$7,IF(ISNUMBER(SEARCH("geometry",C251)),Parameters!$B$8,IF(ISNUMBER(SEARCH("reasoning",C251)),Parameters!$B$9,Parameters!$B$10))))))</f>
        <v>6</v>
      </c>
      <c r="F251" s="23">
        <f>IF(D251="major",Parameters!$B$14,IF(D251="medium",Parameters!$B$15,Parameters!$B$16))</f>
        <v>3</v>
      </c>
      <c r="G251" s="16">
        <f t="shared" si="7"/>
        <v>0</v>
      </c>
      <c r="H251" s="24">
        <f>Parameters!$B$20^(G251-1)</f>
        <v>1.4285714285714286</v>
      </c>
      <c r="I251" s="18">
        <f t="shared" si="8"/>
        <v>25.714285714285715</v>
      </c>
    </row>
    <row r="252" spans="1:9" ht="13.15" x14ac:dyDescent="0.35">
      <c r="A252" s="21">
        <v>251</v>
      </c>
      <c r="B252" s="16">
        <f>'Data DEEPSEEK'!B252</f>
        <v>14</v>
      </c>
      <c r="C252" s="22" t="str">
        <f>'Data DEEPSEEK'!F252</f>
        <v>piece_placement</v>
      </c>
      <c r="D252" s="16" t="str">
        <f>LOWER(TRIM('Data DEEPSEEK'!H252))</f>
        <v>major</v>
      </c>
      <c r="E252" s="23">
        <f>IF(ISNUMBER(SEARCH("move_legality",C252)),Parameters!$B$4,IF(ISNUMBER(SEARCH("piece_placement",C252)),Parameters!$B$5,IF(ISNUMBER(SEARCH("material",C252)),Parameters!$B$6,IF(ISNUMBER(SEARCH("piece_relations",C252)),Parameters!$B$7,IF(ISNUMBER(SEARCH("geometry",C252)),Parameters!$B$8,IF(ISNUMBER(SEARCH("reasoning",C252)),Parameters!$B$9,Parameters!$B$10))))))</f>
        <v>6</v>
      </c>
      <c r="F252" s="23">
        <f>IF(D252="major",Parameters!$B$14,IF(D252="medium",Parameters!$B$15,Parameters!$B$16))</f>
        <v>3</v>
      </c>
      <c r="G252" s="16">
        <f t="shared" si="7"/>
        <v>0</v>
      </c>
      <c r="H252" s="24">
        <f>Parameters!$B$20^(G252-1)</f>
        <v>1.4285714285714286</v>
      </c>
      <c r="I252" s="18">
        <f t="shared" si="8"/>
        <v>25.714285714285715</v>
      </c>
    </row>
    <row r="253" spans="1:9" ht="13.15" x14ac:dyDescent="0.35">
      <c r="A253" s="21">
        <v>252</v>
      </c>
      <c r="B253" s="16">
        <f>'Data DEEPSEEK'!B253</f>
        <v>15</v>
      </c>
      <c r="C253" s="22" t="str">
        <f>'Data DEEPSEEK'!F253</f>
        <v>piece_relations</v>
      </c>
      <c r="D253" s="16" t="str">
        <f>LOWER(TRIM('Data DEEPSEEK'!H253))</f>
        <v>medium</v>
      </c>
      <c r="E253" s="23">
        <f>IF(ISNUMBER(SEARCH("move_legality",C253)),Parameters!$B$4,IF(ISNUMBER(SEARCH("piece_placement",C253)),Parameters!$B$5,IF(ISNUMBER(SEARCH("material",C253)),Parameters!$B$6,IF(ISNUMBER(SEARCH("piece_relations",C253)),Parameters!$B$7,IF(ISNUMBER(SEARCH("geometry",C253)),Parameters!$B$8,IF(ISNUMBER(SEARCH("reasoning",C253)),Parameters!$B$9,Parameters!$B$10))))))</f>
        <v>4</v>
      </c>
      <c r="F253" s="23">
        <f>IF(D253="major",Parameters!$B$14,IF(D253="medium",Parameters!$B$15,Parameters!$B$16))</f>
        <v>2</v>
      </c>
      <c r="G253" s="16">
        <f t="shared" si="7"/>
        <v>0</v>
      </c>
      <c r="H253" s="24">
        <f>Parameters!$B$20^(G253-1)</f>
        <v>1.4285714285714286</v>
      </c>
      <c r="I253" s="18">
        <f t="shared" si="8"/>
        <v>11.428571428571429</v>
      </c>
    </row>
    <row r="254" spans="1:9" ht="13.15" x14ac:dyDescent="0.35">
      <c r="A254" s="21">
        <v>253</v>
      </c>
      <c r="B254" s="16">
        <f>'Data DEEPSEEK'!B254</f>
        <v>15</v>
      </c>
      <c r="C254" s="22" t="str">
        <f>'Data DEEPSEEK'!F254</f>
        <v>piece_relations</v>
      </c>
      <c r="D254" s="16" t="str">
        <f>LOWER(TRIM('Data DEEPSEEK'!H254))</f>
        <v>major</v>
      </c>
      <c r="E254" s="23">
        <f>IF(ISNUMBER(SEARCH("move_legality",C254)),Parameters!$B$4,IF(ISNUMBER(SEARCH("piece_placement",C254)),Parameters!$B$5,IF(ISNUMBER(SEARCH("material",C254)),Parameters!$B$6,IF(ISNUMBER(SEARCH("piece_relations",C254)),Parameters!$B$7,IF(ISNUMBER(SEARCH("geometry",C254)),Parameters!$B$8,IF(ISNUMBER(SEARCH("reasoning",C254)),Parameters!$B$9,Parameters!$B$10))))))</f>
        <v>4</v>
      </c>
      <c r="F254" s="23">
        <f>IF(D254="major",Parameters!$B$14,IF(D254="medium",Parameters!$B$15,Parameters!$B$16))</f>
        <v>3</v>
      </c>
      <c r="G254" s="16">
        <f t="shared" si="7"/>
        <v>0</v>
      </c>
      <c r="H254" s="24">
        <f>Parameters!$B$20^(G254-1)</f>
        <v>1.4285714285714286</v>
      </c>
      <c r="I254" s="18">
        <f t="shared" si="8"/>
        <v>17.142857142857142</v>
      </c>
    </row>
    <row r="255" spans="1:9" ht="13.15" x14ac:dyDescent="0.35">
      <c r="A255" s="21">
        <v>254</v>
      </c>
      <c r="B255" s="16">
        <f>'Data DEEPSEEK'!B255</f>
        <v>15</v>
      </c>
      <c r="C255" s="22" t="str">
        <f>'Data DEEPSEEK'!F255</f>
        <v>piece_relations</v>
      </c>
      <c r="D255" s="16" t="str">
        <f>LOWER(TRIM('Data DEEPSEEK'!H255))</f>
        <v>major</v>
      </c>
      <c r="E255" s="23">
        <f>IF(ISNUMBER(SEARCH("move_legality",C255)),Parameters!$B$4,IF(ISNUMBER(SEARCH("piece_placement",C255)),Parameters!$B$5,IF(ISNUMBER(SEARCH("material",C255)),Parameters!$B$6,IF(ISNUMBER(SEARCH("piece_relations",C255)),Parameters!$B$7,IF(ISNUMBER(SEARCH("geometry",C255)),Parameters!$B$8,IF(ISNUMBER(SEARCH("reasoning",C255)),Parameters!$B$9,Parameters!$B$10))))))</f>
        <v>4</v>
      </c>
      <c r="F255" s="23">
        <f>IF(D255="major",Parameters!$B$14,IF(D255="medium",Parameters!$B$15,Parameters!$B$16))</f>
        <v>3</v>
      </c>
      <c r="G255" s="16">
        <f t="shared" si="7"/>
        <v>0</v>
      </c>
      <c r="H255" s="24">
        <f>Parameters!$B$20^(G255-1)</f>
        <v>1.4285714285714286</v>
      </c>
      <c r="I255" s="18">
        <f t="shared" si="8"/>
        <v>17.142857142857142</v>
      </c>
    </row>
    <row r="256" spans="1:9" ht="13.15" x14ac:dyDescent="0.35">
      <c r="A256" s="21">
        <v>255</v>
      </c>
      <c r="B256" s="16">
        <f>'Data DEEPSEEK'!B256</f>
        <v>15</v>
      </c>
      <c r="C256" s="22" t="str">
        <f>'Data DEEPSEEK'!F256</f>
        <v>reasoning</v>
      </c>
      <c r="D256" s="16" t="str">
        <f>LOWER(TRIM('Data DEEPSEEK'!H256))</f>
        <v>medium</v>
      </c>
      <c r="E256" s="23">
        <f>IF(ISNUMBER(SEARCH("move_legality",C256)),Parameters!$B$4,IF(ISNUMBER(SEARCH("piece_placement",C256)),Parameters!$B$5,IF(ISNUMBER(SEARCH("material",C256)),Parameters!$B$6,IF(ISNUMBER(SEARCH("piece_relations",C256)),Parameters!$B$7,IF(ISNUMBER(SEARCH("geometry",C256)),Parameters!$B$8,IF(ISNUMBER(SEARCH("reasoning",C256)),Parameters!$B$9,Parameters!$B$10))))))</f>
        <v>2</v>
      </c>
      <c r="F256" s="23">
        <f>IF(D256="major",Parameters!$B$14,IF(D256="medium",Parameters!$B$15,Parameters!$B$16))</f>
        <v>2</v>
      </c>
      <c r="G256" s="16">
        <f t="shared" si="7"/>
        <v>0</v>
      </c>
      <c r="H256" s="24">
        <f>Parameters!$B$20^(G256-1)</f>
        <v>1.4285714285714286</v>
      </c>
      <c r="I256" s="18">
        <f t="shared" si="8"/>
        <v>5.7142857142857144</v>
      </c>
    </row>
    <row r="257" spans="1:9" ht="13.15" x14ac:dyDescent="0.35">
      <c r="A257" s="21">
        <v>256</v>
      </c>
      <c r="B257" s="16">
        <f>'Data DEEPSEEK'!B257</f>
        <v>15</v>
      </c>
      <c r="C257" s="22" t="str">
        <f>'Data DEEPSEEK'!F257</f>
        <v>reasoning</v>
      </c>
      <c r="D257" s="16" t="str">
        <f>LOWER(TRIM('Data DEEPSEEK'!H257))</f>
        <v>minor</v>
      </c>
      <c r="E257" s="23">
        <f>IF(ISNUMBER(SEARCH("move_legality",C257)),Parameters!$B$4,IF(ISNUMBER(SEARCH("piece_placement",C257)),Parameters!$B$5,IF(ISNUMBER(SEARCH("material",C257)),Parameters!$B$6,IF(ISNUMBER(SEARCH("piece_relations",C257)),Parameters!$B$7,IF(ISNUMBER(SEARCH("geometry",C257)),Parameters!$B$8,IF(ISNUMBER(SEARCH("reasoning",C257)),Parameters!$B$9,Parameters!$B$10))))))</f>
        <v>2</v>
      </c>
      <c r="F257" s="23">
        <f>IF(D257="major",Parameters!$B$14,IF(D257="medium",Parameters!$B$15,Parameters!$B$16))</f>
        <v>1</v>
      </c>
      <c r="G257" s="16">
        <f t="shared" si="7"/>
        <v>0</v>
      </c>
      <c r="H257" s="24">
        <f>Parameters!$B$20^(G257-1)</f>
        <v>1.4285714285714286</v>
      </c>
      <c r="I257" s="18">
        <f t="shared" si="8"/>
        <v>2.8571428571428572</v>
      </c>
    </row>
    <row r="258" spans="1:9" ht="13.15" x14ac:dyDescent="0.35">
      <c r="A258" s="21">
        <v>257</v>
      </c>
      <c r="B258" s="16">
        <f>'Data DEEPSEEK'!B258</f>
        <v>15</v>
      </c>
      <c r="C258" s="22" t="str">
        <f>'Data DEEPSEEK'!F258</f>
        <v>reasoning</v>
      </c>
      <c r="D258" s="16" t="str">
        <f>LOWER(TRIM('Data DEEPSEEK'!H258))</f>
        <v>medium</v>
      </c>
      <c r="E258" s="23">
        <f>IF(ISNUMBER(SEARCH("move_legality",C258)),Parameters!$B$4,IF(ISNUMBER(SEARCH("piece_placement",C258)),Parameters!$B$5,IF(ISNUMBER(SEARCH("material",C258)),Parameters!$B$6,IF(ISNUMBER(SEARCH("piece_relations",C258)),Parameters!$B$7,IF(ISNUMBER(SEARCH("geometry",C258)),Parameters!$B$8,IF(ISNUMBER(SEARCH("reasoning",C258)),Parameters!$B$9,Parameters!$B$10))))))</f>
        <v>2</v>
      </c>
      <c r="F258" s="23">
        <f>IF(D258="major",Parameters!$B$14,IF(D258="medium",Parameters!$B$15,Parameters!$B$16))</f>
        <v>2</v>
      </c>
      <c r="G258" s="16">
        <f t="shared" si="7"/>
        <v>0</v>
      </c>
      <c r="H258" s="24">
        <f>Parameters!$B$20^(G258-1)</f>
        <v>1.4285714285714286</v>
      </c>
      <c r="I258" s="18">
        <f t="shared" si="8"/>
        <v>5.7142857142857144</v>
      </c>
    </row>
    <row r="259" spans="1:9" ht="13.15" x14ac:dyDescent="0.35">
      <c r="A259" s="21">
        <v>258</v>
      </c>
      <c r="B259" s="16">
        <f>'Data DEEPSEEK'!B259</f>
        <v>15</v>
      </c>
      <c r="C259" s="22" t="str">
        <f>'Data DEEPSEEK'!F259</f>
        <v>move_legality</v>
      </c>
      <c r="D259" s="16" t="str">
        <f>LOWER(TRIM('Data DEEPSEEK'!H259))</f>
        <v>major</v>
      </c>
      <c r="E259" s="23">
        <f>IF(ISNUMBER(SEARCH("move_legality",C259)),Parameters!$B$4,IF(ISNUMBER(SEARCH("piece_placement",C259)),Parameters!$B$5,IF(ISNUMBER(SEARCH("material",C259)),Parameters!$B$6,IF(ISNUMBER(SEARCH("piece_relations",C259)),Parameters!$B$7,IF(ISNUMBER(SEARCH("geometry",C259)),Parameters!$B$8,IF(ISNUMBER(SEARCH("reasoning",C259)),Parameters!$B$9,Parameters!$B$10))))))</f>
        <v>8</v>
      </c>
      <c r="F259" s="23">
        <f>IF(D259="major",Parameters!$B$14,IF(D259="medium",Parameters!$B$15,Parameters!$B$16))</f>
        <v>3</v>
      </c>
      <c r="G259" s="16">
        <f t="shared" ref="G259:G322" si="9">COUNTIFS($B$2:$B$12,B259,$C$2:$C$12,C259,$F$2:$F$12,"&gt;"&amp;F259)+COUNTIFS($B$2:$B$12,B259,$C$2:$C$12,C259,$F$2:$F$12,F259,$A$2:$A$12,"&lt;="&amp;A259)</f>
        <v>0</v>
      </c>
      <c r="H259" s="24">
        <f>Parameters!$B$20^(G259-1)</f>
        <v>1.4285714285714286</v>
      </c>
      <c r="I259" s="18">
        <f t="shared" ref="I259:I322" si="10">E259*F259*H259</f>
        <v>34.285714285714285</v>
      </c>
    </row>
    <row r="260" spans="1:9" ht="13.15" x14ac:dyDescent="0.35">
      <c r="A260" s="21">
        <v>259</v>
      </c>
      <c r="B260" s="16">
        <f>'Data DEEPSEEK'!B260</f>
        <v>15</v>
      </c>
      <c r="C260" s="22" t="str">
        <f>'Data DEEPSEEK'!F260</f>
        <v>move_legality</v>
      </c>
      <c r="D260" s="16" t="str">
        <f>LOWER(TRIM('Data DEEPSEEK'!H260))</f>
        <v>major</v>
      </c>
      <c r="E260" s="23">
        <f>IF(ISNUMBER(SEARCH("move_legality",C260)),Parameters!$B$4,IF(ISNUMBER(SEARCH("piece_placement",C260)),Parameters!$B$5,IF(ISNUMBER(SEARCH("material",C260)),Parameters!$B$6,IF(ISNUMBER(SEARCH("piece_relations",C260)),Parameters!$B$7,IF(ISNUMBER(SEARCH("geometry",C260)),Parameters!$B$8,IF(ISNUMBER(SEARCH("reasoning",C260)),Parameters!$B$9,Parameters!$B$10))))))</f>
        <v>8</v>
      </c>
      <c r="F260" s="23">
        <f>IF(D260="major",Parameters!$B$14,IF(D260="medium",Parameters!$B$15,Parameters!$B$16))</f>
        <v>3</v>
      </c>
      <c r="G260" s="16">
        <f t="shared" si="9"/>
        <v>0</v>
      </c>
      <c r="H260" s="24">
        <f>Parameters!$B$20^(G260-1)</f>
        <v>1.4285714285714286</v>
      </c>
      <c r="I260" s="18">
        <f t="shared" si="10"/>
        <v>34.285714285714285</v>
      </c>
    </row>
    <row r="261" spans="1:9" ht="13.15" x14ac:dyDescent="0.35">
      <c r="A261" s="21">
        <v>260</v>
      </c>
      <c r="B261" s="16">
        <f>'Data DEEPSEEK'!B261</f>
        <v>15</v>
      </c>
      <c r="C261" s="22" t="str">
        <f>'Data DEEPSEEK'!F261</f>
        <v>move_legality</v>
      </c>
      <c r="D261" s="16" t="str">
        <f>LOWER(TRIM('Data DEEPSEEK'!H261))</f>
        <v>major</v>
      </c>
      <c r="E261" s="23">
        <f>IF(ISNUMBER(SEARCH("move_legality",C261)),Parameters!$B$4,IF(ISNUMBER(SEARCH("piece_placement",C261)),Parameters!$B$5,IF(ISNUMBER(SEARCH("material",C261)),Parameters!$B$6,IF(ISNUMBER(SEARCH("piece_relations",C261)),Parameters!$B$7,IF(ISNUMBER(SEARCH("geometry",C261)),Parameters!$B$8,IF(ISNUMBER(SEARCH("reasoning",C261)),Parameters!$B$9,Parameters!$B$10))))))</f>
        <v>8</v>
      </c>
      <c r="F261" s="23">
        <f>IF(D261="major",Parameters!$B$14,IF(D261="medium",Parameters!$B$15,Parameters!$B$16))</f>
        <v>3</v>
      </c>
      <c r="G261" s="16">
        <f t="shared" si="9"/>
        <v>0</v>
      </c>
      <c r="H261" s="24">
        <f>Parameters!$B$20^(G261-1)</f>
        <v>1.4285714285714286</v>
      </c>
      <c r="I261" s="18">
        <f t="shared" si="10"/>
        <v>34.285714285714285</v>
      </c>
    </row>
    <row r="262" spans="1:9" ht="13.15" x14ac:dyDescent="0.35">
      <c r="A262" s="21">
        <v>261</v>
      </c>
      <c r="B262" s="16">
        <f>'Data DEEPSEEK'!B262</f>
        <v>15</v>
      </c>
      <c r="C262" s="22" t="str">
        <f>'Data DEEPSEEK'!F262</f>
        <v>piece_relations</v>
      </c>
      <c r="D262" s="16" t="str">
        <f>LOWER(TRIM('Data DEEPSEEK'!H262))</f>
        <v>medium</v>
      </c>
      <c r="E262" s="23">
        <f>IF(ISNUMBER(SEARCH("move_legality",C262)),Parameters!$B$4,IF(ISNUMBER(SEARCH("piece_placement",C262)),Parameters!$B$5,IF(ISNUMBER(SEARCH("material",C262)),Parameters!$B$6,IF(ISNUMBER(SEARCH("piece_relations",C262)),Parameters!$B$7,IF(ISNUMBER(SEARCH("geometry",C262)),Parameters!$B$8,IF(ISNUMBER(SEARCH("reasoning",C262)),Parameters!$B$9,Parameters!$B$10))))))</f>
        <v>4</v>
      </c>
      <c r="F262" s="23">
        <f>IF(D262="major",Parameters!$B$14,IF(D262="medium",Parameters!$B$15,Parameters!$B$16))</f>
        <v>2</v>
      </c>
      <c r="G262" s="16">
        <f t="shared" si="9"/>
        <v>0</v>
      </c>
      <c r="H262" s="24">
        <f>Parameters!$B$20^(G262-1)</f>
        <v>1.4285714285714286</v>
      </c>
      <c r="I262" s="18">
        <f t="shared" si="10"/>
        <v>11.428571428571429</v>
      </c>
    </row>
    <row r="263" spans="1:9" ht="13.15" x14ac:dyDescent="0.35">
      <c r="A263" s="21">
        <v>262</v>
      </c>
      <c r="B263" s="16">
        <f>'Data DEEPSEEK'!B263</f>
        <v>15</v>
      </c>
      <c r="C263" s="22" t="str">
        <f>'Data DEEPSEEK'!F263</f>
        <v>move_legality</v>
      </c>
      <c r="D263" s="16" t="str">
        <f>LOWER(TRIM('Data DEEPSEEK'!H263))</f>
        <v>major</v>
      </c>
      <c r="E263" s="23">
        <f>IF(ISNUMBER(SEARCH("move_legality",C263)),Parameters!$B$4,IF(ISNUMBER(SEARCH("piece_placement",C263)),Parameters!$B$5,IF(ISNUMBER(SEARCH("material",C263)),Parameters!$B$6,IF(ISNUMBER(SEARCH("piece_relations",C263)),Parameters!$B$7,IF(ISNUMBER(SEARCH("geometry",C263)),Parameters!$B$8,IF(ISNUMBER(SEARCH("reasoning",C263)),Parameters!$B$9,Parameters!$B$10))))))</f>
        <v>8</v>
      </c>
      <c r="F263" s="23">
        <f>IF(D263="major",Parameters!$B$14,IF(D263="medium",Parameters!$B$15,Parameters!$B$16))</f>
        <v>3</v>
      </c>
      <c r="G263" s="16">
        <f t="shared" si="9"/>
        <v>0</v>
      </c>
      <c r="H263" s="24">
        <f>Parameters!$B$20^(G263-1)</f>
        <v>1.4285714285714286</v>
      </c>
      <c r="I263" s="18">
        <f t="shared" si="10"/>
        <v>34.285714285714285</v>
      </c>
    </row>
    <row r="264" spans="1:9" ht="13.15" x14ac:dyDescent="0.35">
      <c r="A264" s="21">
        <v>263</v>
      </c>
      <c r="B264" s="16">
        <f>'Data DEEPSEEK'!B264</f>
        <v>15</v>
      </c>
      <c r="C264" s="22" t="str">
        <f>'Data DEEPSEEK'!F264</f>
        <v>piece_relations</v>
      </c>
      <c r="D264" s="16" t="str">
        <f>LOWER(TRIM('Data DEEPSEEK'!H264))</f>
        <v>major</v>
      </c>
      <c r="E264" s="23">
        <f>IF(ISNUMBER(SEARCH("move_legality",C264)),Parameters!$B$4,IF(ISNUMBER(SEARCH("piece_placement",C264)),Parameters!$B$5,IF(ISNUMBER(SEARCH("material",C264)),Parameters!$B$6,IF(ISNUMBER(SEARCH("piece_relations",C264)),Parameters!$B$7,IF(ISNUMBER(SEARCH("geometry",C264)),Parameters!$B$8,IF(ISNUMBER(SEARCH("reasoning",C264)),Parameters!$B$9,Parameters!$B$10))))))</f>
        <v>4</v>
      </c>
      <c r="F264" s="23">
        <f>IF(D264="major",Parameters!$B$14,IF(D264="medium",Parameters!$B$15,Parameters!$B$16))</f>
        <v>3</v>
      </c>
      <c r="G264" s="16">
        <f t="shared" si="9"/>
        <v>0</v>
      </c>
      <c r="H264" s="24">
        <f>Parameters!$B$20^(G264-1)</f>
        <v>1.4285714285714286</v>
      </c>
      <c r="I264" s="18">
        <f t="shared" si="10"/>
        <v>17.142857142857142</v>
      </c>
    </row>
    <row r="265" spans="1:9" ht="13.15" x14ac:dyDescent="0.35">
      <c r="A265" s="21">
        <v>264</v>
      </c>
      <c r="B265" s="16">
        <f>'Data DEEPSEEK'!B265</f>
        <v>15</v>
      </c>
      <c r="C265" s="22" t="str">
        <f>'Data DEEPSEEK'!F265</f>
        <v>move_legality</v>
      </c>
      <c r="D265" s="16" t="str">
        <f>LOWER(TRIM('Data DEEPSEEK'!H265))</f>
        <v>major</v>
      </c>
      <c r="E265" s="23">
        <f>IF(ISNUMBER(SEARCH("move_legality",C265)),Parameters!$B$4,IF(ISNUMBER(SEARCH("piece_placement",C265)),Parameters!$B$5,IF(ISNUMBER(SEARCH("material",C265)),Parameters!$B$6,IF(ISNUMBER(SEARCH("piece_relations",C265)),Parameters!$B$7,IF(ISNUMBER(SEARCH("geometry",C265)),Parameters!$B$8,IF(ISNUMBER(SEARCH("reasoning",C265)),Parameters!$B$9,Parameters!$B$10))))))</f>
        <v>8</v>
      </c>
      <c r="F265" s="23">
        <f>IF(D265="major",Parameters!$B$14,IF(D265="medium",Parameters!$B$15,Parameters!$B$16))</f>
        <v>3</v>
      </c>
      <c r="G265" s="16">
        <f t="shared" si="9"/>
        <v>0</v>
      </c>
      <c r="H265" s="24">
        <f>Parameters!$B$20^(G265-1)</f>
        <v>1.4285714285714286</v>
      </c>
      <c r="I265" s="18">
        <f t="shared" si="10"/>
        <v>34.285714285714285</v>
      </c>
    </row>
    <row r="266" spans="1:9" ht="13.15" x14ac:dyDescent="0.35">
      <c r="A266" s="21">
        <v>265</v>
      </c>
      <c r="B266" s="16">
        <f>'Data DEEPSEEK'!B266</f>
        <v>15</v>
      </c>
      <c r="C266" s="22" t="str">
        <f>'Data DEEPSEEK'!F266</f>
        <v>piece_relations</v>
      </c>
      <c r="D266" s="16" t="str">
        <f>LOWER(TRIM('Data DEEPSEEK'!H266))</f>
        <v>major</v>
      </c>
      <c r="E266" s="23">
        <f>IF(ISNUMBER(SEARCH("move_legality",C266)),Parameters!$B$4,IF(ISNUMBER(SEARCH("piece_placement",C266)),Parameters!$B$5,IF(ISNUMBER(SEARCH("material",C266)),Parameters!$B$6,IF(ISNUMBER(SEARCH("piece_relations",C266)),Parameters!$B$7,IF(ISNUMBER(SEARCH("geometry",C266)),Parameters!$B$8,IF(ISNUMBER(SEARCH("reasoning",C266)),Parameters!$B$9,Parameters!$B$10))))))</f>
        <v>4</v>
      </c>
      <c r="F266" s="23">
        <f>IF(D266="major",Parameters!$B$14,IF(D266="medium",Parameters!$B$15,Parameters!$B$16))</f>
        <v>3</v>
      </c>
      <c r="G266" s="16">
        <f t="shared" si="9"/>
        <v>0</v>
      </c>
      <c r="H266" s="24">
        <f>Parameters!$B$20^(G266-1)</f>
        <v>1.4285714285714286</v>
      </c>
      <c r="I266" s="18">
        <f t="shared" si="10"/>
        <v>17.142857142857142</v>
      </c>
    </row>
    <row r="267" spans="1:9" ht="13.15" x14ac:dyDescent="0.35">
      <c r="A267" s="21">
        <v>266</v>
      </c>
      <c r="B267" s="16">
        <f>'Data DEEPSEEK'!B267</f>
        <v>15</v>
      </c>
      <c r="C267" s="22" t="str">
        <f>'Data DEEPSEEK'!F267</f>
        <v>piece_relations</v>
      </c>
      <c r="D267" s="16" t="str">
        <f>LOWER(TRIM('Data DEEPSEEK'!H267))</f>
        <v>major</v>
      </c>
      <c r="E267" s="23">
        <f>IF(ISNUMBER(SEARCH("move_legality",C267)),Parameters!$B$4,IF(ISNUMBER(SEARCH("piece_placement",C267)),Parameters!$B$5,IF(ISNUMBER(SEARCH("material",C267)),Parameters!$B$6,IF(ISNUMBER(SEARCH("piece_relations",C267)),Parameters!$B$7,IF(ISNUMBER(SEARCH("geometry",C267)),Parameters!$B$8,IF(ISNUMBER(SEARCH("reasoning",C267)),Parameters!$B$9,Parameters!$B$10))))))</f>
        <v>4</v>
      </c>
      <c r="F267" s="23">
        <f>IF(D267="major",Parameters!$B$14,IF(D267="medium",Parameters!$B$15,Parameters!$B$16))</f>
        <v>3</v>
      </c>
      <c r="G267" s="16">
        <f t="shared" si="9"/>
        <v>0</v>
      </c>
      <c r="H267" s="24">
        <f>Parameters!$B$20^(G267-1)</f>
        <v>1.4285714285714286</v>
      </c>
      <c r="I267" s="18">
        <f t="shared" si="10"/>
        <v>17.142857142857142</v>
      </c>
    </row>
    <row r="268" spans="1:9" ht="13.15" x14ac:dyDescent="0.35">
      <c r="A268" s="21">
        <v>267</v>
      </c>
      <c r="B268" s="16">
        <f>'Data DEEPSEEK'!B268</f>
        <v>15</v>
      </c>
      <c r="C268" s="22" t="str">
        <f>'Data DEEPSEEK'!F268</f>
        <v>piece_relations</v>
      </c>
      <c r="D268" s="16" t="str">
        <f>LOWER(TRIM('Data DEEPSEEK'!H268))</f>
        <v>major</v>
      </c>
      <c r="E268" s="23">
        <f>IF(ISNUMBER(SEARCH("move_legality",C268)),Parameters!$B$4,IF(ISNUMBER(SEARCH("piece_placement",C268)),Parameters!$B$5,IF(ISNUMBER(SEARCH("material",C268)),Parameters!$B$6,IF(ISNUMBER(SEARCH("piece_relations",C268)),Parameters!$B$7,IF(ISNUMBER(SEARCH("geometry",C268)),Parameters!$B$8,IF(ISNUMBER(SEARCH("reasoning",C268)),Parameters!$B$9,Parameters!$B$10))))))</f>
        <v>4</v>
      </c>
      <c r="F268" s="23">
        <f>IF(D268="major",Parameters!$B$14,IF(D268="medium",Parameters!$B$15,Parameters!$B$16))</f>
        <v>3</v>
      </c>
      <c r="G268" s="16">
        <f t="shared" si="9"/>
        <v>0</v>
      </c>
      <c r="H268" s="24">
        <f>Parameters!$B$20^(G268-1)</f>
        <v>1.4285714285714286</v>
      </c>
      <c r="I268" s="18">
        <f t="shared" si="10"/>
        <v>17.142857142857142</v>
      </c>
    </row>
    <row r="269" spans="1:9" ht="13.15" x14ac:dyDescent="0.35">
      <c r="A269" s="21">
        <v>268</v>
      </c>
      <c r="B269" s="16">
        <f>'Data DEEPSEEK'!B269</f>
        <v>15</v>
      </c>
      <c r="C269" s="22" t="str">
        <f>'Data DEEPSEEK'!F269</f>
        <v>reasoning</v>
      </c>
      <c r="D269" s="16" t="str">
        <f>LOWER(TRIM('Data DEEPSEEK'!H269))</f>
        <v>medium</v>
      </c>
      <c r="E269" s="23">
        <f>IF(ISNUMBER(SEARCH("move_legality",C269)),Parameters!$B$4,IF(ISNUMBER(SEARCH("piece_placement",C269)),Parameters!$B$5,IF(ISNUMBER(SEARCH("material",C269)),Parameters!$B$6,IF(ISNUMBER(SEARCH("piece_relations",C269)),Parameters!$B$7,IF(ISNUMBER(SEARCH("geometry",C269)),Parameters!$B$8,IF(ISNUMBER(SEARCH("reasoning",C269)),Parameters!$B$9,Parameters!$B$10))))))</f>
        <v>2</v>
      </c>
      <c r="F269" s="23">
        <f>IF(D269="major",Parameters!$B$14,IF(D269="medium",Parameters!$B$15,Parameters!$B$16))</f>
        <v>2</v>
      </c>
      <c r="G269" s="16">
        <f t="shared" si="9"/>
        <v>0</v>
      </c>
      <c r="H269" s="24">
        <f>Parameters!$B$20^(G269-1)</f>
        <v>1.4285714285714286</v>
      </c>
      <c r="I269" s="18">
        <f t="shared" si="10"/>
        <v>5.7142857142857144</v>
      </c>
    </row>
    <row r="270" spans="1:9" ht="13.15" x14ac:dyDescent="0.35">
      <c r="A270" s="21">
        <v>269</v>
      </c>
      <c r="B270" s="16">
        <f>'Data DEEPSEEK'!B270</f>
        <v>15</v>
      </c>
      <c r="C270" s="22" t="str">
        <f>'Data DEEPSEEK'!F270</f>
        <v>piece_relations</v>
      </c>
      <c r="D270" s="16" t="str">
        <f>LOWER(TRIM('Data DEEPSEEK'!H270))</f>
        <v>major</v>
      </c>
      <c r="E270" s="23">
        <f>IF(ISNUMBER(SEARCH("move_legality",C270)),Parameters!$B$4,IF(ISNUMBER(SEARCH("piece_placement",C270)),Parameters!$B$5,IF(ISNUMBER(SEARCH("material",C270)),Parameters!$B$6,IF(ISNUMBER(SEARCH("piece_relations",C270)),Parameters!$B$7,IF(ISNUMBER(SEARCH("geometry",C270)),Parameters!$B$8,IF(ISNUMBER(SEARCH("reasoning",C270)),Parameters!$B$9,Parameters!$B$10))))))</f>
        <v>4</v>
      </c>
      <c r="F270" s="23">
        <f>IF(D270="major",Parameters!$B$14,IF(D270="medium",Parameters!$B$15,Parameters!$B$16))</f>
        <v>3</v>
      </c>
      <c r="G270" s="16">
        <f t="shared" si="9"/>
        <v>0</v>
      </c>
      <c r="H270" s="24">
        <f>Parameters!$B$20^(G270-1)</f>
        <v>1.4285714285714286</v>
      </c>
      <c r="I270" s="18">
        <f t="shared" si="10"/>
        <v>17.142857142857142</v>
      </c>
    </row>
    <row r="271" spans="1:9" ht="13.15" x14ac:dyDescent="0.35">
      <c r="A271" s="21">
        <v>270</v>
      </c>
      <c r="B271" s="16">
        <f>'Data DEEPSEEK'!B271</f>
        <v>15</v>
      </c>
      <c r="C271" s="22" t="str">
        <f>'Data DEEPSEEK'!F271</f>
        <v>reasoning</v>
      </c>
      <c r="D271" s="16" t="str">
        <f>LOWER(TRIM('Data DEEPSEEK'!H271))</f>
        <v>major</v>
      </c>
      <c r="E271" s="23">
        <f>IF(ISNUMBER(SEARCH("move_legality",C271)),Parameters!$B$4,IF(ISNUMBER(SEARCH("piece_placement",C271)),Parameters!$B$5,IF(ISNUMBER(SEARCH("material",C271)),Parameters!$B$6,IF(ISNUMBER(SEARCH("piece_relations",C271)),Parameters!$B$7,IF(ISNUMBER(SEARCH("geometry",C271)),Parameters!$B$8,IF(ISNUMBER(SEARCH("reasoning",C271)),Parameters!$B$9,Parameters!$B$10))))))</f>
        <v>2</v>
      </c>
      <c r="F271" s="23">
        <f>IF(D271="major",Parameters!$B$14,IF(D271="medium",Parameters!$B$15,Parameters!$B$16))</f>
        <v>3</v>
      </c>
      <c r="G271" s="16">
        <f t="shared" si="9"/>
        <v>0</v>
      </c>
      <c r="H271" s="24">
        <f>Parameters!$B$20^(G271-1)</f>
        <v>1.4285714285714286</v>
      </c>
      <c r="I271" s="18">
        <f t="shared" si="10"/>
        <v>8.5714285714285712</v>
      </c>
    </row>
    <row r="272" spans="1:9" ht="13.15" x14ac:dyDescent="0.35">
      <c r="A272" s="21">
        <v>271</v>
      </c>
      <c r="B272" s="16">
        <f>'Data DEEPSEEK'!B272</f>
        <v>15</v>
      </c>
      <c r="C272" s="22" t="str">
        <f>'Data DEEPSEEK'!F272</f>
        <v>reasoning</v>
      </c>
      <c r="D272" s="16" t="str">
        <f>LOWER(TRIM('Data DEEPSEEK'!H272))</f>
        <v>major</v>
      </c>
      <c r="E272" s="23">
        <f>IF(ISNUMBER(SEARCH("move_legality",C272)),Parameters!$B$4,IF(ISNUMBER(SEARCH("piece_placement",C272)),Parameters!$B$5,IF(ISNUMBER(SEARCH("material",C272)),Parameters!$B$6,IF(ISNUMBER(SEARCH("piece_relations",C272)),Parameters!$B$7,IF(ISNUMBER(SEARCH("geometry",C272)),Parameters!$B$8,IF(ISNUMBER(SEARCH("reasoning",C272)),Parameters!$B$9,Parameters!$B$10))))))</f>
        <v>2</v>
      </c>
      <c r="F272" s="23">
        <f>IF(D272="major",Parameters!$B$14,IF(D272="medium",Parameters!$B$15,Parameters!$B$16))</f>
        <v>3</v>
      </c>
      <c r="G272" s="16">
        <f t="shared" si="9"/>
        <v>0</v>
      </c>
      <c r="H272" s="24">
        <f>Parameters!$B$20^(G272-1)</f>
        <v>1.4285714285714286</v>
      </c>
      <c r="I272" s="18">
        <f t="shared" si="10"/>
        <v>8.5714285714285712</v>
      </c>
    </row>
    <row r="273" spans="1:9" ht="13.15" x14ac:dyDescent="0.35">
      <c r="A273" s="21">
        <v>272</v>
      </c>
      <c r="B273" s="16">
        <f>'Data DEEPSEEK'!B273</f>
        <v>15</v>
      </c>
      <c r="C273" s="22" t="str">
        <f>'Data DEEPSEEK'!F273</f>
        <v>reasoning</v>
      </c>
      <c r="D273" s="16" t="str">
        <f>LOWER(TRIM('Data DEEPSEEK'!H273))</f>
        <v>medium</v>
      </c>
      <c r="E273" s="23">
        <f>IF(ISNUMBER(SEARCH("move_legality",C273)),Parameters!$B$4,IF(ISNUMBER(SEARCH("piece_placement",C273)),Parameters!$B$5,IF(ISNUMBER(SEARCH("material",C273)),Parameters!$B$6,IF(ISNUMBER(SEARCH("piece_relations",C273)),Parameters!$B$7,IF(ISNUMBER(SEARCH("geometry",C273)),Parameters!$B$8,IF(ISNUMBER(SEARCH("reasoning",C273)),Parameters!$B$9,Parameters!$B$10))))))</f>
        <v>2</v>
      </c>
      <c r="F273" s="23">
        <f>IF(D273="major",Parameters!$B$14,IF(D273="medium",Parameters!$B$15,Parameters!$B$16))</f>
        <v>2</v>
      </c>
      <c r="G273" s="16">
        <f t="shared" si="9"/>
        <v>0</v>
      </c>
      <c r="H273" s="24">
        <f>Parameters!$B$20^(G273-1)</f>
        <v>1.4285714285714286</v>
      </c>
      <c r="I273" s="18">
        <f t="shared" si="10"/>
        <v>5.7142857142857144</v>
      </c>
    </row>
    <row r="274" spans="1:9" ht="13.15" x14ac:dyDescent="0.35">
      <c r="A274" s="21">
        <v>273</v>
      </c>
      <c r="B274" s="16">
        <f>'Data DEEPSEEK'!B274</f>
        <v>16</v>
      </c>
      <c r="C274" s="22" t="str">
        <f>'Data DEEPSEEK'!F274</f>
        <v>piece_relations</v>
      </c>
      <c r="D274" s="16" t="str">
        <f>LOWER(TRIM('Data DEEPSEEK'!H274))</f>
        <v>major</v>
      </c>
      <c r="E274" s="23">
        <f>IF(ISNUMBER(SEARCH("move_legality",C274)),Parameters!$B$4,IF(ISNUMBER(SEARCH("piece_placement",C274)),Parameters!$B$5,IF(ISNUMBER(SEARCH("material",C274)),Parameters!$B$6,IF(ISNUMBER(SEARCH("piece_relations",C274)),Parameters!$B$7,IF(ISNUMBER(SEARCH("geometry",C274)),Parameters!$B$8,IF(ISNUMBER(SEARCH("reasoning",C274)),Parameters!$B$9,Parameters!$B$10))))))</f>
        <v>4</v>
      </c>
      <c r="F274" s="23">
        <f>IF(D274="major",Parameters!$B$14,IF(D274="medium",Parameters!$B$15,Parameters!$B$16))</f>
        <v>3</v>
      </c>
      <c r="G274" s="16">
        <f t="shared" si="9"/>
        <v>0</v>
      </c>
      <c r="H274" s="24">
        <f>Parameters!$B$20^(G274-1)</f>
        <v>1.4285714285714286</v>
      </c>
      <c r="I274" s="18">
        <f t="shared" si="10"/>
        <v>17.142857142857142</v>
      </c>
    </row>
    <row r="275" spans="1:9" ht="13.15" x14ac:dyDescent="0.35">
      <c r="A275" s="21">
        <v>274</v>
      </c>
      <c r="B275" s="16">
        <f>'Data DEEPSEEK'!B275</f>
        <v>16</v>
      </c>
      <c r="C275" s="22" t="str">
        <f>'Data DEEPSEEK'!F275</f>
        <v>piece_relations</v>
      </c>
      <c r="D275" s="16" t="str">
        <f>LOWER(TRIM('Data DEEPSEEK'!H275))</f>
        <v>major</v>
      </c>
      <c r="E275" s="23">
        <f>IF(ISNUMBER(SEARCH("move_legality",C275)),Parameters!$B$4,IF(ISNUMBER(SEARCH("piece_placement",C275)),Parameters!$B$5,IF(ISNUMBER(SEARCH("material",C275)),Parameters!$B$6,IF(ISNUMBER(SEARCH("piece_relations",C275)),Parameters!$B$7,IF(ISNUMBER(SEARCH("geometry",C275)),Parameters!$B$8,IF(ISNUMBER(SEARCH("reasoning",C275)),Parameters!$B$9,Parameters!$B$10))))))</f>
        <v>4</v>
      </c>
      <c r="F275" s="23">
        <f>IF(D275="major",Parameters!$B$14,IF(D275="medium",Parameters!$B$15,Parameters!$B$16))</f>
        <v>3</v>
      </c>
      <c r="G275" s="16">
        <f t="shared" si="9"/>
        <v>0</v>
      </c>
      <c r="H275" s="24">
        <f>Parameters!$B$20^(G275-1)</f>
        <v>1.4285714285714286</v>
      </c>
      <c r="I275" s="18">
        <f t="shared" si="10"/>
        <v>17.142857142857142</v>
      </c>
    </row>
    <row r="276" spans="1:9" ht="13.15" x14ac:dyDescent="0.35">
      <c r="A276" s="21">
        <v>275</v>
      </c>
      <c r="B276" s="16">
        <f>'Data DEEPSEEK'!B276</f>
        <v>16</v>
      </c>
      <c r="C276" s="22" t="str">
        <f>'Data DEEPSEEK'!F276</f>
        <v>move_legality</v>
      </c>
      <c r="D276" s="16" t="str">
        <f>LOWER(TRIM('Data DEEPSEEK'!H276))</f>
        <v>major</v>
      </c>
      <c r="E276" s="23">
        <f>IF(ISNUMBER(SEARCH("move_legality",C276)),Parameters!$B$4,IF(ISNUMBER(SEARCH("piece_placement",C276)),Parameters!$B$5,IF(ISNUMBER(SEARCH("material",C276)),Parameters!$B$6,IF(ISNUMBER(SEARCH("piece_relations",C276)),Parameters!$B$7,IF(ISNUMBER(SEARCH("geometry",C276)),Parameters!$B$8,IF(ISNUMBER(SEARCH("reasoning",C276)),Parameters!$B$9,Parameters!$B$10))))))</f>
        <v>8</v>
      </c>
      <c r="F276" s="23">
        <f>IF(D276="major",Parameters!$B$14,IF(D276="medium",Parameters!$B$15,Parameters!$B$16))</f>
        <v>3</v>
      </c>
      <c r="G276" s="16">
        <f t="shared" si="9"/>
        <v>0</v>
      </c>
      <c r="H276" s="24">
        <f>Parameters!$B$20^(G276-1)</f>
        <v>1.4285714285714286</v>
      </c>
      <c r="I276" s="18">
        <f t="shared" si="10"/>
        <v>34.285714285714285</v>
      </c>
    </row>
    <row r="277" spans="1:9" ht="13.15" x14ac:dyDescent="0.35">
      <c r="A277" s="21">
        <v>276</v>
      </c>
      <c r="B277" s="16">
        <f>'Data DEEPSEEK'!B277</f>
        <v>16</v>
      </c>
      <c r="C277" s="22" t="str">
        <f>'Data DEEPSEEK'!F277</f>
        <v>move_legality</v>
      </c>
      <c r="D277" s="16" t="str">
        <f>LOWER(TRIM('Data DEEPSEEK'!H277))</f>
        <v>major</v>
      </c>
      <c r="E277" s="23">
        <f>IF(ISNUMBER(SEARCH("move_legality",C277)),Parameters!$B$4,IF(ISNUMBER(SEARCH("piece_placement",C277)),Parameters!$B$5,IF(ISNUMBER(SEARCH("material",C277)),Parameters!$B$6,IF(ISNUMBER(SEARCH("piece_relations",C277)),Parameters!$B$7,IF(ISNUMBER(SEARCH("geometry",C277)),Parameters!$B$8,IF(ISNUMBER(SEARCH("reasoning",C277)),Parameters!$B$9,Parameters!$B$10))))))</f>
        <v>8</v>
      </c>
      <c r="F277" s="23">
        <f>IF(D277="major",Parameters!$B$14,IF(D277="medium",Parameters!$B$15,Parameters!$B$16))</f>
        <v>3</v>
      </c>
      <c r="G277" s="16">
        <f t="shared" si="9"/>
        <v>0</v>
      </c>
      <c r="H277" s="24">
        <f>Parameters!$B$20^(G277-1)</f>
        <v>1.4285714285714286</v>
      </c>
      <c r="I277" s="18">
        <f t="shared" si="10"/>
        <v>34.285714285714285</v>
      </c>
    </row>
    <row r="278" spans="1:9" ht="13.15" x14ac:dyDescent="0.35">
      <c r="A278" s="21">
        <v>277</v>
      </c>
      <c r="B278" s="16">
        <f>'Data DEEPSEEK'!B278</f>
        <v>16</v>
      </c>
      <c r="C278" s="22" t="str">
        <f>'Data DEEPSEEK'!F278</f>
        <v>reasoning</v>
      </c>
      <c r="D278" s="16" t="str">
        <f>LOWER(TRIM('Data DEEPSEEK'!H278))</f>
        <v>medium</v>
      </c>
      <c r="E278" s="23">
        <f>IF(ISNUMBER(SEARCH("move_legality",C278)),Parameters!$B$4,IF(ISNUMBER(SEARCH("piece_placement",C278)),Parameters!$B$5,IF(ISNUMBER(SEARCH("material",C278)),Parameters!$B$6,IF(ISNUMBER(SEARCH("piece_relations",C278)),Parameters!$B$7,IF(ISNUMBER(SEARCH("geometry",C278)),Parameters!$B$8,IF(ISNUMBER(SEARCH("reasoning",C278)),Parameters!$B$9,Parameters!$B$10))))))</f>
        <v>2</v>
      </c>
      <c r="F278" s="23">
        <f>IF(D278="major",Parameters!$B$14,IF(D278="medium",Parameters!$B$15,Parameters!$B$16))</f>
        <v>2</v>
      </c>
      <c r="G278" s="16">
        <f t="shared" si="9"/>
        <v>0</v>
      </c>
      <c r="H278" s="24">
        <f>Parameters!$B$20^(G278-1)</f>
        <v>1.4285714285714286</v>
      </c>
      <c r="I278" s="18">
        <f t="shared" si="10"/>
        <v>5.7142857142857144</v>
      </c>
    </row>
    <row r="279" spans="1:9" ht="13.15" x14ac:dyDescent="0.35">
      <c r="A279" s="21">
        <v>278</v>
      </c>
      <c r="B279" s="16">
        <f>'Data DEEPSEEK'!B279</f>
        <v>16</v>
      </c>
      <c r="C279" s="22" t="str">
        <f>'Data DEEPSEEK'!F279</f>
        <v>piece_relations</v>
      </c>
      <c r="D279" s="16" t="str">
        <f>LOWER(TRIM('Data DEEPSEEK'!H279))</f>
        <v>major</v>
      </c>
      <c r="E279" s="23">
        <f>IF(ISNUMBER(SEARCH("move_legality",C279)),Parameters!$B$4,IF(ISNUMBER(SEARCH("piece_placement",C279)),Parameters!$B$5,IF(ISNUMBER(SEARCH("material",C279)),Parameters!$B$6,IF(ISNUMBER(SEARCH("piece_relations",C279)),Parameters!$B$7,IF(ISNUMBER(SEARCH("geometry",C279)),Parameters!$B$8,IF(ISNUMBER(SEARCH("reasoning",C279)),Parameters!$B$9,Parameters!$B$10))))))</f>
        <v>4</v>
      </c>
      <c r="F279" s="23">
        <f>IF(D279="major",Parameters!$B$14,IF(D279="medium",Parameters!$B$15,Parameters!$B$16))</f>
        <v>3</v>
      </c>
      <c r="G279" s="16">
        <f t="shared" si="9"/>
        <v>0</v>
      </c>
      <c r="H279" s="24">
        <f>Parameters!$B$20^(G279-1)</f>
        <v>1.4285714285714286</v>
      </c>
      <c r="I279" s="18">
        <f t="shared" si="10"/>
        <v>17.142857142857142</v>
      </c>
    </row>
    <row r="280" spans="1:9" ht="13.15" x14ac:dyDescent="0.35">
      <c r="A280" s="21">
        <v>279</v>
      </c>
      <c r="B280" s="16">
        <f>'Data DEEPSEEK'!B280</f>
        <v>16</v>
      </c>
      <c r="C280" s="22" t="str">
        <f>'Data DEEPSEEK'!F280</f>
        <v>move_legality</v>
      </c>
      <c r="D280" s="16" t="str">
        <f>LOWER(TRIM('Data DEEPSEEK'!H280))</f>
        <v>major</v>
      </c>
      <c r="E280" s="23">
        <f>IF(ISNUMBER(SEARCH("move_legality",C280)),Parameters!$B$4,IF(ISNUMBER(SEARCH("piece_placement",C280)),Parameters!$B$5,IF(ISNUMBER(SEARCH("material",C280)),Parameters!$B$6,IF(ISNUMBER(SEARCH("piece_relations",C280)),Parameters!$B$7,IF(ISNUMBER(SEARCH("geometry",C280)),Parameters!$B$8,IF(ISNUMBER(SEARCH("reasoning",C280)),Parameters!$B$9,Parameters!$B$10))))))</f>
        <v>8</v>
      </c>
      <c r="F280" s="23">
        <f>IF(D280="major",Parameters!$B$14,IF(D280="medium",Parameters!$B$15,Parameters!$B$16))</f>
        <v>3</v>
      </c>
      <c r="G280" s="16">
        <f t="shared" si="9"/>
        <v>0</v>
      </c>
      <c r="H280" s="24">
        <f>Parameters!$B$20^(G280-1)</f>
        <v>1.4285714285714286</v>
      </c>
      <c r="I280" s="18">
        <f t="shared" si="10"/>
        <v>34.285714285714285</v>
      </c>
    </row>
    <row r="281" spans="1:9" ht="13.15" x14ac:dyDescent="0.35">
      <c r="A281" s="21">
        <v>280</v>
      </c>
      <c r="B281" s="16">
        <f>'Data DEEPSEEK'!B281</f>
        <v>16</v>
      </c>
      <c r="C281" s="22" t="str">
        <f>'Data DEEPSEEK'!F281</f>
        <v>piece_relations</v>
      </c>
      <c r="D281" s="16" t="str">
        <f>LOWER(TRIM('Data DEEPSEEK'!H281))</f>
        <v>major</v>
      </c>
      <c r="E281" s="23">
        <f>IF(ISNUMBER(SEARCH("move_legality",C281)),Parameters!$B$4,IF(ISNUMBER(SEARCH("piece_placement",C281)),Parameters!$B$5,IF(ISNUMBER(SEARCH("material",C281)),Parameters!$B$6,IF(ISNUMBER(SEARCH("piece_relations",C281)),Parameters!$B$7,IF(ISNUMBER(SEARCH("geometry",C281)),Parameters!$B$8,IF(ISNUMBER(SEARCH("reasoning",C281)),Parameters!$B$9,Parameters!$B$10))))))</f>
        <v>4</v>
      </c>
      <c r="F281" s="23">
        <f>IF(D281="major",Parameters!$B$14,IF(D281="medium",Parameters!$B$15,Parameters!$B$16))</f>
        <v>3</v>
      </c>
      <c r="G281" s="16">
        <f t="shared" si="9"/>
        <v>0</v>
      </c>
      <c r="H281" s="24">
        <f>Parameters!$B$20^(G281-1)</f>
        <v>1.4285714285714286</v>
      </c>
      <c r="I281" s="18">
        <f t="shared" si="10"/>
        <v>17.142857142857142</v>
      </c>
    </row>
    <row r="282" spans="1:9" ht="13.15" x14ac:dyDescent="0.35">
      <c r="A282" s="21">
        <v>281</v>
      </c>
      <c r="B282" s="16">
        <f>'Data DEEPSEEK'!B282</f>
        <v>16</v>
      </c>
      <c r="C282" s="22" t="str">
        <f>'Data DEEPSEEK'!F282</f>
        <v>piece_relations</v>
      </c>
      <c r="D282" s="16" t="str">
        <f>LOWER(TRIM('Data DEEPSEEK'!H282))</f>
        <v>major</v>
      </c>
      <c r="E282" s="23">
        <f>IF(ISNUMBER(SEARCH("move_legality",C282)),Parameters!$B$4,IF(ISNUMBER(SEARCH("piece_placement",C282)),Parameters!$B$5,IF(ISNUMBER(SEARCH("material",C282)),Parameters!$B$6,IF(ISNUMBER(SEARCH("piece_relations",C282)),Parameters!$B$7,IF(ISNUMBER(SEARCH("geometry",C282)),Parameters!$B$8,IF(ISNUMBER(SEARCH("reasoning",C282)),Parameters!$B$9,Parameters!$B$10))))))</f>
        <v>4</v>
      </c>
      <c r="F282" s="23">
        <f>IF(D282="major",Parameters!$B$14,IF(D282="medium",Parameters!$B$15,Parameters!$B$16))</f>
        <v>3</v>
      </c>
      <c r="G282" s="16">
        <f t="shared" si="9"/>
        <v>0</v>
      </c>
      <c r="H282" s="24">
        <f>Parameters!$B$20^(G282-1)</f>
        <v>1.4285714285714286</v>
      </c>
      <c r="I282" s="18">
        <f t="shared" si="10"/>
        <v>17.142857142857142</v>
      </c>
    </row>
    <row r="283" spans="1:9" ht="13.15" x14ac:dyDescent="0.35">
      <c r="A283" s="21">
        <v>282</v>
      </c>
      <c r="B283" s="16">
        <f>'Data DEEPSEEK'!B283</f>
        <v>16</v>
      </c>
      <c r="C283" s="22" t="str">
        <f>'Data DEEPSEEK'!F283</f>
        <v>move_legality</v>
      </c>
      <c r="D283" s="16" t="str">
        <f>LOWER(TRIM('Data DEEPSEEK'!H283))</f>
        <v>major</v>
      </c>
      <c r="E283" s="23">
        <f>IF(ISNUMBER(SEARCH("move_legality",C283)),Parameters!$B$4,IF(ISNUMBER(SEARCH("piece_placement",C283)),Parameters!$B$5,IF(ISNUMBER(SEARCH("material",C283)),Parameters!$B$6,IF(ISNUMBER(SEARCH("piece_relations",C283)),Parameters!$B$7,IF(ISNUMBER(SEARCH("geometry",C283)),Parameters!$B$8,IF(ISNUMBER(SEARCH("reasoning",C283)),Parameters!$B$9,Parameters!$B$10))))))</f>
        <v>8</v>
      </c>
      <c r="F283" s="23">
        <f>IF(D283="major",Parameters!$B$14,IF(D283="medium",Parameters!$B$15,Parameters!$B$16))</f>
        <v>3</v>
      </c>
      <c r="G283" s="16">
        <f t="shared" si="9"/>
        <v>0</v>
      </c>
      <c r="H283" s="24">
        <f>Parameters!$B$20^(G283-1)</f>
        <v>1.4285714285714286</v>
      </c>
      <c r="I283" s="18">
        <f t="shared" si="10"/>
        <v>34.285714285714285</v>
      </c>
    </row>
    <row r="284" spans="1:9" ht="13.15" x14ac:dyDescent="0.35">
      <c r="A284" s="21">
        <v>283</v>
      </c>
      <c r="B284" s="16">
        <f>'Data DEEPSEEK'!B284</f>
        <v>16</v>
      </c>
      <c r="C284" s="22" t="str">
        <f>'Data DEEPSEEK'!F284</f>
        <v>piece_relations</v>
      </c>
      <c r="D284" s="16" t="str">
        <f>LOWER(TRIM('Data DEEPSEEK'!H284))</f>
        <v>major</v>
      </c>
      <c r="E284" s="23">
        <f>IF(ISNUMBER(SEARCH("move_legality",C284)),Parameters!$B$4,IF(ISNUMBER(SEARCH("piece_placement",C284)),Parameters!$B$5,IF(ISNUMBER(SEARCH("material",C284)),Parameters!$B$6,IF(ISNUMBER(SEARCH("piece_relations",C284)),Parameters!$B$7,IF(ISNUMBER(SEARCH("geometry",C284)),Parameters!$B$8,IF(ISNUMBER(SEARCH("reasoning",C284)),Parameters!$B$9,Parameters!$B$10))))))</f>
        <v>4</v>
      </c>
      <c r="F284" s="23">
        <f>IF(D284="major",Parameters!$B$14,IF(D284="medium",Parameters!$B$15,Parameters!$B$16))</f>
        <v>3</v>
      </c>
      <c r="G284" s="16">
        <f t="shared" si="9"/>
        <v>0</v>
      </c>
      <c r="H284" s="24">
        <f>Parameters!$B$20^(G284-1)</f>
        <v>1.4285714285714286</v>
      </c>
      <c r="I284" s="18">
        <f t="shared" si="10"/>
        <v>17.142857142857142</v>
      </c>
    </row>
    <row r="285" spans="1:9" ht="13.15" x14ac:dyDescent="0.35">
      <c r="A285" s="21">
        <v>284</v>
      </c>
      <c r="B285" s="16">
        <f>'Data DEEPSEEK'!B285</f>
        <v>16</v>
      </c>
      <c r="C285" s="22" t="str">
        <f>'Data DEEPSEEK'!F285</f>
        <v>piece_relations</v>
      </c>
      <c r="D285" s="16" t="str">
        <f>LOWER(TRIM('Data DEEPSEEK'!H285))</f>
        <v>major</v>
      </c>
      <c r="E285" s="23">
        <f>IF(ISNUMBER(SEARCH("move_legality",C285)),Parameters!$B$4,IF(ISNUMBER(SEARCH("piece_placement",C285)),Parameters!$B$5,IF(ISNUMBER(SEARCH("material",C285)),Parameters!$B$6,IF(ISNUMBER(SEARCH("piece_relations",C285)),Parameters!$B$7,IF(ISNUMBER(SEARCH("geometry",C285)),Parameters!$B$8,IF(ISNUMBER(SEARCH("reasoning",C285)),Parameters!$B$9,Parameters!$B$10))))))</f>
        <v>4</v>
      </c>
      <c r="F285" s="23">
        <f>IF(D285="major",Parameters!$B$14,IF(D285="medium",Parameters!$B$15,Parameters!$B$16))</f>
        <v>3</v>
      </c>
      <c r="G285" s="16">
        <f t="shared" si="9"/>
        <v>0</v>
      </c>
      <c r="H285" s="24">
        <f>Parameters!$B$20^(G285-1)</f>
        <v>1.4285714285714286</v>
      </c>
      <c r="I285" s="18">
        <f t="shared" si="10"/>
        <v>17.142857142857142</v>
      </c>
    </row>
    <row r="286" spans="1:9" ht="13.15" x14ac:dyDescent="0.35">
      <c r="A286" s="21">
        <v>285</v>
      </c>
      <c r="B286" s="16">
        <f>'Data DEEPSEEK'!B286</f>
        <v>16</v>
      </c>
      <c r="C286" s="22" t="str">
        <f>'Data DEEPSEEK'!F286</f>
        <v>move_legality</v>
      </c>
      <c r="D286" s="16" t="str">
        <f>LOWER(TRIM('Data DEEPSEEK'!H286))</f>
        <v>medium</v>
      </c>
      <c r="E286" s="23">
        <f>IF(ISNUMBER(SEARCH("move_legality",C286)),Parameters!$B$4,IF(ISNUMBER(SEARCH("piece_placement",C286)),Parameters!$B$5,IF(ISNUMBER(SEARCH("material",C286)),Parameters!$B$6,IF(ISNUMBER(SEARCH("piece_relations",C286)),Parameters!$B$7,IF(ISNUMBER(SEARCH("geometry",C286)),Parameters!$B$8,IF(ISNUMBER(SEARCH("reasoning",C286)),Parameters!$B$9,Parameters!$B$10))))))</f>
        <v>8</v>
      </c>
      <c r="F286" s="23">
        <f>IF(D286="major",Parameters!$B$14,IF(D286="medium",Parameters!$B$15,Parameters!$B$16))</f>
        <v>2</v>
      </c>
      <c r="G286" s="16">
        <f t="shared" si="9"/>
        <v>0</v>
      </c>
      <c r="H286" s="24">
        <f>Parameters!$B$20^(G286-1)</f>
        <v>1.4285714285714286</v>
      </c>
      <c r="I286" s="18">
        <f t="shared" si="10"/>
        <v>22.857142857142858</v>
      </c>
    </row>
    <row r="287" spans="1:9" ht="13.15" x14ac:dyDescent="0.35">
      <c r="A287" s="21">
        <v>286</v>
      </c>
      <c r="B287" s="16">
        <f>'Data DEEPSEEK'!B287</f>
        <v>16</v>
      </c>
      <c r="C287" s="22" t="str">
        <f>'Data DEEPSEEK'!F287</f>
        <v>piece_relations</v>
      </c>
      <c r="D287" s="16" t="str">
        <f>LOWER(TRIM('Data DEEPSEEK'!H287))</f>
        <v>major</v>
      </c>
      <c r="E287" s="23">
        <f>IF(ISNUMBER(SEARCH("move_legality",C287)),Parameters!$B$4,IF(ISNUMBER(SEARCH("piece_placement",C287)),Parameters!$B$5,IF(ISNUMBER(SEARCH("material",C287)),Parameters!$B$6,IF(ISNUMBER(SEARCH("piece_relations",C287)),Parameters!$B$7,IF(ISNUMBER(SEARCH("geometry",C287)),Parameters!$B$8,IF(ISNUMBER(SEARCH("reasoning",C287)),Parameters!$B$9,Parameters!$B$10))))))</f>
        <v>4</v>
      </c>
      <c r="F287" s="23">
        <f>IF(D287="major",Parameters!$B$14,IF(D287="medium",Parameters!$B$15,Parameters!$B$16))</f>
        <v>3</v>
      </c>
      <c r="G287" s="16">
        <f t="shared" si="9"/>
        <v>0</v>
      </c>
      <c r="H287" s="24">
        <f>Parameters!$B$20^(G287-1)</f>
        <v>1.4285714285714286</v>
      </c>
      <c r="I287" s="18">
        <f t="shared" si="10"/>
        <v>17.142857142857142</v>
      </c>
    </row>
    <row r="288" spans="1:9" ht="13.15" x14ac:dyDescent="0.35">
      <c r="A288" s="21">
        <v>287</v>
      </c>
      <c r="B288" s="16">
        <f>'Data DEEPSEEK'!B288</f>
        <v>16</v>
      </c>
      <c r="C288" s="22" t="str">
        <f>'Data DEEPSEEK'!F288</f>
        <v>piece_relations</v>
      </c>
      <c r="D288" s="16" t="str">
        <f>LOWER(TRIM('Data DEEPSEEK'!H288))</f>
        <v>major</v>
      </c>
      <c r="E288" s="23">
        <f>IF(ISNUMBER(SEARCH("move_legality",C288)),Parameters!$B$4,IF(ISNUMBER(SEARCH("piece_placement",C288)),Parameters!$B$5,IF(ISNUMBER(SEARCH("material",C288)),Parameters!$B$6,IF(ISNUMBER(SEARCH("piece_relations",C288)),Parameters!$B$7,IF(ISNUMBER(SEARCH("geometry",C288)),Parameters!$B$8,IF(ISNUMBER(SEARCH("reasoning",C288)),Parameters!$B$9,Parameters!$B$10))))))</f>
        <v>4</v>
      </c>
      <c r="F288" s="23">
        <f>IF(D288="major",Parameters!$B$14,IF(D288="medium",Parameters!$B$15,Parameters!$B$16))</f>
        <v>3</v>
      </c>
      <c r="G288" s="16">
        <f t="shared" si="9"/>
        <v>0</v>
      </c>
      <c r="H288" s="24">
        <f>Parameters!$B$20^(G288-1)</f>
        <v>1.4285714285714286</v>
      </c>
      <c r="I288" s="18">
        <f t="shared" si="10"/>
        <v>17.142857142857142</v>
      </c>
    </row>
    <row r="289" spans="1:9" ht="13.15" x14ac:dyDescent="0.35">
      <c r="A289" s="21">
        <v>288</v>
      </c>
      <c r="B289" s="16">
        <f>'Data DEEPSEEK'!B289</f>
        <v>16</v>
      </c>
      <c r="C289" s="22" t="str">
        <f>'Data DEEPSEEK'!F289</f>
        <v>piece_placement</v>
      </c>
      <c r="D289" s="16" t="str">
        <f>LOWER(TRIM('Data DEEPSEEK'!H289))</f>
        <v>major</v>
      </c>
      <c r="E289" s="23">
        <f>IF(ISNUMBER(SEARCH("move_legality",C289)),Parameters!$B$4,IF(ISNUMBER(SEARCH("piece_placement",C289)),Parameters!$B$5,IF(ISNUMBER(SEARCH("material",C289)),Parameters!$B$6,IF(ISNUMBER(SEARCH("piece_relations",C289)),Parameters!$B$7,IF(ISNUMBER(SEARCH("geometry",C289)),Parameters!$B$8,IF(ISNUMBER(SEARCH("reasoning",C289)),Parameters!$B$9,Parameters!$B$10))))))</f>
        <v>6</v>
      </c>
      <c r="F289" s="23">
        <f>IF(D289="major",Parameters!$B$14,IF(D289="medium",Parameters!$B$15,Parameters!$B$16))</f>
        <v>3</v>
      </c>
      <c r="G289" s="16">
        <f t="shared" si="9"/>
        <v>0</v>
      </c>
      <c r="H289" s="24">
        <f>Parameters!$B$20^(G289-1)</f>
        <v>1.4285714285714286</v>
      </c>
      <c r="I289" s="18">
        <f t="shared" si="10"/>
        <v>25.714285714285715</v>
      </c>
    </row>
    <row r="290" spans="1:9" ht="13.15" x14ac:dyDescent="0.35">
      <c r="A290" s="21">
        <v>289</v>
      </c>
      <c r="B290" s="16">
        <f>'Data DEEPSEEK'!B290</f>
        <v>16</v>
      </c>
      <c r="C290" s="22" t="str">
        <f>'Data DEEPSEEK'!F290</f>
        <v>piece_relations</v>
      </c>
      <c r="D290" s="16" t="str">
        <f>LOWER(TRIM('Data DEEPSEEK'!H290))</f>
        <v>major</v>
      </c>
      <c r="E290" s="23">
        <f>IF(ISNUMBER(SEARCH("move_legality",C290)),Parameters!$B$4,IF(ISNUMBER(SEARCH("piece_placement",C290)),Parameters!$B$5,IF(ISNUMBER(SEARCH("material",C290)),Parameters!$B$6,IF(ISNUMBER(SEARCH("piece_relations",C290)),Parameters!$B$7,IF(ISNUMBER(SEARCH("geometry",C290)),Parameters!$B$8,IF(ISNUMBER(SEARCH("reasoning",C290)),Parameters!$B$9,Parameters!$B$10))))))</f>
        <v>4</v>
      </c>
      <c r="F290" s="23">
        <f>IF(D290="major",Parameters!$B$14,IF(D290="medium",Parameters!$B$15,Parameters!$B$16))</f>
        <v>3</v>
      </c>
      <c r="G290" s="16">
        <f t="shared" si="9"/>
        <v>0</v>
      </c>
      <c r="H290" s="24">
        <f>Parameters!$B$20^(G290-1)</f>
        <v>1.4285714285714286</v>
      </c>
      <c r="I290" s="18">
        <f t="shared" si="10"/>
        <v>17.142857142857142</v>
      </c>
    </row>
    <row r="291" spans="1:9" ht="13.15" x14ac:dyDescent="0.35">
      <c r="A291" s="21">
        <v>290</v>
      </c>
      <c r="B291" s="16">
        <f>'Data DEEPSEEK'!B291</f>
        <v>16</v>
      </c>
      <c r="C291" s="22" t="str">
        <f>'Data DEEPSEEK'!F291</f>
        <v>piece_relations</v>
      </c>
      <c r="D291" s="16" t="str">
        <f>LOWER(TRIM('Data DEEPSEEK'!H291))</f>
        <v>major</v>
      </c>
      <c r="E291" s="23">
        <f>IF(ISNUMBER(SEARCH("move_legality",C291)),Parameters!$B$4,IF(ISNUMBER(SEARCH("piece_placement",C291)),Parameters!$B$5,IF(ISNUMBER(SEARCH("material",C291)),Parameters!$B$6,IF(ISNUMBER(SEARCH("piece_relations",C291)),Parameters!$B$7,IF(ISNUMBER(SEARCH("geometry",C291)),Parameters!$B$8,IF(ISNUMBER(SEARCH("reasoning",C291)),Parameters!$B$9,Parameters!$B$10))))))</f>
        <v>4</v>
      </c>
      <c r="F291" s="23">
        <f>IF(D291="major",Parameters!$B$14,IF(D291="medium",Parameters!$B$15,Parameters!$B$16))</f>
        <v>3</v>
      </c>
      <c r="G291" s="16">
        <f t="shared" si="9"/>
        <v>0</v>
      </c>
      <c r="H291" s="24">
        <f>Parameters!$B$20^(G291-1)</f>
        <v>1.4285714285714286</v>
      </c>
      <c r="I291" s="18">
        <f t="shared" si="10"/>
        <v>17.142857142857142</v>
      </c>
    </row>
    <row r="292" spans="1:9" ht="13.15" x14ac:dyDescent="0.35">
      <c r="A292" s="21">
        <v>291</v>
      </c>
      <c r="B292" s="16">
        <f>'Data DEEPSEEK'!B292</f>
        <v>16</v>
      </c>
      <c r="C292" s="22" t="str">
        <f>'Data DEEPSEEK'!F292</f>
        <v>piece_placement</v>
      </c>
      <c r="D292" s="16" t="str">
        <f>LOWER(TRIM('Data DEEPSEEK'!H292))</f>
        <v>medium</v>
      </c>
      <c r="E292" s="23">
        <f>IF(ISNUMBER(SEARCH("move_legality",C292)),Parameters!$B$4,IF(ISNUMBER(SEARCH("piece_placement",C292)),Parameters!$B$5,IF(ISNUMBER(SEARCH("material",C292)),Parameters!$B$6,IF(ISNUMBER(SEARCH("piece_relations",C292)),Parameters!$B$7,IF(ISNUMBER(SEARCH("geometry",C292)),Parameters!$B$8,IF(ISNUMBER(SEARCH("reasoning",C292)),Parameters!$B$9,Parameters!$B$10))))))</f>
        <v>6</v>
      </c>
      <c r="F292" s="23">
        <f>IF(D292="major",Parameters!$B$14,IF(D292="medium",Parameters!$B$15,Parameters!$B$16))</f>
        <v>2</v>
      </c>
      <c r="G292" s="16">
        <f t="shared" si="9"/>
        <v>0</v>
      </c>
      <c r="H292" s="24">
        <f>Parameters!$B$20^(G292-1)</f>
        <v>1.4285714285714286</v>
      </c>
      <c r="I292" s="18">
        <f t="shared" si="10"/>
        <v>17.142857142857142</v>
      </c>
    </row>
    <row r="293" spans="1:9" ht="13.15" x14ac:dyDescent="0.35">
      <c r="A293" s="21">
        <v>292</v>
      </c>
      <c r="B293" s="16">
        <f>'Data DEEPSEEK'!B293</f>
        <v>16</v>
      </c>
      <c r="C293" s="22" t="str">
        <f>'Data DEEPSEEK'!F293</f>
        <v>piece_relations</v>
      </c>
      <c r="D293" s="16" t="str">
        <f>LOWER(TRIM('Data DEEPSEEK'!H293))</f>
        <v>major</v>
      </c>
      <c r="E293" s="23">
        <f>IF(ISNUMBER(SEARCH("move_legality",C293)),Parameters!$B$4,IF(ISNUMBER(SEARCH("piece_placement",C293)),Parameters!$B$5,IF(ISNUMBER(SEARCH("material",C293)),Parameters!$B$6,IF(ISNUMBER(SEARCH("piece_relations",C293)),Parameters!$B$7,IF(ISNUMBER(SEARCH("geometry",C293)),Parameters!$B$8,IF(ISNUMBER(SEARCH("reasoning",C293)),Parameters!$B$9,Parameters!$B$10))))))</f>
        <v>4</v>
      </c>
      <c r="F293" s="23">
        <f>IF(D293="major",Parameters!$B$14,IF(D293="medium",Parameters!$B$15,Parameters!$B$16))</f>
        <v>3</v>
      </c>
      <c r="G293" s="16">
        <f t="shared" si="9"/>
        <v>0</v>
      </c>
      <c r="H293" s="24">
        <f>Parameters!$B$20^(G293-1)</f>
        <v>1.4285714285714286</v>
      </c>
      <c r="I293" s="18">
        <f t="shared" si="10"/>
        <v>17.142857142857142</v>
      </c>
    </row>
    <row r="294" spans="1:9" ht="13.15" x14ac:dyDescent="0.35">
      <c r="A294" s="21">
        <v>293</v>
      </c>
      <c r="B294" s="16">
        <f>'Data DEEPSEEK'!B294</f>
        <v>16</v>
      </c>
      <c r="C294" s="22" t="str">
        <f>'Data DEEPSEEK'!F294</f>
        <v>piece_relations</v>
      </c>
      <c r="D294" s="16" t="str">
        <f>LOWER(TRIM('Data DEEPSEEK'!H294))</f>
        <v>major</v>
      </c>
      <c r="E294" s="23">
        <f>IF(ISNUMBER(SEARCH("move_legality",C294)),Parameters!$B$4,IF(ISNUMBER(SEARCH("piece_placement",C294)),Parameters!$B$5,IF(ISNUMBER(SEARCH("material",C294)),Parameters!$B$6,IF(ISNUMBER(SEARCH("piece_relations",C294)),Parameters!$B$7,IF(ISNUMBER(SEARCH("geometry",C294)),Parameters!$B$8,IF(ISNUMBER(SEARCH("reasoning",C294)),Parameters!$B$9,Parameters!$B$10))))))</f>
        <v>4</v>
      </c>
      <c r="F294" s="23">
        <f>IF(D294="major",Parameters!$B$14,IF(D294="medium",Parameters!$B$15,Parameters!$B$16))</f>
        <v>3</v>
      </c>
      <c r="G294" s="16">
        <f t="shared" si="9"/>
        <v>0</v>
      </c>
      <c r="H294" s="24">
        <f>Parameters!$B$20^(G294-1)</f>
        <v>1.4285714285714286</v>
      </c>
      <c r="I294" s="18">
        <f t="shared" si="10"/>
        <v>17.142857142857142</v>
      </c>
    </row>
    <row r="295" spans="1:9" ht="13.15" x14ac:dyDescent="0.35">
      <c r="A295" s="21">
        <v>294</v>
      </c>
      <c r="B295" s="16">
        <f>'Data DEEPSEEK'!B295</f>
        <v>16</v>
      </c>
      <c r="C295" s="22" t="str">
        <f>'Data DEEPSEEK'!F295</f>
        <v>piece_relations</v>
      </c>
      <c r="D295" s="16" t="str">
        <f>LOWER(TRIM('Data DEEPSEEK'!H295))</f>
        <v>major</v>
      </c>
      <c r="E295" s="23">
        <f>IF(ISNUMBER(SEARCH("move_legality",C295)),Parameters!$B$4,IF(ISNUMBER(SEARCH("piece_placement",C295)),Parameters!$B$5,IF(ISNUMBER(SEARCH("material",C295)),Parameters!$B$6,IF(ISNUMBER(SEARCH("piece_relations",C295)),Parameters!$B$7,IF(ISNUMBER(SEARCH("geometry",C295)),Parameters!$B$8,IF(ISNUMBER(SEARCH("reasoning",C295)),Parameters!$B$9,Parameters!$B$10))))))</f>
        <v>4</v>
      </c>
      <c r="F295" s="23">
        <f>IF(D295="major",Parameters!$B$14,IF(D295="medium",Parameters!$B$15,Parameters!$B$16))</f>
        <v>3</v>
      </c>
      <c r="G295" s="16">
        <f t="shared" si="9"/>
        <v>0</v>
      </c>
      <c r="H295" s="24">
        <f>Parameters!$B$20^(G295-1)</f>
        <v>1.4285714285714286</v>
      </c>
      <c r="I295" s="18">
        <f t="shared" si="10"/>
        <v>17.142857142857142</v>
      </c>
    </row>
    <row r="296" spans="1:9" ht="13.15" x14ac:dyDescent="0.35">
      <c r="A296" s="21">
        <v>295</v>
      </c>
      <c r="B296" s="16">
        <f>'Data DEEPSEEK'!B296</f>
        <v>17</v>
      </c>
      <c r="C296" s="22" t="str">
        <f>'Data DEEPSEEK'!F296</f>
        <v>reasoning</v>
      </c>
      <c r="D296" s="16" t="str">
        <f>LOWER(TRIM('Data DEEPSEEK'!H296))</f>
        <v>medium</v>
      </c>
      <c r="E296" s="23">
        <f>IF(ISNUMBER(SEARCH("move_legality",C296)),Parameters!$B$4,IF(ISNUMBER(SEARCH("piece_placement",C296)),Parameters!$B$5,IF(ISNUMBER(SEARCH("material",C296)),Parameters!$B$6,IF(ISNUMBER(SEARCH("piece_relations",C296)),Parameters!$B$7,IF(ISNUMBER(SEARCH("geometry",C296)),Parameters!$B$8,IF(ISNUMBER(SEARCH("reasoning",C296)),Parameters!$B$9,Parameters!$B$10))))))</f>
        <v>2</v>
      </c>
      <c r="F296" s="23">
        <f>IF(D296="major",Parameters!$B$14,IF(D296="medium",Parameters!$B$15,Parameters!$B$16))</f>
        <v>2</v>
      </c>
      <c r="G296" s="16">
        <f t="shared" si="9"/>
        <v>0</v>
      </c>
      <c r="H296" s="24">
        <f>Parameters!$B$20^(G296-1)</f>
        <v>1.4285714285714286</v>
      </c>
      <c r="I296" s="18">
        <f t="shared" si="10"/>
        <v>5.7142857142857144</v>
      </c>
    </row>
    <row r="297" spans="1:9" ht="13.15" x14ac:dyDescent="0.35">
      <c r="A297" s="21">
        <v>296</v>
      </c>
      <c r="B297" s="16">
        <f>'Data DEEPSEEK'!B297</f>
        <v>17</v>
      </c>
      <c r="C297" s="22" t="str">
        <f>'Data DEEPSEEK'!F297</f>
        <v>reasoning</v>
      </c>
      <c r="D297" s="16" t="str">
        <f>LOWER(TRIM('Data DEEPSEEK'!H297))</f>
        <v>minor</v>
      </c>
      <c r="E297" s="23">
        <f>IF(ISNUMBER(SEARCH("move_legality",C297)),Parameters!$B$4,IF(ISNUMBER(SEARCH("piece_placement",C297)),Parameters!$B$5,IF(ISNUMBER(SEARCH("material",C297)),Parameters!$B$6,IF(ISNUMBER(SEARCH("piece_relations",C297)),Parameters!$B$7,IF(ISNUMBER(SEARCH("geometry",C297)),Parameters!$B$8,IF(ISNUMBER(SEARCH("reasoning",C297)),Parameters!$B$9,Parameters!$B$10))))))</f>
        <v>2</v>
      </c>
      <c r="F297" s="23">
        <f>IF(D297="major",Parameters!$B$14,IF(D297="medium",Parameters!$B$15,Parameters!$B$16))</f>
        <v>1</v>
      </c>
      <c r="G297" s="16">
        <f t="shared" si="9"/>
        <v>0</v>
      </c>
      <c r="H297" s="24">
        <f>Parameters!$B$20^(G297-1)</f>
        <v>1.4285714285714286</v>
      </c>
      <c r="I297" s="18">
        <f t="shared" si="10"/>
        <v>2.8571428571428572</v>
      </c>
    </row>
    <row r="298" spans="1:9" ht="13.15" x14ac:dyDescent="0.35">
      <c r="A298" s="21">
        <v>297</v>
      </c>
      <c r="B298" s="16">
        <f>'Data DEEPSEEK'!B298</f>
        <v>17</v>
      </c>
      <c r="C298" s="22" t="str">
        <f>'Data DEEPSEEK'!F298</f>
        <v>reasoning</v>
      </c>
      <c r="D298" s="16" t="str">
        <f>LOWER(TRIM('Data DEEPSEEK'!H298))</f>
        <v>major</v>
      </c>
      <c r="E298" s="23">
        <f>IF(ISNUMBER(SEARCH("move_legality",C298)),Parameters!$B$4,IF(ISNUMBER(SEARCH("piece_placement",C298)),Parameters!$B$5,IF(ISNUMBER(SEARCH("material",C298)),Parameters!$B$6,IF(ISNUMBER(SEARCH("piece_relations",C298)),Parameters!$B$7,IF(ISNUMBER(SEARCH("geometry",C298)),Parameters!$B$8,IF(ISNUMBER(SEARCH("reasoning",C298)),Parameters!$B$9,Parameters!$B$10))))))</f>
        <v>2</v>
      </c>
      <c r="F298" s="23">
        <f>IF(D298="major",Parameters!$B$14,IF(D298="medium",Parameters!$B$15,Parameters!$B$16))</f>
        <v>3</v>
      </c>
      <c r="G298" s="16">
        <f t="shared" si="9"/>
        <v>0</v>
      </c>
      <c r="H298" s="24">
        <f>Parameters!$B$20^(G298-1)</f>
        <v>1.4285714285714286</v>
      </c>
      <c r="I298" s="18">
        <f t="shared" si="10"/>
        <v>8.5714285714285712</v>
      </c>
    </row>
    <row r="299" spans="1:9" ht="13.15" x14ac:dyDescent="0.35">
      <c r="A299" s="21">
        <v>298</v>
      </c>
      <c r="B299" s="16">
        <f>'Data DEEPSEEK'!B299</f>
        <v>17</v>
      </c>
      <c r="C299" s="22" t="str">
        <f>'Data DEEPSEEK'!F299</f>
        <v>piece_relations</v>
      </c>
      <c r="D299" s="16" t="str">
        <f>LOWER(TRIM('Data DEEPSEEK'!H299))</f>
        <v>major</v>
      </c>
      <c r="E299" s="23">
        <f>IF(ISNUMBER(SEARCH("move_legality",C299)),Parameters!$B$4,IF(ISNUMBER(SEARCH("piece_placement",C299)),Parameters!$B$5,IF(ISNUMBER(SEARCH("material",C299)),Parameters!$B$6,IF(ISNUMBER(SEARCH("piece_relations",C299)),Parameters!$B$7,IF(ISNUMBER(SEARCH("geometry",C299)),Parameters!$B$8,IF(ISNUMBER(SEARCH("reasoning",C299)),Parameters!$B$9,Parameters!$B$10))))))</f>
        <v>4</v>
      </c>
      <c r="F299" s="23">
        <f>IF(D299="major",Parameters!$B$14,IF(D299="medium",Parameters!$B$15,Parameters!$B$16))</f>
        <v>3</v>
      </c>
      <c r="G299" s="16">
        <f t="shared" si="9"/>
        <v>0</v>
      </c>
      <c r="H299" s="24">
        <f>Parameters!$B$20^(G299-1)</f>
        <v>1.4285714285714286</v>
      </c>
      <c r="I299" s="18">
        <f t="shared" si="10"/>
        <v>17.142857142857142</v>
      </c>
    </row>
    <row r="300" spans="1:9" ht="13.15" x14ac:dyDescent="0.35">
      <c r="A300" s="21">
        <v>299</v>
      </c>
      <c r="B300" s="16">
        <f>'Data DEEPSEEK'!B300</f>
        <v>17</v>
      </c>
      <c r="C300" s="22" t="str">
        <f>'Data DEEPSEEK'!F300</f>
        <v>move_legality</v>
      </c>
      <c r="D300" s="16" t="str">
        <f>LOWER(TRIM('Data DEEPSEEK'!H300))</f>
        <v>major</v>
      </c>
      <c r="E300" s="23">
        <f>IF(ISNUMBER(SEARCH("move_legality",C300)),Parameters!$B$4,IF(ISNUMBER(SEARCH("piece_placement",C300)),Parameters!$B$5,IF(ISNUMBER(SEARCH("material",C300)),Parameters!$B$6,IF(ISNUMBER(SEARCH("piece_relations",C300)),Parameters!$B$7,IF(ISNUMBER(SEARCH("geometry",C300)),Parameters!$B$8,IF(ISNUMBER(SEARCH("reasoning",C300)),Parameters!$B$9,Parameters!$B$10))))))</f>
        <v>8</v>
      </c>
      <c r="F300" s="23">
        <f>IF(D300="major",Parameters!$B$14,IF(D300="medium",Parameters!$B$15,Parameters!$B$16))</f>
        <v>3</v>
      </c>
      <c r="G300" s="16">
        <f t="shared" si="9"/>
        <v>0</v>
      </c>
      <c r="H300" s="24">
        <f>Parameters!$B$20^(G300-1)</f>
        <v>1.4285714285714286</v>
      </c>
      <c r="I300" s="18">
        <f t="shared" si="10"/>
        <v>34.285714285714285</v>
      </c>
    </row>
    <row r="301" spans="1:9" ht="13.15" x14ac:dyDescent="0.35">
      <c r="A301" s="21">
        <v>300</v>
      </c>
      <c r="B301" s="16">
        <f>'Data DEEPSEEK'!B301</f>
        <v>17</v>
      </c>
      <c r="C301" s="22" t="str">
        <f>'Data DEEPSEEK'!F301</f>
        <v>geometry</v>
      </c>
      <c r="D301" s="16" t="str">
        <f>LOWER(TRIM('Data DEEPSEEK'!H301))</f>
        <v>major</v>
      </c>
      <c r="E301" s="23">
        <f>IF(ISNUMBER(SEARCH("move_legality",C301)),Parameters!$B$4,IF(ISNUMBER(SEARCH("piece_placement",C301)),Parameters!$B$5,IF(ISNUMBER(SEARCH("material",C301)),Parameters!$B$6,IF(ISNUMBER(SEARCH("piece_relations",C301)),Parameters!$B$7,IF(ISNUMBER(SEARCH("geometry",C301)),Parameters!$B$8,IF(ISNUMBER(SEARCH("reasoning",C301)),Parameters!$B$9,Parameters!$B$10))))))</f>
        <v>3</v>
      </c>
      <c r="F301" s="23">
        <f>IF(D301="major",Parameters!$B$14,IF(D301="medium",Parameters!$B$15,Parameters!$B$16))</f>
        <v>3</v>
      </c>
      <c r="G301" s="16">
        <f t="shared" si="9"/>
        <v>0</v>
      </c>
      <c r="H301" s="24">
        <f>Parameters!$B$20^(G301-1)</f>
        <v>1.4285714285714286</v>
      </c>
      <c r="I301" s="18">
        <f t="shared" si="10"/>
        <v>12.857142857142858</v>
      </c>
    </row>
    <row r="302" spans="1:9" ht="13.15" x14ac:dyDescent="0.35">
      <c r="A302" s="21">
        <v>301</v>
      </c>
      <c r="B302" s="16">
        <f>'Data DEEPSEEK'!B302</f>
        <v>17</v>
      </c>
      <c r="C302" s="22" t="str">
        <f>'Data DEEPSEEK'!F302</f>
        <v>geometry</v>
      </c>
      <c r="D302" s="16" t="str">
        <f>LOWER(TRIM('Data DEEPSEEK'!H302))</f>
        <v>medium</v>
      </c>
      <c r="E302" s="23">
        <f>IF(ISNUMBER(SEARCH("move_legality",C302)),Parameters!$B$4,IF(ISNUMBER(SEARCH("piece_placement",C302)),Parameters!$B$5,IF(ISNUMBER(SEARCH("material",C302)),Parameters!$B$6,IF(ISNUMBER(SEARCH("piece_relations",C302)),Parameters!$B$7,IF(ISNUMBER(SEARCH("geometry",C302)),Parameters!$B$8,IF(ISNUMBER(SEARCH("reasoning",C302)),Parameters!$B$9,Parameters!$B$10))))))</f>
        <v>3</v>
      </c>
      <c r="F302" s="23">
        <f>IF(D302="major",Parameters!$B$14,IF(D302="medium",Parameters!$B$15,Parameters!$B$16))</f>
        <v>2</v>
      </c>
      <c r="G302" s="16">
        <f t="shared" si="9"/>
        <v>0</v>
      </c>
      <c r="H302" s="24">
        <f>Parameters!$B$20^(G302-1)</f>
        <v>1.4285714285714286</v>
      </c>
      <c r="I302" s="18">
        <f t="shared" si="10"/>
        <v>8.5714285714285712</v>
      </c>
    </row>
    <row r="303" spans="1:9" ht="13.15" x14ac:dyDescent="0.35">
      <c r="A303" s="21">
        <v>302</v>
      </c>
      <c r="B303" s="16">
        <f>'Data DEEPSEEK'!B303</f>
        <v>17</v>
      </c>
      <c r="C303" s="22" t="str">
        <f>'Data DEEPSEEK'!F303</f>
        <v>reasoning</v>
      </c>
      <c r="D303" s="16" t="str">
        <f>LOWER(TRIM('Data DEEPSEEK'!H303))</f>
        <v>medium</v>
      </c>
      <c r="E303" s="23">
        <f>IF(ISNUMBER(SEARCH("move_legality",C303)),Parameters!$B$4,IF(ISNUMBER(SEARCH("piece_placement",C303)),Parameters!$B$5,IF(ISNUMBER(SEARCH("material",C303)),Parameters!$B$6,IF(ISNUMBER(SEARCH("piece_relations",C303)),Parameters!$B$7,IF(ISNUMBER(SEARCH("geometry",C303)),Parameters!$B$8,IF(ISNUMBER(SEARCH("reasoning",C303)),Parameters!$B$9,Parameters!$B$10))))))</f>
        <v>2</v>
      </c>
      <c r="F303" s="23">
        <f>IF(D303="major",Parameters!$B$14,IF(D303="medium",Parameters!$B$15,Parameters!$B$16))</f>
        <v>2</v>
      </c>
      <c r="G303" s="16">
        <f t="shared" si="9"/>
        <v>0</v>
      </c>
      <c r="H303" s="24">
        <f>Parameters!$B$20^(G303-1)</f>
        <v>1.4285714285714286</v>
      </c>
      <c r="I303" s="18">
        <f t="shared" si="10"/>
        <v>5.7142857142857144</v>
      </c>
    </row>
    <row r="304" spans="1:9" ht="13.15" x14ac:dyDescent="0.35">
      <c r="A304" s="21">
        <v>303</v>
      </c>
      <c r="B304" s="16">
        <f>'Data DEEPSEEK'!B304</f>
        <v>17</v>
      </c>
      <c r="C304" s="22" t="str">
        <f>'Data DEEPSEEK'!F304</f>
        <v>reasoning</v>
      </c>
      <c r="D304" s="16" t="str">
        <f>LOWER(TRIM('Data DEEPSEEK'!H304))</f>
        <v>medium</v>
      </c>
      <c r="E304" s="23">
        <f>IF(ISNUMBER(SEARCH("move_legality",C304)),Parameters!$B$4,IF(ISNUMBER(SEARCH("piece_placement",C304)),Parameters!$B$5,IF(ISNUMBER(SEARCH("material",C304)),Parameters!$B$6,IF(ISNUMBER(SEARCH("piece_relations",C304)),Parameters!$B$7,IF(ISNUMBER(SEARCH("geometry",C304)),Parameters!$B$8,IF(ISNUMBER(SEARCH("reasoning",C304)),Parameters!$B$9,Parameters!$B$10))))))</f>
        <v>2</v>
      </c>
      <c r="F304" s="23">
        <f>IF(D304="major",Parameters!$B$14,IF(D304="medium",Parameters!$B$15,Parameters!$B$16))</f>
        <v>2</v>
      </c>
      <c r="G304" s="16">
        <f t="shared" si="9"/>
        <v>0</v>
      </c>
      <c r="H304" s="24">
        <f>Parameters!$B$20^(G304-1)</f>
        <v>1.4285714285714286</v>
      </c>
      <c r="I304" s="18">
        <f t="shared" si="10"/>
        <v>5.7142857142857144</v>
      </c>
    </row>
    <row r="305" spans="1:9" ht="13.15" x14ac:dyDescent="0.35">
      <c r="A305" s="21">
        <v>304</v>
      </c>
      <c r="B305" s="16">
        <f>'Data DEEPSEEK'!B305</f>
        <v>17</v>
      </c>
      <c r="C305" s="22" t="str">
        <f>'Data DEEPSEEK'!F305</f>
        <v>piece_placement</v>
      </c>
      <c r="D305" s="16" t="str">
        <f>LOWER(TRIM('Data DEEPSEEK'!H305))</f>
        <v>major</v>
      </c>
      <c r="E305" s="23">
        <f>IF(ISNUMBER(SEARCH("move_legality",C305)),Parameters!$B$4,IF(ISNUMBER(SEARCH("piece_placement",C305)),Parameters!$B$5,IF(ISNUMBER(SEARCH("material",C305)),Parameters!$B$6,IF(ISNUMBER(SEARCH("piece_relations",C305)),Parameters!$B$7,IF(ISNUMBER(SEARCH("geometry",C305)),Parameters!$B$8,IF(ISNUMBER(SEARCH("reasoning",C305)),Parameters!$B$9,Parameters!$B$10))))))</f>
        <v>6</v>
      </c>
      <c r="F305" s="23">
        <f>IF(D305="major",Parameters!$B$14,IF(D305="medium",Parameters!$B$15,Parameters!$B$16))</f>
        <v>3</v>
      </c>
      <c r="G305" s="16">
        <f t="shared" si="9"/>
        <v>0</v>
      </c>
      <c r="H305" s="24">
        <f>Parameters!$B$20^(G305-1)</f>
        <v>1.4285714285714286</v>
      </c>
      <c r="I305" s="18">
        <f t="shared" si="10"/>
        <v>25.714285714285715</v>
      </c>
    </row>
    <row r="306" spans="1:9" ht="13.15" x14ac:dyDescent="0.35">
      <c r="A306" s="21">
        <v>305</v>
      </c>
      <c r="B306" s="16">
        <f>'Data DEEPSEEK'!B306</f>
        <v>17</v>
      </c>
      <c r="C306" s="22" t="str">
        <f>'Data DEEPSEEK'!F306</f>
        <v>piece_relations</v>
      </c>
      <c r="D306" s="16" t="str">
        <f>LOWER(TRIM('Data DEEPSEEK'!H306))</f>
        <v>major</v>
      </c>
      <c r="E306" s="23">
        <f>IF(ISNUMBER(SEARCH("move_legality",C306)),Parameters!$B$4,IF(ISNUMBER(SEARCH("piece_placement",C306)),Parameters!$B$5,IF(ISNUMBER(SEARCH("material",C306)),Parameters!$B$6,IF(ISNUMBER(SEARCH("piece_relations",C306)),Parameters!$B$7,IF(ISNUMBER(SEARCH("geometry",C306)),Parameters!$B$8,IF(ISNUMBER(SEARCH("reasoning",C306)),Parameters!$B$9,Parameters!$B$10))))))</f>
        <v>4</v>
      </c>
      <c r="F306" s="23">
        <f>IF(D306="major",Parameters!$B$14,IF(D306="medium",Parameters!$B$15,Parameters!$B$16))</f>
        <v>3</v>
      </c>
      <c r="G306" s="16">
        <f t="shared" si="9"/>
        <v>0</v>
      </c>
      <c r="H306" s="24">
        <f>Parameters!$B$20^(G306-1)</f>
        <v>1.4285714285714286</v>
      </c>
      <c r="I306" s="18">
        <f t="shared" si="10"/>
        <v>17.142857142857142</v>
      </c>
    </row>
    <row r="307" spans="1:9" ht="13.15" x14ac:dyDescent="0.35">
      <c r="A307" s="21">
        <v>306</v>
      </c>
      <c r="B307" s="16">
        <f>'Data DEEPSEEK'!B307</f>
        <v>17</v>
      </c>
      <c r="C307" s="22" t="str">
        <f>'Data DEEPSEEK'!F307</f>
        <v>piece_placement</v>
      </c>
      <c r="D307" s="16" t="str">
        <f>LOWER(TRIM('Data DEEPSEEK'!H307))</f>
        <v>major</v>
      </c>
      <c r="E307" s="23">
        <f>IF(ISNUMBER(SEARCH("move_legality",C307)),Parameters!$B$4,IF(ISNUMBER(SEARCH("piece_placement",C307)),Parameters!$B$5,IF(ISNUMBER(SEARCH("material",C307)),Parameters!$B$6,IF(ISNUMBER(SEARCH("piece_relations",C307)),Parameters!$B$7,IF(ISNUMBER(SEARCH("geometry",C307)),Parameters!$B$8,IF(ISNUMBER(SEARCH("reasoning",C307)),Parameters!$B$9,Parameters!$B$10))))))</f>
        <v>6</v>
      </c>
      <c r="F307" s="23">
        <f>IF(D307="major",Parameters!$B$14,IF(D307="medium",Parameters!$B$15,Parameters!$B$16))</f>
        <v>3</v>
      </c>
      <c r="G307" s="16">
        <f t="shared" si="9"/>
        <v>0</v>
      </c>
      <c r="H307" s="24">
        <f>Parameters!$B$20^(G307-1)</f>
        <v>1.4285714285714286</v>
      </c>
      <c r="I307" s="18">
        <f t="shared" si="10"/>
        <v>25.714285714285715</v>
      </c>
    </row>
    <row r="308" spans="1:9" ht="13.15" x14ac:dyDescent="0.35">
      <c r="A308" s="21">
        <v>307</v>
      </c>
      <c r="B308" s="16">
        <f>'Data DEEPSEEK'!B308</f>
        <v>17</v>
      </c>
      <c r="C308" s="22" t="str">
        <f>'Data DEEPSEEK'!F308</f>
        <v>move_legality</v>
      </c>
      <c r="D308" s="16" t="str">
        <f>LOWER(TRIM('Data DEEPSEEK'!H308))</f>
        <v>major</v>
      </c>
      <c r="E308" s="23">
        <f>IF(ISNUMBER(SEARCH("move_legality",C308)),Parameters!$B$4,IF(ISNUMBER(SEARCH("piece_placement",C308)),Parameters!$B$5,IF(ISNUMBER(SEARCH("material",C308)),Parameters!$B$6,IF(ISNUMBER(SEARCH("piece_relations",C308)),Parameters!$B$7,IF(ISNUMBER(SEARCH("geometry",C308)),Parameters!$B$8,IF(ISNUMBER(SEARCH("reasoning",C308)),Parameters!$B$9,Parameters!$B$10))))))</f>
        <v>8</v>
      </c>
      <c r="F308" s="23">
        <f>IF(D308="major",Parameters!$B$14,IF(D308="medium",Parameters!$B$15,Parameters!$B$16))</f>
        <v>3</v>
      </c>
      <c r="G308" s="16">
        <f t="shared" si="9"/>
        <v>0</v>
      </c>
      <c r="H308" s="24">
        <f>Parameters!$B$20^(G308-1)</f>
        <v>1.4285714285714286</v>
      </c>
      <c r="I308" s="18">
        <f t="shared" si="10"/>
        <v>34.285714285714285</v>
      </c>
    </row>
    <row r="309" spans="1:9" ht="13.15" x14ac:dyDescent="0.35">
      <c r="A309" s="21">
        <v>308</v>
      </c>
      <c r="B309" s="16">
        <f>'Data DEEPSEEK'!B309</f>
        <v>17</v>
      </c>
      <c r="C309" s="22" t="str">
        <f>'Data DEEPSEEK'!F309</f>
        <v>move_legality</v>
      </c>
      <c r="D309" s="16" t="str">
        <f>LOWER(TRIM('Data DEEPSEEK'!H309))</f>
        <v>major</v>
      </c>
      <c r="E309" s="23">
        <f>IF(ISNUMBER(SEARCH("move_legality",C309)),Parameters!$B$4,IF(ISNUMBER(SEARCH("piece_placement",C309)),Parameters!$B$5,IF(ISNUMBER(SEARCH("material",C309)),Parameters!$B$6,IF(ISNUMBER(SEARCH("piece_relations",C309)),Parameters!$B$7,IF(ISNUMBER(SEARCH("geometry",C309)),Parameters!$B$8,IF(ISNUMBER(SEARCH("reasoning",C309)),Parameters!$B$9,Parameters!$B$10))))))</f>
        <v>8</v>
      </c>
      <c r="F309" s="23">
        <f>IF(D309="major",Parameters!$B$14,IF(D309="medium",Parameters!$B$15,Parameters!$B$16))</f>
        <v>3</v>
      </c>
      <c r="G309" s="16">
        <f t="shared" si="9"/>
        <v>0</v>
      </c>
      <c r="H309" s="24">
        <f>Parameters!$B$20^(G309-1)</f>
        <v>1.4285714285714286</v>
      </c>
      <c r="I309" s="18">
        <f t="shared" si="10"/>
        <v>34.285714285714285</v>
      </c>
    </row>
    <row r="310" spans="1:9" ht="13.15" x14ac:dyDescent="0.35">
      <c r="A310" s="21">
        <v>309</v>
      </c>
      <c r="B310" s="16">
        <f>'Data DEEPSEEK'!B310</f>
        <v>17</v>
      </c>
      <c r="C310" s="22" t="str">
        <f>'Data DEEPSEEK'!F310</f>
        <v>piece_relations</v>
      </c>
      <c r="D310" s="16" t="str">
        <f>LOWER(TRIM('Data DEEPSEEK'!H310))</f>
        <v>major</v>
      </c>
      <c r="E310" s="23">
        <f>IF(ISNUMBER(SEARCH("move_legality",C310)),Parameters!$B$4,IF(ISNUMBER(SEARCH("piece_placement",C310)),Parameters!$B$5,IF(ISNUMBER(SEARCH("material",C310)),Parameters!$B$6,IF(ISNUMBER(SEARCH("piece_relations",C310)),Parameters!$B$7,IF(ISNUMBER(SEARCH("geometry",C310)),Parameters!$B$8,IF(ISNUMBER(SEARCH("reasoning",C310)),Parameters!$B$9,Parameters!$B$10))))))</f>
        <v>4</v>
      </c>
      <c r="F310" s="23">
        <f>IF(D310="major",Parameters!$B$14,IF(D310="medium",Parameters!$B$15,Parameters!$B$16))</f>
        <v>3</v>
      </c>
      <c r="G310" s="16">
        <f t="shared" si="9"/>
        <v>0</v>
      </c>
      <c r="H310" s="24">
        <f>Parameters!$B$20^(G310-1)</f>
        <v>1.4285714285714286</v>
      </c>
      <c r="I310" s="18">
        <f t="shared" si="10"/>
        <v>17.142857142857142</v>
      </c>
    </row>
    <row r="311" spans="1:9" ht="13.15" x14ac:dyDescent="0.35">
      <c r="A311" s="21">
        <v>310</v>
      </c>
      <c r="B311" s="16">
        <f>'Data DEEPSEEK'!B311</f>
        <v>17</v>
      </c>
      <c r="C311" s="22" t="str">
        <f>'Data DEEPSEEK'!F311</f>
        <v>geometry</v>
      </c>
      <c r="D311" s="16" t="str">
        <f>LOWER(TRIM('Data DEEPSEEK'!H311))</f>
        <v>major</v>
      </c>
      <c r="E311" s="23">
        <f>IF(ISNUMBER(SEARCH("move_legality",C311)),Parameters!$B$4,IF(ISNUMBER(SEARCH("piece_placement",C311)),Parameters!$B$5,IF(ISNUMBER(SEARCH("material",C311)),Parameters!$B$6,IF(ISNUMBER(SEARCH("piece_relations",C311)),Parameters!$B$7,IF(ISNUMBER(SEARCH("geometry",C311)),Parameters!$B$8,IF(ISNUMBER(SEARCH("reasoning",C311)),Parameters!$B$9,Parameters!$B$10))))))</f>
        <v>3</v>
      </c>
      <c r="F311" s="23">
        <f>IF(D311="major",Parameters!$B$14,IF(D311="medium",Parameters!$B$15,Parameters!$B$16))</f>
        <v>3</v>
      </c>
      <c r="G311" s="16">
        <f t="shared" si="9"/>
        <v>0</v>
      </c>
      <c r="H311" s="24">
        <f>Parameters!$B$20^(G311-1)</f>
        <v>1.4285714285714286</v>
      </c>
      <c r="I311" s="18">
        <f t="shared" si="10"/>
        <v>12.857142857142858</v>
      </c>
    </row>
    <row r="312" spans="1:9" ht="13.15" x14ac:dyDescent="0.35">
      <c r="A312" s="21">
        <v>311</v>
      </c>
      <c r="B312" s="16">
        <f>'Data DEEPSEEK'!B312</f>
        <v>17</v>
      </c>
      <c r="C312" s="22" t="str">
        <f>'Data DEEPSEEK'!F312</f>
        <v>piece_relations</v>
      </c>
      <c r="D312" s="16" t="str">
        <f>LOWER(TRIM('Data DEEPSEEK'!H312))</f>
        <v>major</v>
      </c>
      <c r="E312" s="23">
        <f>IF(ISNUMBER(SEARCH("move_legality",C312)),Parameters!$B$4,IF(ISNUMBER(SEARCH("piece_placement",C312)),Parameters!$B$5,IF(ISNUMBER(SEARCH("material",C312)),Parameters!$B$6,IF(ISNUMBER(SEARCH("piece_relations",C312)),Parameters!$B$7,IF(ISNUMBER(SEARCH("geometry",C312)),Parameters!$B$8,IF(ISNUMBER(SEARCH("reasoning",C312)),Parameters!$B$9,Parameters!$B$10))))))</f>
        <v>4</v>
      </c>
      <c r="F312" s="23">
        <f>IF(D312="major",Parameters!$B$14,IF(D312="medium",Parameters!$B$15,Parameters!$B$16))</f>
        <v>3</v>
      </c>
      <c r="G312" s="16">
        <f t="shared" si="9"/>
        <v>0</v>
      </c>
      <c r="H312" s="24">
        <f>Parameters!$B$20^(G312-1)</f>
        <v>1.4285714285714286</v>
      </c>
      <c r="I312" s="18">
        <f t="shared" si="10"/>
        <v>17.142857142857142</v>
      </c>
    </row>
    <row r="313" spans="1:9" ht="13.15" x14ac:dyDescent="0.35">
      <c r="A313" s="21">
        <v>312</v>
      </c>
      <c r="B313" s="16">
        <f>'Data DEEPSEEK'!B313</f>
        <v>17</v>
      </c>
      <c r="C313" s="22" t="str">
        <f>'Data DEEPSEEK'!F313</f>
        <v>piece_placement</v>
      </c>
      <c r="D313" s="16" t="str">
        <f>LOWER(TRIM('Data DEEPSEEK'!H313))</f>
        <v>medium</v>
      </c>
      <c r="E313" s="23">
        <f>IF(ISNUMBER(SEARCH("move_legality",C313)),Parameters!$B$4,IF(ISNUMBER(SEARCH("piece_placement",C313)),Parameters!$B$5,IF(ISNUMBER(SEARCH("material",C313)),Parameters!$B$6,IF(ISNUMBER(SEARCH("piece_relations",C313)),Parameters!$B$7,IF(ISNUMBER(SEARCH("geometry",C313)),Parameters!$B$8,IF(ISNUMBER(SEARCH("reasoning",C313)),Parameters!$B$9,Parameters!$B$10))))))</f>
        <v>6</v>
      </c>
      <c r="F313" s="23">
        <f>IF(D313="major",Parameters!$B$14,IF(D313="medium",Parameters!$B$15,Parameters!$B$16))</f>
        <v>2</v>
      </c>
      <c r="G313" s="16">
        <f t="shared" si="9"/>
        <v>0</v>
      </c>
      <c r="H313" s="24">
        <f>Parameters!$B$20^(G313-1)</f>
        <v>1.4285714285714286</v>
      </c>
      <c r="I313" s="18">
        <f t="shared" si="10"/>
        <v>17.142857142857142</v>
      </c>
    </row>
    <row r="314" spans="1:9" ht="13.15" x14ac:dyDescent="0.35">
      <c r="A314" s="21">
        <v>313</v>
      </c>
      <c r="B314" s="16">
        <f>'Data DEEPSEEK'!B314</f>
        <v>17</v>
      </c>
      <c r="C314" s="22" t="str">
        <f>'Data DEEPSEEK'!F314</f>
        <v>piece_placement</v>
      </c>
      <c r="D314" s="16" t="str">
        <f>LOWER(TRIM('Data DEEPSEEK'!H314))</f>
        <v>major</v>
      </c>
      <c r="E314" s="23">
        <f>IF(ISNUMBER(SEARCH("move_legality",C314)),Parameters!$B$4,IF(ISNUMBER(SEARCH("piece_placement",C314)),Parameters!$B$5,IF(ISNUMBER(SEARCH("material",C314)),Parameters!$B$6,IF(ISNUMBER(SEARCH("piece_relations",C314)),Parameters!$B$7,IF(ISNUMBER(SEARCH("geometry",C314)),Parameters!$B$8,IF(ISNUMBER(SEARCH("reasoning",C314)),Parameters!$B$9,Parameters!$B$10))))))</f>
        <v>6</v>
      </c>
      <c r="F314" s="23">
        <f>IF(D314="major",Parameters!$B$14,IF(D314="medium",Parameters!$B$15,Parameters!$B$16))</f>
        <v>3</v>
      </c>
      <c r="G314" s="16">
        <f t="shared" si="9"/>
        <v>0</v>
      </c>
      <c r="H314" s="24">
        <f>Parameters!$B$20^(G314-1)</f>
        <v>1.4285714285714286</v>
      </c>
      <c r="I314" s="18">
        <f t="shared" si="10"/>
        <v>25.714285714285715</v>
      </c>
    </row>
    <row r="315" spans="1:9" ht="13.15" x14ac:dyDescent="0.35">
      <c r="A315" s="21">
        <v>314</v>
      </c>
      <c r="B315" s="16">
        <f>'Data DEEPSEEK'!B315</f>
        <v>17</v>
      </c>
      <c r="C315" s="22" t="str">
        <f>'Data DEEPSEEK'!F315</f>
        <v>geometry</v>
      </c>
      <c r="D315" s="16" t="str">
        <f>LOWER(TRIM('Data DEEPSEEK'!H315))</f>
        <v>major</v>
      </c>
      <c r="E315" s="23">
        <f>IF(ISNUMBER(SEARCH("move_legality",C315)),Parameters!$B$4,IF(ISNUMBER(SEARCH("piece_placement",C315)),Parameters!$B$5,IF(ISNUMBER(SEARCH("material",C315)),Parameters!$B$6,IF(ISNUMBER(SEARCH("piece_relations",C315)),Parameters!$B$7,IF(ISNUMBER(SEARCH("geometry",C315)),Parameters!$B$8,IF(ISNUMBER(SEARCH("reasoning",C315)),Parameters!$B$9,Parameters!$B$10))))))</f>
        <v>3</v>
      </c>
      <c r="F315" s="23">
        <f>IF(D315="major",Parameters!$B$14,IF(D315="medium",Parameters!$B$15,Parameters!$B$16))</f>
        <v>3</v>
      </c>
      <c r="G315" s="16">
        <f t="shared" si="9"/>
        <v>0</v>
      </c>
      <c r="H315" s="24">
        <f>Parameters!$B$20^(G315-1)</f>
        <v>1.4285714285714286</v>
      </c>
      <c r="I315" s="18">
        <f t="shared" si="10"/>
        <v>12.857142857142858</v>
      </c>
    </row>
    <row r="316" spans="1:9" ht="13.15" x14ac:dyDescent="0.35">
      <c r="A316" s="21">
        <v>315</v>
      </c>
      <c r="B316" s="16">
        <f>'Data DEEPSEEK'!B316</f>
        <v>18</v>
      </c>
      <c r="C316" s="22" t="str">
        <f>'Data DEEPSEEK'!F316</f>
        <v>piece_placement</v>
      </c>
      <c r="D316" s="16" t="str">
        <f>LOWER(TRIM('Data DEEPSEEK'!H316))</f>
        <v>major</v>
      </c>
      <c r="E316" s="23">
        <f>IF(ISNUMBER(SEARCH("move_legality",C316)),Parameters!$B$4,IF(ISNUMBER(SEARCH("piece_placement",C316)),Parameters!$B$5,IF(ISNUMBER(SEARCH("material",C316)),Parameters!$B$6,IF(ISNUMBER(SEARCH("piece_relations",C316)),Parameters!$B$7,IF(ISNUMBER(SEARCH("geometry",C316)),Parameters!$B$8,IF(ISNUMBER(SEARCH("reasoning",C316)),Parameters!$B$9,Parameters!$B$10))))))</f>
        <v>6</v>
      </c>
      <c r="F316" s="23">
        <f>IF(D316="major",Parameters!$B$14,IF(D316="medium",Parameters!$B$15,Parameters!$B$16))</f>
        <v>3</v>
      </c>
      <c r="G316" s="16">
        <f t="shared" si="9"/>
        <v>0</v>
      </c>
      <c r="H316" s="24">
        <f>Parameters!$B$20^(G316-1)</f>
        <v>1.4285714285714286</v>
      </c>
      <c r="I316" s="18">
        <f t="shared" si="10"/>
        <v>25.714285714285715</v>
      </c>
    </row>
    <row r="317" spans="1:9" ht="13.15" x14ac:dyDescent="0.35">
      <c r="A317" s="21">
        <v>316</v>
      </c>
      <c r="B317" s="16">
        <f>'Data DEEPSEEK'!B317</f>
        <v>18</v>
      </c>
      <c r="C317" s="22" t="str">
        <f>'Data DEEPSEEK'!F317</f>
        <v>piece_relations</v>
      </c>
      <c r="D317" s="16" t="str">
        <f>LOWER(TRIM('Data DEEPSEEK'!H317))</f>
        <v>major</v>
      </c>
      <c r="E317" s="23">
        <f>IF(ISNUMBER(SEARCH("move_legality",C317)),Parameters!$B$4,IF(ISNUMBER(SEARCH("piece_placement",C317)),Parameters!$B$5,IF(ISNUMBER(SEARCH("material",C317)),Parameters!$B$6,IF(ISNUMBER(SEARCH("piece_relations",C317)),Parameters!$B$7,IF(ISNUMBER(SEARCH("geometry",C317)),Parameters!$B$8,IF(ISNUMBER(SEARCH("reasoning",C317)),Parameters!$B$9,Parameters!$B$10))))))</f>
        <v>4</v>
      </c>
      <c r="F317" s="23">
        <f>IF(D317="major",Parameters!$B$14,IF(D317="medium",Parameters!$B$15,Parameters!$B$16))</f>
        <v>3</v>
      </c>
      <c r="G317" s="16">
        <f t="shared" si="9"/>
        <v>0</v>
      </c>
      <c r="H317" s="24">
        <f>Parameters!$B$20^(G317-1)</f>
        <v>1.4285714285714286</v>
      </c>
      <c r="I317" s="18">
        <f t="shared" si="10"/>
        <v>17.142857142857142</v>
      </c>
    </row>
    <row r="318" spans="1:9" ht="13.15" x14ac:dyDescent="0.35">
      <c r="A318" s="21">
        <v>317</v>
      </c>
      <c r="B318" s="16">
        <f>'Data DEEPSEEK'!B318</f>
        <v>18</v>
      </c>
      <c r="C318" s="22" t="str">
        <f>'Data DEEPSEEK'!F318</f>
        <v>piece_relations</v>
      </c>
      <c r="D318" s="16" t="str">
        <f>LOWER(TRIM('Data DEEPSEEK'!H318))</f>
        <v>major</v>
      </c>
      <c r="E318" s="23">
        <f>IF(ISNUMBER(SEARCH("move_legality",C318)),Parameters!$B$4,IF(ISNUMBER(SEARCH("piece_placement",C318)),Parameters!$B$5,IF(ISNUMBER(SEARCH("material",C318)),Parameters!$B$6,IF(ISNUMBER(SEARCH("piece_relations",C318)),Parameters!$B$7,IF(ISNUMBER(SEARCH("geometry",C318)),Parameters!$B$8,IF(ISNUMBER(SEARCH("reasoning",C318)),Parameters!$B$9,Parameters!$B$10))))))</f>
        <v>4</v>
      </c>
      <c r="F318" s="23">
        <f>IF(D318="major",Parameters!$B$14,IF(D318="medium",Parameters!$B$15,Parameters!$B$16))</f>
        <v>3</v>
      </c>
      <c r="G318" s="16">
        <f t="shared" si="9"/>
        <v>0</v>
      </c>
      <c r="H318" s="24">
        <f>Parameters!$B$20^(G318-1)</f>
        <v>1.4285714285714286</v>
      </c>
      <c r="I318" s="18">
        <f t="shared" si="10"/>
        <v>17.142857142857142</v>
      </c>
    </row>
    <row r="319" spans="1:9" ht="13.15" x14ac:dyDescent="0.35">
      <c r="A319" s="21">
        <v>318</v>
      </c>
      <c r="B319" s="16">
        <f>'Data DEEPSEEK'!B319</f>
        <v>18</v>
      </c>
      <c r="C319" s="22" t="str">
        <f>'Data DEEPSEEK'!F319</f>
        <v>piece_relations</v>
      </c>
      <c r="D319" s="16" t="str">
        <f>LOWER(TRIM('Data DEEPSEEK'!H319))</f>
        <v>major</v>
      </c>
      <c r="E319" s="23">
        <f>IF(ISNUMBER(SEARCH("move_legality",C319)),Parameters!$B$4,IF(ISNUMBER(SEARCH("piece_placement",C319)),Parameters!$B$5,IF(ISNUMBER(SEARCH("material",C319)),Parameters!$B$6,IF(ISNUMBER(SEARCH("piece_relations",C319)),Parameters!$B$7,IF(ISNUMBER(SEARCH("geometry",C319)),Parameters!$B$8,IF(ISNUMBER(SEARCH("reasoning",C319)),Parameters!$B$9,Parameters!$B$10))))))</f>
        <v>4</v>
      </c>
      <c r="F319" s="23">
        <f>IF(D319="major",Parameters!$B$14,IF(D319="medium",Parameters!$B$15,Parameters!$B$16))</f>
        <v>3</v>
      </c>
      <c r="G319" s="16">
        <f t="shared" si="9"/>
        <v>0</v>
      </c>
      <c r="H319" s="24">
        <f>Parameters!$B$20^(G319-1)</f>
        <v>1.4285714285714286</v>
      </c>
      <c r="I319" s="18">
        <f t="shared" si="10"/>
        <v>17.142857142857142</v>
      </c>
    </row>
    <row r="320" spans="1:9" ht="13.15" x14ac:dyDescent="0.35">
      <c r="A320" s="21">
        <v>319</v>
      </c>
      <c r="B320" s="16">
        <f>'Data DEEPSEEK'!B320</f>
        <v>18</v>
      </c>
      <c r="C320" s="22" t="str">
        <f>'Data DEEPSEEK'!F320</f>
        <v>piece_placement</v>
      </c>
      <c r="D320" s="16" t="str">
        <f>LOWER(TRIM('Data DEEPSEEK'!H320))</f>
        <v>major</v>
      </c>
      <c r="E320" s="23">
        <f>IF(ISNUMBER(SEARCH("move_legality",C320)),Parameters!$B$4,IF(ISNUMBER(SEARCH("piece_placement",C320)),Parameters!$B$5,IF(ISNUMBER(SEARCH("material",C320)),Parameters!$B$6,IF(ISNUMBER(SEARCH("piece_relations",C320)),Parameters!$B$7,IF(ISNUMBER(SEARCH("geometry",C320)),Parameters!$B$8,IF(ISNUMBER(SEARCH("reasoning",C320)),Parameters!$B$9,Parameters!$B$10))))))</f>
        <v>6</v>
      </c>
      <c r="F320" s="23">
        <f>IF(D320="major",Parameters!$B$14,IF(D320="medium",Parameters!$B$15,Parameters!$B$16))</f>
        <v>3</v>
      </c>
      <c r="G320" s="16">
        <f t="shared" si="9"/>
        <v>0</v>
      </c>
      <c r="H320" s="24">
        <f>Parameters!$B$20^(G320-1)</f>
        <v>1.4285714285714286</v>
      </c>
      <c r="I320" s="18">
        <f t="shared" si="10"/>
        <v>25.714285714285715</v>
      </c>
    </row>
    <row r="321" spans="1:9" ht="13.15" x14ac:dyDescent="0.35">
      <c r="A321" s="21">
        <v>320</v>
      </c>
      <c r="B321" s="16">
        <f>'Data DEEPSEEK'!B321</f>
        <v>18</v>
      </c>
      <c r="C321" s="22" t="str">
        <f>'Data DEEPSEEK'!F321</f>
        <v>piece_placement</v>
      </c>
      <c r="D321" s="16" t="str">
        <f>LOWER(TRIM('Data DEEPSEEK'!H321))</f>
        <v>major</v>
      </c>
      <c r="E321" s="23">
        <f>IF(ISNUMBER(SEARCH("move_legality",C321)),Parameters!$B$4,IF(ISNUMBER(SEARCH("piece_placement",C321)),Parameters!$B$5,IF(ISNUMBER(SEARCH("material",C321)),Parameters!$B$6,IF(ISNUMBER(SEARCH("piece_relations",C321)),Parameters!$B$7,IF(ISNUMBER(SEARCH("geometry",C321)),Parameters!$B$8,IF(ISNUMBER(SEARCH("reasoning",C321)),Parameters!$B$9,Parameters!$B$10))))))</f>
        <v>6</v>
      </c>
      <c r="F321" s="23">
        <f>IF(D321="major",Parameters!$B$14,IF(D321="medium",Parameters!$B$15,Parameters!$B$16))</f>
        <v>3</v>
      </c>
      <c r="G321" s="16">
        <f t="shared" si="9"/>
        <v>0</v>
      </c>
      <c r="H321" s="24">
        <f>Parameters!$B$20^(G321-1)</f>
        <v>1.4285714285714286</v>
      </c>
      <c r="I321" s="18">
        <f t="shared" si="10"/>
        <v>25.714285714285715</v>
      </c>
    </row>
    <row r="322" spans="1:9" ht="13.15" x14ac:dyDescent="0.35">
      <c r="A322" s="21">
        <v>321</v>
      </c>
      <c r="B322" s="16">
        <f>'Data DEEPSEEK'!B322</f>
        <v>18</v>
      </c>
      <c r="C322" s="22" t="str">
        <f>'Data DEEPSEEK'!F322</f>
        <v>reasoning</v>
      </c>
      <c r="D322" s="16" t="str">
        <f>LOWER(TRIM('Data DEEPSEEK'!H322))</f>
        <v>medium</v>
      </c>
      <c r="E322" s="23">
        <f>IF(ISNUMBER(SEARCH("move_legality",C322)),Parameters!$B$4,IF(ISNUMBER(SEARCH("piece_placement",C322)),Parameters!$B$5,IF(ISNUMBER(SEARCH("material",C322)),Parameters!$B$6,IF(ISNUMBER(SEARCH("piece_relations",C322)),Parameters!$B$7,IF(ISNUMBER(SEARCH("geometry",C322)),Parameters!$B$8,IF(ISNUMBER(SEARCH("reasoning",C322)),Parameters!$B$9,Parameters!$B$10))))))</f>
        <v>2</v>
      </c>
      <c r="F322" s="23">
        <f>IF(D322="major",Parameters!$B$14,IF(D322="medium",Parameters!$B$15,Parameters!$B$16))</f>
        <v>2</v>
      </c>
      <c r="G322" s="16">
        <f t="shared" si="9"/>
        <v>0</v>
      </c>
      <c r="H322" s="24">
        <f>Parameters!$B$20^(G322-1)</f>
        <v>1.4285714285714286</v>
      </c>
      <c r="I322" s="18">
        <f t="shared" si="10"/>
        <v>5.7142857142857144</v>
      </c>
    </row>
    <row r="323" spans="1:9" ht="13.15" x14ac:dyDescent="0.35">
      <c r="A323" s="21">
        <v>322</v>
      </c>
      <c r="B323" s="16">
        <f>'Data DEEPSEEK'!B323</f>
        <v>18</v>
      </c>
      <c r="C323" s="22" t="str">
        <f>'Data DEEPSEEK'!F323</f>
        <v>piece_placement</v>
      </c>
      <c r="D323" s="16" t="str">
        <f>LOWER(TRIM('Data DEEPSEEK'!H323))</f>
        <v>major</v>
      </c>
      <c r="E323" s="23">
        <f>IF(ISNUMBER(SEARCH("move_legality",C323)),Parameters!$B$4,IF(ISNUMBER(SEARCH("piece_placement",C323)),Parameters!$B$5,IF(ISNUMBER(SEARCH("material",C323)),Parameters!$B$6,IF(ISNUMBER(SEARCH("piece_relations",C323)),Parameters!$B$7,IF(ISNUMBER(SEARCH("geometry",C323)),Parameters!$B$8,IF(ISNUMBER(SEARCH("reasoning",C323)),Parameters!$B$9,Parameters!$B$10))))))</f>
        <v>6</v>
      </c>
      <c r="F323" s="23">
        <f>IF(D323="major",Parameters!$B$14,IF(D323="medium",Parameters!$B$15,Parameters!$B$16))</f>
        <v>3</v>
      </c>
      <c r="G323" s="16">
        <f t="shared" ref="G323:G359" si="11">COUNTIFS($B$2:$B$12,B323,$C$2:$C$12,C323,$F$2:$F$12,"&gt;"&amp;F323)+COUNTIFS($B$2:$B$12,B323,$C$2:$C$12,C323,$F$2:$F$12,F323,$A$2:$A$12,"&lt;="&amp;A323)</f>
        <v>0</v>
      </c>
      <c r="H323" s="24">
        <f>Parameters!$B$20^(G323-1)</f>
        <v>1.4285714285714286</v>
      </c>
      <c r="I323" s="18">
        <f t="shared" ref="I323:I359" si="12">E323*F323*H323</f>
        <v>25.714285714285715</v>
      </c>
    </row>
    <row r="324" spans="1:9" ht="13.15" x14ac:dyDescent="0.35">
      <c r="A324" s="21">
        <v>323</v>
      </c>
      <c r="B324" s="16">
        <f>'Data DEEPSEEK'!B324</f>
        <v>18</v>
      </c>
      <c r="C324" s="22" t="str">
        <f>'Data DEEPSEEK'!F324</f>
        <v>piece_placement</v>
      </c>
      <c r="D324" s="16" t="str">
        <f>LOWER(TRIM('Data DEEPSEEK'!H324))</f>
        <v>major</v>
      </c>
      <c r="E324" s="23">
        <f>IF(ISNUMBER(SEARCH("move_legality",C324)),Parameters!$B$4,IF(ISNUMBER(SEARCH("piece_placement",C324)),Parameters!$B$5,IF(ISNUMBER(SEARCH("material",C324)),Parameters!$B$6,IF(ISNUMBER(SEARCH("piece_relations",C324)),Parameters!$B$7,IF(ISNUMBER(SEARCH("geometry",C324)),Parameters!$B$8,IF(ISNUMBER(SEARCH("reasoning",C324)),Parameters!$B$9,Parameters!$B$10))))))</f>
        <v>6</v>
      </c>
      <c r="F324" s="23">
        <f>IF(D324="major",Parameters!$B$14,IF(D324="medium",Parameters!$B$15,Parameters!$B$16))</f>
        <v>3</v>
      </c>
      <c r="G324" s="16">
        <f t="shared" si="11"/>
        <v>0</v>
      </c>
      <c r="H324" s="24">
        <f>Parameters!$B$20^(G324-1)</f>
        <v>1.4285714285714286</v>
      </c>
      <c r="I324" s="18">
        <f t="shared" si="12"/>
        <v>25.714285714285715</v>
      </c>
    </row>
    <row r="325" spans="1:9" ht="13.15" x14ac:dyDescent="0.35">
      <c r="A325" s="21">
        <v>324</v>
      </c>
      <c r="B325" s="16">
        <f>'Data DEEPSEEK'!B325</f>
        <v>18</v>
      </c>
      <c r="C325" s="22" t="str">
        <f>'Data DEEPSEEK'!F325</f>
        <v>piece_relations</v>
      </c>
      <c r="D325" s="16" t="str">
        <f>LOWER(TRIM('Data DEEPSEEK'!H325))</f>
        <v>major</v>
      </c>
      <c r="E325" s="23">
        <f>IF(ISNUMBER(SEARCH("move_legality",C325)),Parameters!$B$4,IF(ISNUMBER(SEARCH("piece_placement",C325)),Parameters!$B$5,IF(ISNUMBER(SEARCH("material",C325)),Parameters!$B$6,IF(ISNUMBER(SEARCH("piece_relations",C325)),Parameters!$B$7,IF(ISNUMBER(SEARCH("geometry",C325)),Parameters!$B$8,IF(ISNUMBER(SEARCH("reasoning",C325)),Parameters!$B$9,Parameters!$B$10))))))</f>
        <v>4</v>
      </c>
      <c r="F325" s="23">
        <f>IF(D325="major",Parameters!$B$14,IF(D325="medium",Parameters!$B$15,Parameters!$B$16))</f>
        <v>3</v>
      </c>
      <c r="G325" s="16">
        <f t="shared" si="11"/>
        <v>0</v>
      </c>
      <c r="H325" s="24">
        <f>Parameters!$B$20^(G325-1)</f>
        <v>1.4285714285714286</v>
      </c>
      <c r="I325" s="18">
        <f t="shared" si="12"/>
        <v>17.142857142857142</v>
      </c>
    </row>
    <row r="326" spans="1:9" ht="13.15" x14ac:dyDescent="0.35">
      <c r="A326" s="21">
        <v>325</v>
      </c>
      <c r="B326" s="16">
        <f>'Data DEEPSEEK'!B326</f>
        <v>18</v>
      </c>
      <c r="C326" s="22" t="str">
        <f>'Data DEEPSEEK'!F326</f>
        <v>move_legality</v>
      </c>
      <c r="D326" s="16" t="str">
        <f>LOWER(TRIM('Data DEEPSEEK'!H326))</f>
        <v>major</v>
      </c>
      <c r="E326" s="23">
        <f>IF(ISNUMBER(SEARCH("move_legality",C326)),Parameters!$B$4,IF(ISNUMBER(SEARCH("piece_placement",C326)),Parameters!$B$5,IF(ISNUMBER(SEARCH("material",C326)),Parameters!$B$6,IF(ISNUMBER(SEARCH("piece_relations",C326)),Parameters!$B$7,IF(ISNUMBER(SEARCH("geometry",C326)),Parameters!$B$8,IF(ISNUMBER(SEARCH("reasoning",C326)),Parameters!$B$9,Parameters!$B$10))))))</f>
        <v>8</v>
      </c>
      <c r="F326" s="23">
        <f>IF(D326="major",Parameters!$B$14,IF(D326="medium",Parameters!$B$15,Parameters!$B$16))</f>
        <v>3</v>
      </c>
      <c r="G326" s="16">
        <f t="shared" si="11"/>
        <v>0</v>
      </c>
      <c r="H326" s="24">
        <f>Parameters!$B$20^(G326-1)</f>
        <v>1.4285714285714286</v>
      </c>
      <c r="I326" s="18">
        <f t="shared" si="12"/>
        <v>34.285714285714285</v>
      </c>
    </row>
    <row r="327" spans="1:9" ht="13.15" x14ac:dyDescent="0.35">
      <c r="A327" s="21">
        <v>326</v>
      </c>
      <c r="B327" s="16">
        <f>'Data DEEPSEEK'!B327</f>
        <v>18</v>
      </c>
      <c r="C327" s="22" t="str">
        <f>'Data DEEPSEEK'!F327</f>
        <v>material</v>
      </c>
      <c r="D327" s="16" t="str">
        <f>LOWER(TRIM('Data DEEPSEEK'!H327))</f>
        <v>major</v>
      </c>
      <c r="E327" s="23">
        <f>IF(ISNUMBER(SEARCH("move_legality",C327)),Parameters!$B$4,IF(ISNUMBER(SEARCH("piece_placement",C327)),Parameters!$B$5,IF(ISNUMBER(SEARCH("material",C327)),Parameters!$B$6,IF(ISNUMBER(SEARCH("piece_relations",C327)),Parameters!$B$7,IF(ISNUMBER(SEARCH("geometry",C327)),Parameters!$B$8,IF(ISNUMBER(SEARCH("reasoning",C327)),Parameters!$B$9,Parameters!$B$10))))))</f>
        <v>5</v>
      </c>
      <c r="F327" s="23">
        <f>IF(D327="major",Parameters!$B$14,IF(D327="medium",Parameters!$B$15,Parameters!$B$16))</f>
        <v>3</v>
      </c>
      <c r="G327" s="16">
        <f t="shared" si="11"/>
        <v>0</v>
      </c>
      <c r="H327" s="24">
        <f>Parameters!$B$20^(G327-1)</f>
        <v>1.4285714285714286</v>
      </c>
      <c r="I327" s="18">
        <f t="shared" si="12"/>
        <v>21.428571428571431</v>
      </c>
    </row>
    <row r="328" spans="1:9" ht="13.15" x14ac:dyDescent="0.35">
      <c r="A328" s="21">
        <v>327</v>
      </c>
      <c r="B328" s="16">
        <f>'Data DEEPSEEK'!B328</f>
        <v>18</v>
      </c>
      <c r="C328" s="22" t="str">
        <f>'Data DEEPSEEK'!F328</f>
        <v>reasoning</v>
      </c>
      <c r="D328" s="16" t="str">
        <f>LOWER(TRIM('Data DEEPSEEK'!H328))</f>
        <v>medium</v>
      </c>
      <c r="E328" s="23">
        <f>IF(ISNUMBER(SEARCH("move_legality",C328)),Parameters!$B$4,IF(ISNUMBER(SEARCH("piece_placement",C328)),Parameters!$B$5,IF(ISNUMBER(SEARCH("material",C328)),Parameters!$B$6,IF(ISNUMBER(SEARCH("piece_relations",C328)),Parameters!$B$7,IF(ISNUMBER(SEARCH("geometry",C328)),Parameters!$B$8,IF(ISNUMBER(SEARCH("reasoning",C328)),Parameters!$B$9,Parameters!$B$10))))))</f>
        <v>2</v>
      </c>
      <c r="F328" s="23">
        <f>IF(D328="major",Parameters!$B$14,IF(D328="medium",Parameters!$B$15,Parameters!$B$16))</f>
        <v>2</v>
      </c>
      <c r="G328" s="16">
        <f t="shared" si="11"/>
        <v>0</v>
      </c>
      <c r="H328" s="24">
        <f>Parameters!$B$20^(G328-1)</f>
        <v>1.4285714285714286</v>
      </c>
      <c r="I328" s="18">
        <f t="shared" si="12"/>
        <v>5.7142857142857144</v>
      </c>
    </row>
    <row r="329" spans="1:9" ht="13.15" x14ac:dyDescent="0.35">
      <c r="A329" s="21">
        <v>328</v>
      </c>
      <c r="B329" s="16">
        <f>'Data DEEPSEEK'!B329</f>
        <v>19</v>
      </c>
      <c r="C329" s="22" t="str">
        <f>'Data DEEPSEEK'!F329</f>
        <v>reasoning</v>
      </c>
      <c r="D329" s="16" t="str">
        <f>LOWER(TRIM('Data DEEPSEEK'!H329))</f>
        <v>medium</v>
      </c>
      <c r="E329" s="23">
        <f>IF(ISNUMBER(SEARCH("move_legality",C329)),Parameters!$B$4,IF(ISNUMBER(SEARCH("piece_placement",C329)),Parameters!$B$5,IF(ISNUMBER(SEARCH("material",C329)),Parameters!$B$6,IF(ISNUMBER(SEARCH("piece_relations",C329)),Parameters!$B$7,IF(ISNUMBER(SEARCH("geometry",C329)),Parameters!$B$8,IF(ISNUMBER(SEARCH("reasoning",C329)),Parameters!$B$9,Parameters!$B$10))))))</f>
        <v>2</v>
      </c>
      <c r="F329" s="23">
        <f>IF(D329="major",Parameters!$B$14,IF(D329="medium",Parameters!$B$15,Parameters!$B$16))</f>
        <v>2</v>
      </c>
      <c r="G329" s="16">
        <f t="shared" si="11"/>
        <v>0</v>
      </c>
      <c r="H329" s="24">
        <f>Parameters!$B$20^(G329-1)</f>
        <v>1.4285714285714286</v>
      </c>
      <c r="I329" s="18">
        <f t="shared" si="12"/>
        <v>5.7142857142857144</v>
      </c>
    </row>
    <row r="330" spans="1:9" ht="13.15" x14ac:dyDescent="0.35">
      <c r="A330" s="21">
        <v>329</v>
      </c>
      <c r="B330" s="16">
        <f>'Data DEEPSEEK'!B330</f>
        <v>19</v>
      </c>
      <c r="C330" s="22" t="str">
        <f>'Data DEEPSEEK'!F330</f>
        <v>reasoning</v>
      </c>
      <c r="D330" s="16" t="str">
        <f>LOWER(TRIM('Data DEEPSEEK'!H330))</f>
        <v>medium</v>
      </c>
      <c r="E330" s="23">
        <f>IF(ISNUMBER(SEARCH("move_legality",C330)),Parameters!$B$4,IF(ISNUMBER(SEARCH("piece_placement",C330)),Parameters!$B$5,IF(ISNUMBER(SEARCH("material",C330)),Parameters!$B$6,IF(ISNUMBER(SEARCH("piece_relations",C330)),Parameters!$B$7,IF(ISNUMBER(SEARCH("geometry",C330)),Parameters!$B$8,IF(ISNUMBER(SEARCH("reasoning",C330)),Parameters!$B$9,Parameters!$B$10))))))</f>
        <v>2</v>
      </c>
      <c r="F330" s="23">
        <f>IF(D330="major",Parameters!$B$14,IF(D330="medium",Parameters!$B$15,Parameters!$B$16))</f>
        <v>2</v>
      </c>
      <c r="G330" s="16">
        <f t="shared" si="11"/>
        <v>0</v>
      </c>
      <c r="H330" s="24">
        <f>Parameters!$B$20^(G330-1)</f>
        <v>1.4285714285714286</v>
      </c>
      <c r="I330" s="18">
        <f t="shared" si="12"/>
        <v>5.7142857142857144</v>
      </c>
    </row>
    <row r="331" spans="1:9" ht="13.15" x14ac:dyDescent="0.35">
      <c r="A331" s="21">
        <v>330</v>
      </c>
      <c r="B331" s="16">
        <f>'Data DEEPSEEK'!B331</f>
        <v>19</v>
      </c>
      <c r="C331" s="22" t="str">
        <f>'Data DEEPSEEK'!F331</f>
        <v>piece_placement</v>
      </c>
      <c r="D331" s="16" t="str">
        <f>LOWER(TRIM('Data DEEPSEEK'!H331))</f>
        <v>major</v>
      </c>
      <c r="E331" s="23">
        <f>IF(ISNUMBER(SEARCH("move_legality",C331)),Parameters!$B$4,IF(ISNUMBER(SEARCH("piece_placement",C331)),Parameters!$B$5,IF(ISNUMBER(SEARCH("material",C331)),Parameters!$B$6,IF(ISNUMBER(SEARCH("piece_relations",C331)),Parameters!$B$7,IF(ISNUMBER(SEARCH("geometry",C331)),Parameters!$B$8,IF(ISNUMBER(SEARCH("reasoning",C331)),Parameters!$B$9,Parameters!$B$10))))))</f>
        <v>6</v>
      </c>
      <c r="F331" s="23">
        <f>IF(D331="major",Parameters!$B$14,IF(D331="medium",Parameters!$B$15,Parameters!$B$16))</f>
        <v>3</v>
      </c>
      <c r="G331" s="16">
        <f t="shared" si="11"/>
        <v>0</v>
      </c>
      <c r="H331" s="24">
        <f>Parameters!$B$20^(G331-1)</f>
        <v>1.4285714285714286</v>
      </c>
      <c r="I331" s="18">
        <f t="shared" si="12"/>
        <v>25.714285714285715</v>
      </c>
    </row>
    <row r="332" spans="1:9" ht="13.15" x14ac:dyDescent="0.35">
      <c r="A332" s="21">
        <v>331</v>
      </c>
      <c r="B332" s="16">
        <f>'Data DEEPSEEK'!B332</f>
        <v>19</v>
      </c>
      <c r="C332" s="22" t="str">
        <f>'Data DEEPSEEK'!F332</f>
        <v>piece_relations</v>
      </c>
      <c r="D332" s="16" t="str">
        <f>LOWER(TRIM('Data DEEPSEEK'!H332))</f>
        <v>major</v>
      </c>
      <c r="E332" s="23">
        <f>IF(ISNUMBER(SEARCH("move_legality",C332)),Parameters!$B$4,IF(ISNUMBER(SEARCH("piece_placement",C332)),Parameters!$B$5,IF(ISNUMBER(SEARCH("material",C332)),Parameters!$B$6,IF(ISNUMBER(SEARCH("piece_relations",C332)),Parameters!$B$7,IF(ISNUMBER(SEARCH("geometry",C332)),Parameters!$B$8,IF(ISNUMBER(SEARCH("reasoning",C332)),Parameters!$B$9,Parameters!$B$10))))))</f>
        <v>4</v>
      </c>
      <c r="F332" s="23">
        <f>IF(D332="major",Parameters!$B$14,IF(D332="medium",Parameters!$B$15,Parameters!$B$16))</f>
        <v>3</v>
      </c>
      <c r="G332" s="16">
        <f t="shared" si="11"/>
        <v>0</v>
      </c>
      <c r="H332" s="24">
        <f>Parameters!$B$20^(G332-1)</f>
        <v>1.4285714285714286</v>
      </c>
      <c r="I332" s="18">
        <f t="shared" si="12"/>
        <v>17.142857142857142</v>
      </c>
    </row>
    <row r="333" spans="1:9" ht="13.15" x14ac:dyDescent="0.35">
      <c r="A333" s="21">
        <v>332</v>
      </c>
      <c r="B333" s="16">
        <f>'Data DEEPSEEK'!B333</f>
        <v>19</v>
      </c>
      <c r="C333" s="22" t="str">
        <f>'Data DEEPSEEK'!F333</f>
        <v>piece_relations</v>
      </c>
      <c r="D333" s="16" t="str">
        <f>LOWER(TRIM('Data DEEPSEEK'!H333))</f>
        <v>minor</v>
      </c>
      <c r="E333" s="23">
        <f>IF(ISNUMBER(SEARCH("move_legality",C333)),Parameters!$B$4,IF(ISNUMBER(SEARCH("piece_placement",C333)),Parameters!$B$5,IF(ISNUMBER(SEARCH("material",C333)),Parameters!$B$6,IF(ISNUMBER(SEARCH("piece_relations",C333)),Parameters!$B$7,IF(ISNUMBER(SEARCH("geometry",C333)),Parameters!$B$8,IF(ISNUMBER(SEARCH("reasoning",C333)),Parameters!$B$9,Parameters!$B$10))))))</f>
        <v>4</v>
      </c>
      <c r="F333" s="23">
        <f>IF(D333="major",Parameters!$B$14,IF(D333="medium",Parameters!$B$15,Parameters!$B$16))</f>
        <v>1</v>
      </c>
      <c r="G333" s="16">
        <f t="shared" si="11"/>
        <v>0</v>
      </c>
      <c r="H333" s="24">
        <f>Parameters!$B$20^(G333-1)</f>
        <v>1.4285714285714286</v>
      </c>
      <c r="I333" s="18">
        <f t="shared" si="12"/>
        <v>5.7142857142857144</v>
      </c>
    </row>
    <row r="334" spans="1:9" ht="13.15" x14ac:dyDescent="0.35">
      <c r="A334" s="21">
        <v>333</v>
      </c>
      <c r="B334" s="16">
        <f>'Data DEEPSEEK'!B334</f>
        <v>19</v>
      </c>
      <c r="C334" s="22" t="str">
        <f>'Data DEEPSEEK'!F334</f>
        <v>move_legality</v>
      </c>
      <c r="D334" s="16" t="str">
        <f>LOWER(TRIM('Data DEEPSEEK'!H334))</f>
        <v>major</v>
      </c>
      <c r="E334" s="23">
        <f>IF(ISNUMBER(SEARCH("move_legality",C334)),Parameters!$B$4,IF(ISNUMBER(SEARCH("piece_placement",C334)),Parameters!$B$5,IF(ISNUMBER(SEARCH("material",C334)),Parameters!$B$6,IF(ISNUMBER(SEARCH("piece_relations",C334)),Parameters!$B$7,IF(ISNUMBER(SEARCH("geometry",C334)),Parameters!$B$8,IF(ISNUMBER(SEARCH("reasoning",C334)),Parameters!$B$9,Parameters!$B$10))))))</f>
        <v>8</v>
      </c>
      <c r="F334" s="23">
        <f>IF(D334="major",Parameters!$B$14,IF(D334="medium",Parameters!$B$15,Parameters!$B$16))</f>
        <v>3</v>
      </c>
      <c r="G334" s="16">
        <f t="shared" si="11"/>
        <v>0</v>
      </c>
      <c r="H334" s="24">
        <f>Parameters!$B$20^(G334-1)</f>
        <v>1.4285714285714286</v>
      </c>
      <c r="I334" s="18">
        <f t="shared" si="12"/>
        <v>34.285714285714285</v>
      </c>
    </row>
    <row r="335" spans="1:9" ht="13.15" x14ac:dyDescent="0.35">
      <c r="A335" s="21">
        <v>334</v>
      </c>
      <c r="B335" s="16">
        <f>'Data DEEPSEEK'!B335</f>
        <v>19</v>
      </c>
      <c r="C335" s="22" t="str">
        <f>'Data DEEPSEEK'!F335</f>
        <v>move_legality</v>
      </c>
      <c r="D335" s="16" t="str">
        <f>LOWER(TRIM('Data DEEPSEEK'!H335))</f>
        <v>major</v>
      </c>
      <c r="E335" s="23">
        <f>IF(ISNUMBER(SEARCH("move_legality",C335)),Parameters!$B$4,IF(ISNUMBER(SEARCH("piece_placement",C335)),Parameters!$B$5,IF(ISNUMBER(SEARCH("material",C335)),Parameters!$B$6,IF(ISNUMBER(SEARCH("piece_relations",C335)),Parameters!$B$7,IF(ISNUMBER(SEARCH("geometry",C335)),Parameters!$B$8,IF(ISNUMBER(SEARCH("reasoning",C335)),Parameters!$B$9,Parameters!$B$10))))))</f>
        <v>8</v>
      </c>
      <c r="F335" s="23">
        <f>IF(D335="major",Parameters!$B$14,IF(D335="medium",Parameters!$B$15,Parameters!$B$16))</f>
        <v>3</v>
      </c>
      <c r="G335" s="16">
        <f t="shared" si="11"/>
        <v>0</v>
      </c>
      <c r="H335" s="24">
        <f>Parameters!$B$20^(G335-1)</f>
        <v>1.4285714285714286</v>
      </c>
      <c r="I335" s="18">
        <f t="shared" si="12"/>
        <v>34.285714285714285</v>
      </c>
    </row>
    <row r="336" spans="1:9" ht="13.15" x14ac:dyDescent="0.35">
      <c r="A336" s="21">
        <v>335</v>
      </c>
      <c r="B336" s="16">
        <f>'Data DEEPSEEK'!B336</f>
        <v>19</v>
      </c>
      <c r="C336" s="22" t="str">
        <f>'Data DEEPSEEK'!F336</f>
        <v>move_legality</v>
      </c>
      <c r="D336" s="16" t="str">
        <f>LOWER(TRIM('Data DEEPSEEK'!H336))</f>
        <v>minor</v>
      </c>
      <c r="E336" s="23">
        <f>IF(ISNUMBER(SEARCH("move_legality",C336)),Parameters!$B$4,IF(ISNUMBER(SEARCH("piece_placement",C336)),Parameters!$B$5,IF(ISNUMBER(SEARCH("material",C336)),Parameters!$B$6,IF(ISNUMBER(SEARCH("piece_relations",C336)),Parameters!$B$7,IF(ISNUMBER(SEARCH("geometry",C336)),Parameters!$B$8,IF(ISNUMBER(SEARCH("reasoning",C336)),Parameters!$B$9,Parameters!$B$10))))))</f>
        <v>8</v>
      </c>
      <c r="F336" s="23">
        <f>IF(D336="major",Parameters!$B$14,IF(D336="medium",Parameters!$B$15,Parameters!$B$16))</f>
        <v>1</v>
      </c>
      <c r="G336" s="16">
        <f t="shared" si="11"/>
        <v>0</v>
      </c>
      <c r="H336" s="24">
        <f>Parameters!$B$20^(G336-1)</f>
        <v>1.4285714285714286</v>
      </c>
      <c r="I336" s="18">
        <f t="shared" si="12"/>
        <v>11.428571428571429</v>
      </c>
    </row>
    <row r="337" spans="1:9" ht="13.15" x14ac:dyDescent="0.35">
      <c r="A337" s="21">
        <v>336</v>
      </c>
      <c r="B337" s="16">
        <f>'Data DEEPSEEK'!B337</f>
        <v>20</v>
      </c>
      <c r="C337" s="22" t="str">
        <f>'Data DEEPSEEK'!F337</f>
        <v>piece_relations</v>
      </c>
      <c r="D337" s="16" t="str">
        <f>LOWER(TRIM('Data DEEPSEEK'!H337))</f>
        <v>major</v>
      </c>
      <c r="E337" s="23">
        <f>IF(ISNUMBER(SEARCH("move_legality",C337)),Parameters!$B$4,IF(ISNUMBER(SEARCH("piece_placement",C337)),Parameters!$B$5,IF(ISNUMBER(SEARCH("material",C337)),Parameters!$B$6,IF(ISNUMBER(SEARCH("piece_relations",C337)),Parameters!$B$7,IF(ISNUMBER(SEARCH("geometry",C337)),Parameters!$B$8,IF(ISNUMBER(SEARCH("reasoning",C337)),Parameters!$B$9,Parameters!$B$10))))))</f>
        <v>4</v>
      </c>
      <c r="F337" s="23">
        <f>IF(D337="major",Parameters!$B$14,IF(D337="medium",Parameters!$B$15,Parameters!$B$16))</f>
        <v>3</v>
      </c>
      <c r="G337" s="16">
        <f t="shared" si="11"/>
        <v>0</v>
      </c>
      <c r="H337" s="24">
        <f>Parameters!$B$20^(G337-1)</f>
        <v>1.4285714285714286</v>
      </c>
      <c r="I337" s="18">
        <f t="shared" si="12"/>
        <v>17.142857142857142</v>
      </c>
    </row>
    <row r="338" spans="1:9" ht="13.15" x14ac:dyDescent="0.35">
      <c r="A338" s="21">
        <v>337</v>
      </c>
      <c r="B338" s="16">
        <f>'Data DEEPSEEK'!B338</f>
        <v>20</v>
      </c>
      <c r="C338" s="22" t="str">
        <f>'Data DEEPSEEK'!F338</f>
        <v>reasoning</v>
      </c>
      <c r="D338" s="16" t="str">
        <f>LOWER(TRIM('Data DEEPSEEK'!H338))</f>
        <v>major</v>
      </c>
      <c r="E338" s="23">
        <f>IF(ISNUMBER(SEARCH("move_legality",C338)),Parameters!$B$4,IF(ISNUMBER(SEARCH("piece_placement",C338)),Parameters!$B$5,IF(ISNUMBER(SEARCH("material",C338)),Parameters!$B$6,IF(ISNUMBER(SEARCH("piece_relations",C338)),Parameters!$B$7,IF(ISNUMBER(SEARCH("geometry",C338)),Parameters!$B$8,IF(ISNUMBER(SEARCH("reasoning",C338)),Parameters!$B$9,Parameters!$B$10))))))</f>
        <v>2</v>
      </c>
      <c r="F338" s="23">
        <f>IF(D338="major",Parameters!$B$14,IF(D338="medium",Parameters!$B$15,Parameters!$B$16))</f>
        <v>3</v>
      </c>
      <c r="G338" s="16">
        <f t="shared" si="11"/>
        <v>0</v>
      </c>
      <c r="H338" s="24">
        <f>Parameters!$B$20^(G338-1)</f>
        <v>1.4285714285714286</v>
      </c>
      <c r="I338" s="18">
        <f t="shared" si="12"/>
        <v>8.5714285714285712</v>
      </c>
    </row>
    <row r="339" spans="1:9" ht="13.15" x14ac:dyDescent="0.35">
      <c r="A339" s="21">
        <v>338</v>
      </c>
      <c r="B339" s="16">
        <f>'Data DEEPSEEK'!B339</f>
        <v>20</v>
      </c>
      <c r="C339" s="22" t="str">
        <f>'Data DEEPSEEK'!F339</f>
        <v>geometry</v>
      </c>
      <c r="D339" s="16" t="str">
        <f>LOWER(TRIM('Data DEEPSEEK'!H339))</f>
        <v>major</v>
      </c>
      <c r="E339" s="23">
        <f>IF(ISNUMBER(SEARCH("move_legality",C339)),Parameters!$B$4,IF(ISNUMBER(SEARCH("piece_placement",C339)),Parameters!$B$5,IF(ISNUMBER(SEARCH("material",C339)),Parameters!$B$6,IF(ISNUMBER(SEARCH("piece_relations",C339)),Parameters!$B$7,IF(ISNUMBER(SEARCH("geometry",C339)),Parameters!$B$8,IF(ISNUMBER(SEARCH("reasoning",C339)),Parameters!$B$9,Parameters!$B$10))))))</f>
        <v>3</v>
      </c>
      <c r="F339" s="23">
        <f>IF(D339="major",Parameters!$B$14,IF(D339="medium",Parameters!$B$15,Parameters!$B$16))</f>
        <v>3</v>
      </c>
      <c r="G339" s="16">
        <f t="shared" si="11"/>
        <v>0</v>
      </c>
      <c r="H339" s="24">
        <f>Parameters!$B$20^(G339-1)</f>
        <v>1.4285714285714286</v>
      </c>
      <c r="I339" s="18">
        <f t="shared" si="12"/>
        <v>12.857142857142858</v>
      </c>
    </row>
    <row r="340" spans="1:9" ht="13.15" x14ac:dyDescent="0.35">
      <c r="A340" s="21">
        <v>339</v>
      </c>
      <c r="B340" s="16">
        <f>'Data DEEPSEEK'!B340</f>
        <v>20</v>
      </c>
      <c r="C340" s="22" t="str">
        <f>'Data DEEPSEEK'!F340</f>
        <v>geometry</v>
      </c>
      <c r="D340" s="16" t="str">
        <f>LOWER(TRIM('Data DEEPSEEK'!H340))</f>
        <v>major</v>
      </c>
      <c r="E340" s="23">
        <f>IF(ISNUMBER(SEARCH("move_legality",C340)),Parameters!$B$4,IF(ISNUMBER(SEARCH("piece_placement",C340)),Parameters!$B$5,IF(ISNUMBER(SEARCH("material",C340)),Parameters!$B$6,IF(ISNUMBER(SEARCH("piece_relations",C340)),Parameters!$B$7,IF(ISNUMBER(SEARCH("geometry",C340)),Parameters!$B$8,IF(ISNUMBER(SEARCH("reasoning",C340)),Parameters!$B$9,Parameters!$B$10))))))</f>
        <v>3</v>
      </c>
      <c r="F340" s="23">
        <f>IF(D340="major",Parameters!$B$14,IF(D340="medium",Parameters!$B$15,Parameters!$B$16))</f>
        <v>3</v>
      </c>
      <c r="G340" s="16">
        <f t="shared" si="11"/>
        <v>0</v>
      </c>
      <c r="H340" s="24">
        <f>Parameters!$B$20^(G340-1)</f>
        <v>1.4285714285714286</v>
      </c>
      <c r="I340" s="18">
        <f t="shared" si="12"/>
        <v>12.857142857142858</v>
      </c>
    </row>
    <row r="341" spans="1:9" ht="13.15" x14ac:dyDescent="0.35">
      <c r="A341" s="21">
        <v>340</v>
      </c>
      <c r="B341" s="16">
        <f>'Data DEEPSEEK'!B341</f>
        <v>20</v>
      </c>
      <c r="C341" s="22" t="str">
        <f>'Data DEEPSEEK'!F341</f>
        <v>geometry</v>
      </c>
      <c r="D341" s="16" t="str">
        <f>LOWER(TRIM('Data DEEPSEEK'!H341))</f>
        <v>major</v>
      </c>
      <c r="E341" s="23">
        <f>IF(ISNUMBER(SEARCH("move_legality",C341)),Parameters!$B$4,IF(ISNUMBER(SEARCH("piece_placement",C341)),Parameters!$B$5,IF(ISNUMBER(SEARCH("material",C341)),Parameters!$B$6,IF(ISNUMBER(SEARCH("piece_relations",C341)),Parameters!$B$7,IF(ISNUMBER(SEARCH("geometry",C341)),Parameters!$B$8,IF(ISNUMBER(SEARCH("reasoning",C341)),Parameters!$B$9,Parameters!$B$10))))))</f>
        <v>3</v>
      </c>
      <c r="F341" s="23">
        <f>IF(D341="major",Parameters!$B$14,IF(D341="medium",Parameters!$B$15,Parameters!$B$16))</f>
        <v>3</v>
      </c>
      <c r="G341" s="16">
        <f t="shared" si="11"/>
        <v>0</v>
      </c>
      <c r="H341" s="24">
        <f>Parameters!$B$20^(G341-1)</f>
        <v>1.4285714285714286</v>
      </c>
      <c r="I341" s="18">
        <f t="shared" si="12"/>
        <v>12.857142857142858</v>
      </c>
    </row>
    <row r="342" spans="1:9" ht="13.15" x14ac:dyDescent="0.35">
      <c r="A342" s="21">
        <v>341</v>
      </c>
      <c r="B342" s="16">
        <f>'Data DEEPSEEK'!B342</f>
        <v>20</v>
      </c>
      <c r="C342" s="22" t="str">
        <f>'Data DEEPSEEK'!F342</f>
        <v>reasoning</v>
      </c>
      <c r="D342" s="16" t="str">
        <f>LOWER(TRIM('Data DEEPSEEK'!H342))</f>
        <v>medium</v>
      </c>
      <c r="E342" s="23">
        <f>IF(ISNUMBER(SEARCH("move_legality",C342)),Parameters!$B$4,IF(ISNUMBER(SEARCH("piece_placement",C342)),Parameters!$B$5,IF(ISNUMBER(SEARCH("material",C342)),Parameters!$B$6,IF(ISNUMBER(SEARCH("piece_relations",C342)),Parameters!$B$7,IF(ISNUMBER(SEARCH("geometry",C342)),Parameters!$B$8,IF(ISNUMBER(SEARCH("reasoning",C342)),Parameters!$B$9,Parameters!$B$10))))))</f>
        <v>2</v>
      </c>
      <c r="F342" s="23">
        <f>IF(D342="major",Parameters!$B$14,IF(D342="medium",Parameters!$B$15,Parameters!$B$16))</f>
        <v>2</v>
      </c>
      <c r="G342" s="16">
        <f t="shared" si="11"/>
        <v>0</v>
      </c>
      <c r="H342" s="24">
        <f>Parameters!$B$20^(G342-1)</f>
        <v>1.4285714285714286</v>
      </c>
      <c r="I342" s="18">
        <f t="shared" si="12"/>
        <v>5.7142857142857144</v>
      </c>
    </row>
    <row r="343" spans="1:9" ht="13.15" x14ac:dyDescent="0.35">
      <c r="A343" s="21">
        <v>342</v>
      </c>
      <c r="B343" s="16">
        <f>'Data DEEPSEEK'!B343</f>
        <v>20</v>
      </c>
      <c r="C343" s="22" t="str">
        <f>'Data DEEPSEEK'!F343</f>
        <v>piece_relations</v>
      </c>
      <c r="D343" s="16" t="str">
        <f>LOWER(TRIM('Data DEEPSEEK'!H343))</f>
        <v>major</v>
      </c>
      <c r="E343" s="23">
        <f>IF(ISNUMBER(SEARCH("move_legality",C343)),Parameters!$B$4,IF(ISNUMBER(SEARCH("piece_placement",C343)),Parameters!$B$5,IF(ISNUMBER(SEARCH("material",C343)),Parameters!$B$6,IF(ISNUMBER(SEARCH("piece_relations",C343)),Parameters!$B$7,IF(ISNUMBER(SEARCH("geometry",C343)),Parameters!$B$8,IF(ISNUMBER(SEARCH("reasoning",C343)),Parameters!$B$9,Parameters!$B$10))))))</f>
        <v>4</v>
      </c>
      <c r="F343" s="23">
        <f>IF(D343="major",Parameters!$B$14,IF(D343="medium",Parameters!$B$15,Parameters!$B$16))</f>
        <v>3</v>
      </c>
      <c r="G343" s="16">
        <f t="shared" si="11"/>
        <v>0</v>
      </c>
      <c r="H343" s="24">
        <f>Parameters!$B$20^(G343-1)</f>
        <v>1.4285714285714286</v>
      </c>
      <c r="I343" s="18">
        <f t="shared" si="12"/>
        <v>17.142857142857142</v>
      </c>
    </row>
    <row r="344" spans="1:9" ht="13.15" x14ac:dyDescent="0.35">
      <c r="A344" s="21">
        <v>343</v>
      </c>
      <c r="B344" s="16">
        <f>'Data DEEPSEEK'!B344</f>
        <v>20</v>
      </c>
      <c r="C344" s="22" t="str">
        <f>'Data DEEPSEEK'!F344</f>
        <v>reasoning</v>
      </c>
      <c r="D344" s="16" t="str">
        <f>LOWER(TRIM('Data DEEPSEEK'!H344))</f>
        <v>medium</v>
      </c>
      <c r="E344" s="23">
        <f>IF(ISNUMBER(SEARCH("move_legality",C344)),Parameters!$B$4,IF(ISNUMBER(SEARCH("piece_placement",C344)),Parameters!$B$5,IF(ISNUMBER(SEARCH("material",C344)),Parameters!$B$6,IF(ISNUMBER(SEARCH("piece_relations",C344)),Parameters!$B$7,IF(ISNUMBER(SEARCH("geometry",C344)),Parameters!$B$8,IF(ISNUMBER(SEARCH("reasoning",C344)),Parameters!$B$9,Parameters!$B$10))))))</f>
        <v>2</v>
      </c>
      <c r="F344" s="23">
        <f>IF(D344="major",Parameters!$B$14,IF(D344="medium",Parameters!$B$15,Parameters!$B$16))</f>
        <v>2</v>
      </c>
      <c r="G344" s="16">
        <f t="shared" si="11"/>
        <v>0</v>
      </c>
      <c r="H344" s="24">
        <f>Parameters!$B$20^(G344-1)</f>
        <v>1.4285714285714286</v>
      </c>
      <c r="I344" s="18">
        <f t="shared" si="12"/>
        <v>5.7142857142857144</v>
      </c>
    </row>
    <row r="345" spans="1:9" ht="13.15" x14ac:dyDescent="0.35">
      <c r="A345" s="21">
        <v>344</v>
      </c>
      <c r="B345" s="16">
        <f>'Data DEEPSEEK'!B345</f>
        <v>20</v>
      </c>
      <c r="C345" s="22" t="str">
        <f>'Data DEEPSEEK'!F345</f>
        <v>piece_relations</v>
      </c>
      <c r="D345" s="16" t="str">
        <f>LOWER(TRIM('Data DEEPSEEK'!H345))</f>
        <v>major</v>
      </c>
      <c r="E345" s="23">
        <f>IF(ISNUMBER(SEARCH("move_legality",C345)),Parameters!$B$4,IF(ISNUMBER(SEARCH("piece_placement",C345)),Parameters!$B$5,IF(ISNUMBER(SEARCH("material",C345)),Parameters!$B$6,IF(ISNUMBER(SEARCH("piece_relations",C345)),Parameters!$B$7,IF(ISNUMBER(SEARCH("geometry",C345)),Parameters!$B$8,IF(ISNUMBER(SEARCH("reasoning",C345)),Parameters!$B$9,Parameters!$B$10))))))</f>
        <v>4</v>
      </c>
      <c r="F345" s="23">
        <f>IF(D345="major",Parameters!$B$14,IF(D345="medium",Parameters!$B$15,Parameters!$B$16))</f>
        <v>3</v>
      </c>
      <c r="G345" s="16">
        <f t="shared" si="11"/>
        <v>0</v>
      </c>
      <c r="H345" s="24">
        <f>Parameters!$B$20^(G345-1)</f>
        <v>1.4285714285714286</v>
      </c>
      <c r="I345" s="18">
        <f t="shared" si="12"/>
        <v>17.142857142857142</v>
      </c>
    </row>
    <row r="346" spans="1:9" ht="13.15" x14ac:dyDescent="0.35">
      <c r="A346" s="21">
        <v>345</v>
      </c>
      <c r="B346" s="16">
        <f>'Data DEEPSEEK'!B346</f>
        <v>20</v>
      </c>
      <c r="C346" s="22" t="str">
        <f>'Data DEEPSEEK'!F346</f>
        <v>piece_relations</v>
      </c>
      <c r="D346" s="16" t="str">
        <f>LOWER(TRIM('Data DEEPSEEK'!H346))</f>
        <v>minor</v>
      </c>
      <c r="E346" s="23">
        <f>IF(ISNUMBER(SEARCH("move_legality",C346)),Parameters!$B$4,IF(ISNUMBER(SEARCH("piece_placement",C346)),Parameters!$B$5,IF(ISNUMBER(SEARCH("material",C346)),Parameters!$B$6,IF(ISNUMBER(SEARCH("piece_relations",C346)),Parameters!$B$7,IF(ISNUMBER(SEARCH("geometry",C346)),Parameters!$B$8,IF(ISNUMBER(SEARCH("reasoning",C346)),Parameters!$B$9,Parameters!$B$10))))))</f>
        <v>4</v>
      </c>
      <c r="F346" s="23">
        <f>IF(D346="major",Parameters!$B$14,IF(D346="medium",Parameters!$B$15,Parameters!$B$16))</f>
        <v>1</v>
      </c>
      <c r="G346" s="16">
        <f t="shared" si="11"/>
        <v>0</v>
      </c>
      <c r="H346" s="24">
        <f>Parameters!$B$20^(G346-1)</f>
        <v>1.4285714285714286</v>
      </c>
      <c r="I346" s="18">
        <f t="shared" si="12"/>
        <v>5.7142857142857144</v>
      </c>
    </row>
    <row r="347" spans="1:9" ht="13.15" x14ac:dyDescent="0.35">
      <c r="A347" s="21">
        <v>346</v>
      </c>
      <c r="B347" s="16">
        <f>'Data DEEPSEEK'!B347</f>
        <v>20</v>
      </c>
      <c r="C347" s="22" t="str">
        <f>'Data DEEPSEEK'!F347</f>
        <v>piece_relations</v>
      </c>
      <c r="D347" s="16" t="str">
        <f>LOWER(TRIM('Data DEEPSEEK'!H347))</f>
        <v>major</v>
      </c>
      <c r="E347" s="23">
        <f>IF(ISNUMBER(SEARCH("move_legality",C347)),Parameters!$B$4,IF(ISNUMBER(SEARCH("piece_placement",C347)),Parameters!$B$5,IF(ISNUMBER(SEARCH("material",C347)),Parameters!$B$6,IF(ISNUMBER(SEARCH("piece_relations",C347)),Parameters!$B$7,IF(ISNUMBER(SEARCH("geometry",C347)),Parameters!$B$8,IF(ISNUMBER(SEARCH("reasoning",C347)),Parameters!$B$9,Parameters!$B$10))))))</f>
        <v>4</v>
      </c>
      <c r="F347" s="23">
        <f>IF(D347="major",Parameters!$B$14,IF(D347="medium",Parameters!$B$15,Parameters!$B$16))</f>
        <v>3</v>
      </c>
      <c r="G347" s="16">
        <f t="shared" si="11"/>
        <v>0</v>
      </c>
      <c r="H347" s="24">
        <f>Parameters!$B$20^(G347-1)</f>
        <v>1.4285714285714286</v>
      </c>
      <c r="I347" s="18">
        <f t="shared" si="12"/>
        <v>17.142857142857142</v>
      </c>
    </row>
    <row r="348" spans="1:9" ht="13.15" x14ac:dyDescent="0.35">
      <c r="A348" s="21">
        <v>347</v>
      </c>
      <c r="B348" s="16">
        <f>'Data DEEPSEEK'!B348</f>
        <v>20</v>
      </c>
      <c r="C348" s="22" t="str">
        <f>'Data DEEPSEEK'!F348</f>
        <v>reasoning</v>
      </c>
      <c r="D348" s="16" t="str">
        <f>LOWER(TRIM('Data DEEPSEEK'!H348))</f>
        <v>major</v>
      </c>
      <c r="E348" s="23">
        <f>IF(ISNUMBER(SEARCH("move_legality",C348)),Parameters!$B$4,IF(ISNUMBER(SEARCH("piece_placement",C348)),Parameters!$B$5,IF(ISNUMBER(SEARCH("material",C348)),Parameters!$B$6,IF(ISNUMBER(SEARCH("piece_relations",C348)),Parameters!$B$7,IF(ISNUMBER(SEARCH("geometry",C348)),Parameters!$B$8,IF(ISNUMBER(SEARCH("reasoning",C348)),Parameters!$B$9,Parameters!$B$10))))))</f>
        <v>2</v>
      </c>
      <c r="F348" s="23">
        <f>IF(D348="major",Parameters!$B$14,IF(D348="medium",Parameters!$B$15,Parameters!$B$16))</f>
        <v>3</v>
      </c>
      <c r="G348" s="16">
        <f t="shared" si="11"/>
        <v>0</v>
      </c>
      <c r="H348" s="24">
        <f>Parameters!$B$20^(G348-1)</f>
        <v>1.4285714285714286</v>
      </c>
      <c r="I348" s="18">
        <f t="shared" si="12"/>
        <v>8.5714285714285712</v>
      </c>
    </row>
    <row r="349" spans="1:9" ht="13.15" x14ac:dyDescent="0.35">
      <c r="A349" s="21">
        <v>348</v>
      </c>
      <c r="B349" s="16">
        <f>'Data DEEPSEEK'!B349</f>
        <v>20</v>
      </c>
      <c r="C349" s="22" t="str">
        <f>'Data DEEPSEEK'!F349</f>
        <v>piece_relations</v>
      </c>
      <c r="D349" s="16" t="str">
        <f>LOWER(TRIM('Data DEEPSEEK'!H349))</f>
        <v>major</v>
      </c>
      <c r="E349" s="23">
        <f>IF(ISNUMBER(SEARCH("move_legality",C349)),Parameters!$B$4,IF(ISNUMBER(SEARCH("piece_placement",C349)),Parameters!$B$5,IF(ISNUMBER(SEARCH("material",C349)),Parameters!$B$6,IF(ISNUMBER(SEARCH("piece_relations",C349)),Parameters!$B$7,IF(ISNUMBER(SEARCH("geometry",C349)),Parameters!$B$8,IF(ISNUMBER(SEARCH("reasoning",C349)),Parameters!$B$9,Parameters!$B$10))))))</f>
        <v>4</v>
      </c>
      <c r="F349" s="23">
        <f>IF(D349="major",Parameters!$B$14,IF(D349="medium",Parameters!$B$15,Parameters!$B$16))</f>
        <v>3</v>
      </c>
      <c r="G349" s="16">
        <f t="shared" si="11"/>
        <v>0</v>
      </c>
      <c r="H349" s="24">
        <f>Parameters!$B$20^(G349-1)</f>
        <v>1.4285714285714286</v>
      </c>
      <c r="I349" s="18">
        <f t="shared" si="12"/>
        <v>17.142857142857142</v>
      </c>
    </row>
    <row r="350" spans="1:9" ht="13.15" x14ac:dyDescent="0.35">
      <c r="A350" s="21">
        <v>349</v>
      </c>
      <c r="B350" s="16">
        <f>'Data DEEPSEEK'!B350</f>
        <v>20</v>
      </c>
      <c r="C350" s="22" t="str">
        <f>'Data DEEPSEEK'!F350</f>
        <v>piece_placement</v>
      </c>
      <c r="D350" s="16" t="str">
        <f>LOWER(TRIM('Data DEEPSEEK'!H350))</f>
        <v>major</v>
      </c>
      <c r="E350" s="23">
        <f>IF(ISNUMBER(SEARCH("move_legality",C350)),Parameters!$B$4,IF(ISNUMBER(SEARCH("piece_placement",C350)),Parameters!$B$5,IF(ISNUMBER(SEARCH("material",C350)),Parameters!$B$6,IF(ISNUMBER(SEARCH("piece_relations",C350)),Parameters!$B$7,IF(ISNUMBER(SEARCH("geometry",C350)),Parameters!$B$8,IF(ISNUMBER(SEARCH("reasoning",C350)),Parameters!$B$9,Parameters!$B$10))))))</f>
        <v>6</v>
      </c>
      <c r="F350" s="23">
        <f>IF(D350="major",Parameters!$B$14,IF(D350="medium",Parameters!$B$15,Parameters!$B$16))</f>
        <v>3</v>
      </c>
      <c r="G350" s="16">
        <f t="shared" si="11"/>
        <v>0</v>
      </c>
      <c r="H350" s="24">
        <f>Parameters!$B$20^(G350-1)</f>
        <v>1.4285714285714286</v>
      </c>
      <c r="I350" s="18">
        <f t="shared" si="12"/>
        <v>25.714285714285715</v>
      </c>
    </row>
    <row r="351" spans="1:9" ht="13.15" x14ac:dyDescent="0.35">
      <c r="A351" s="21">
        <v>350</v>
      </c>
      <c r="B351" s="16">
        <f>'Data DEEPSEEK'!B351</f>
        <v>20</v>
      </c>
      <c r="C351" s="22" t="str">
        <f>'Data DEEPSEEK'!F351</f>
        <v>piece_relations</v>
      </c>
      <c r="D351" s="16" t="str">
        <f>LOWER(TRIM('Data DEEPSEEK'!H351))</f>
        <v>major</v>
      </c>
      <c r="E351" s="23">
        <f>IF(ISNUMBER(SEARCH("move_legality",C351)),Parameters!$B$4,IF(ISNUMBER(SEARCH("piece_placement",C351)),Parameters!$B$5,IF(ISNUMBER(SEARCH("material",C351)),Parameters!$B$6,IF(ISNUMBER(SEARCH("piece_relations",C351)),Parameters!$B$7,IF(ISNUMBER(SEARCH("geometry",C351)),Parameters!$B$8,IF(ISNUMBER(SEARCH("reasoning",C351)),Parameters!$B$9,Parameters!$B$10))))))</f>
        <v>4</v>
      </c>
      <c r="F351" s="23">
        <f>IF(D351="major",Parameters!$B$14,IF(D351="medium",Parameters!$B$15,Parameters!$B$16))</f>
        <v>3</v>
      </c>
      <c r="G351" s="16">
        <f t="shared" si="11"/>
        <v>0</v>
      </c>
      <c r="H351" s="24">
        <f>Parameters!$B$20^(G351-1)</f>
        <v>1.4285714285714286</v>
      </c>
      <c r="I351" s="18">
        <f t="shared" si="12"/>
        <v>17.142857142857142</v>
      </c>
    </row>
    <row r="352" spans="1:9" ht="13.15" x14ac:dyDescent="0.35">
      <c r="A352" s="21">
        <v>351</v>
      </c>
      <c r="B352" s="16">
        <f>'Data DEEPSEEK'!B352</f>
        <v>20</v>
      </c>
      <c r="C352" s="22" t="str">
        <f>'Data DEEPSEEK'!F352</f>
        <v>piece_relations</v>
      </c>
      <c r="D352" s="16" t="str">
        <f>LOWER(TRIM('Data DEEPSEEK'!H352))</f>
        <v>major</v>
      </c>
      <c r="E352" s="23">
        <f>IF(ISNUMBER(SEARCH("move_legality",C352)),Parameters!$B$4,IF(ISNUMBER(SEARCH("piece_placement",C352)),Parameters!$B$5,IF(ISNUMBER(SEARCH("material",C352)),Parameters!$B$6,IF(ISNUMBER(SEARCH("piece_relations",C352)),Parameters!$B$7,IF(ISNUMBER(SEARCH("geometry",C352)),Parameters!$B$8,IF(ISNUMBER(SEARCH("reasoning",C352)),Parameters!$B$9,Parameters!$B$10))))))</f>
        <v>4</v>
      </c>
      <c r="F352" s="23">
        <f>IF(D352="major",Parameters!$B$14,IF(D352="medium",Parameters!$B$15,Parameters!$B$16))</f>
        <v>3</v>
      </c>
      <c r="G352" s="16">
        <f t="shared" si="11"/>
        <v>0</v>
      </c>
      <c r="H352" s="24">
        <f>Parameters!$B$20^(G352-1)</f>
        <v>1.4285714285714286</v>
      </c>
      <c r="I352" s="18">
        <f t="shared" si="12"/>
        <v>17.142857142857142</v>
      </c>
    </row>
    <row r="353" spans="1:9" ht="13.15" x14ac:dyDescent="0.35">
      <c r="A353" s="21">
        <v>352</v>
      </c>
      <c r="B353" s="16">
        <f>'Data DEEPSEEK'!B353</f>
        <v>20</v>
      </c>
      <c r="C353" s="22" t="str">
        <f>'Data DEEPSEEK'!F353</f>
        <v>piece_placement</v>
      </c>
      <c r="D353" s="16" t="str">
        <f>LOWER(TRIM('Data DEEPSEEK'!H353))</f>
        <v>major</v>
      </c>
      <c r="E353" s="23">
        <f>IF(ISNUMBER(SEARCH("move_legality",C353)),Parameters!$B$4,IF(ISNUMBER(SEARCH("piece_placement",C353)),Parameters!$B$5,IF(ISNUMBER(SEARCH("material",C353)),Parameters!$B$6,IF(ISNUMBER(SEARCH("piece_relations",C353)),Parameters!$B$7,IF(ISNUMBER(SEARCH("geometry",C353)),Parameters!$B$8,IF(ISNUMBER(SEARCH("reasoning",C353)),Parameters!$B$9,Parameters!$B$10))))))</f>
        <v>6</v>
      </c>
      <c r="F353" s="23">
        <f>IF(D353="major",Parameters!$B$14,IF(D353="medium",Parameters!$B$15,Parameters!$B$16))</f>
        <v>3</v>
      </c>
      <c r="G353" s="16">
        <f t="shared" si="11"/>
        <v>0</v>
      </c>
      <c r="H353" s="24">
        <f>Parameters!$B$20^(G353-1)</f>
        <v>1.4285714285714286</v>
      </c>
      <c r="I353" s="18">
        <f t="shared" si="12"/>
        <v>25.714285714285715</v>
      </c>
    </row>
    <row r="354" spans="1:9" ht="13.15" x14ac:dyDescent="0.35">
      <c r="A354" s="21">
        <v>353</v>
      </c>
      <c r="B354" s="16">
        <f>'Data DEEPSEEK'!B354</f>
        <v>20</v>
      </c>
      <c r="C354" s="22" t="str">
        <f>'Data DEEPSEEK'!F354</f>
        <v>material</v>
      </c>
      <c r="D354" s="16" t="str">
        <f>LOWER(TRIM('Data DEEPSEEK'!H354))</f>
        <v>major</v>
      </c>
      <c r="E354" s="23">
        <f>IF(ISNUMBER(SEARCH("move_legality",C354)),Parameters!$B$4,IF(ISNUMBER(SEARCH("piece_placement",C354)),Parameters!$B$5,IF(ISNUMBER(SEARCH("material",C354)),Parameters!$B$6,IF(ISNUMBER(SEARCH("piece_relations",C354)),Parameters!$B$7,IF(ISNUMBER(SEARCH("geometry",C354)),Parameters!$B$8,IF(ISNUMBER(SEARCH("reasoning",C354)),Parameters!$B$9,Parameters!$B$10))))))</f>
        <v>5</v>
      </c>
      <c r="F354" s="23">
        <f>IF(D354="major",Parameters!$B$14,IF(D354="medium",Parameters!$B$15,Parameters!$B$16))</f>
        <v>3</v>
      </c>
      <c r="G354" s="16">
        <f t="shared" si="11"/>
        <v>0</v>
      </c>
      <c r="H354" s="24">
        <f>Parameters!$B$20^(G354-1)</f>
        <v>1.4285714285714286</v>
      </c>
      <c r="I354" s="18">
        <f t="shared" si="12"/>
        <v>21.428571428571431</v>
      </c>
    </row>
    <row r="355" spans="1:9" ht="13.15" x14ac:dyDescent="0.35">
      <c r="A355" s="21">
        <v>354</v>
      </c>
      <c r="B355" s="16">
        <f>'Data DEEPSEEK'!B355</f>
        <v>20</v>
      </c>
      <c r="C355" s="22" t="str">
        <f>'Data DEEPSEEK'!F355</f>
        <v>reasoning</v>
      </c>
      <c r="D355" s="16" t="str">
        <f>LOWER(TRIM('Data DEEPSEEK'!H355))</f>
        <v>major</v>
      </c>
      <c r="E355" s="23">
        <f>IF(ISNUMBER(SEARCH("move_legality",C355)),Parameters!$B$4,IF(ISNUMBER(SEARCH("piece_placement",C355)),Parameters!$B$5,IF(ISNUMBER(SEARCH("material",C355)),Parameters!$B$6,IF(ISNUMBER(SEARCH("piece_relations",C355)),Parameters!$B$7,IF(ISNUMBER(SEARCH("geometry",C355)),Parameters!$B$8,IF(ISNUMBER(SEARCH("reasoning",C355)),Parameters!$B$9,Parameters!$B$10))))))</f>
        <v>2</v>
      </c>
      <c r="F355" s="23">
        <f>IF(D355="major",Parameters!$B$14,IF(D355="medium",Parameters!$B$15,Parameters!$B$16))</f>
        <v>3</v>
      </c>
      <c r="G355" s="16">
        <f t="shared" si="11"/>
        <v>0</v>
      </c>
      <c r="H355" s="24">
        <f>Parameters!$B$20^(G355-1)</f>
        <v>1.4285714285714286</v>
      </c>
      <c r="I355" s="18">
        <f t="shared" si="12"/>
        <v>8.5714285714285712</v>
      </c>
    </row>
    <row r="356" spans="1:9" ht="13.15" x14ac:dyDescent="0.35">
      <c r="A356" s="21">
        <v>355</v>
      </c>
      <c r="B356" s="16">
        <f>'Data DEEPSEEK'!B356</f>
        <v>20</v>
      </c>
      <c r="C356" s="22" t="str">
        <f>'Data DEEPSEEK'!F356</f>
        <v>piece_placement</v>
      </c>
      <c r="D356" s="16" t="str">
        <f>LOWER(TRIM('Data DEEPSEEK'!H356))</f>
        <v>minor</v>
      </c>
      <c r="E356" s="23">
        <f>IF(ISNUMBER(SEARCH("move_legality",C356)),Parameters!$B$4,IF(ISNUMBER(SEARCH("piece_placement",C356)),Parameters!$B$5,IF(ISNUMBER(SEARCH("material",C356)),Parameters!$B$6,IF(ISNUMBER(SEARCH("piece_relations",C356)),Parameters!$B$7,IF(ISNUMBER(SEARCH("geometry",C356)),Parameters!$B$8,IF(ISNUMBER(SEARCH("reasoning",C356)),Parameters!$B$9,Parameters!$B$10))))))</f>
        <v>6</v>
      </c>
      <c r="F356" s="23">
        <f>IF(D356="major",Parameters!$B$14,IF(D356="medium",Parameters!$B$15,Parameters!$B$16))</f>
        <v>1</v>
      </c>
      <c r="G356" s="16">
        <f t="shared" si="11"/>
        <v>0</v>
      </c>
      <c r="H356" s="24">
        <f>Parameters!$B$20^(G356-1)</f>
        <v>1.4285714285714286</v>
      </c>
      <c r="I356" s="18">
        <f t="shared" si="12"/>
        <v>8.5714285714285712</v>
      </c>
    </row>
    <row r="357" spans="1:9" ht="13.15" x14ac:dyDescent="0.35">
      <c r="A357" s="21">
        <v>356</v>
      </c>
      <c r="B357" s="16">
        <f>'Data DEEPSEEK'!B357</f>
        <v>20</v>
      </c>
      <c r="C357" s="22" t="str">
        <f>'Data DEEPSEEK'!F357</f>
        <v>reasoning</v>
      </c>
      <c r="D357" s="16" t="str">
        <f>LOWER(TRIM('Data DEEPSEEK'!H357))</f>
        <v>minor</v>
      </c>
      <c r="E357" s="23">
        <f>IF(ISNUMBER(SEARCH("move_legality",C357)),Parameters!$B$4,IF(ISNUMBER(SEARCH("piece_placement",C357)),Parameters!$B$5,IF(ISNUMBER(SEARCH("material",C357)),Parameters!$B$6,IF(ISNUMBER(SEARCH("piece_relations",C357)),Parameters!$B$7,IF(ISNUMBER(SEARCH("geometry",C357)),Parameters!$B$8,IF(ISNUMBER(SEARCH("reasoning",C357)),Parameters!$B$9,Parameters!$B$10))))))</f>
        <v>2</v>
      </c>
      <c r="F357" s="23">
        <f>IF(D357="major",Parameters!$B$14,IF(D357="medium",Parameters!$B$15,Parameters!$B$16))</f>
        <v>1</v>
      </c>
      <c r="G357" s="16">
        <f t="shared" si="11"/>
        <v>0</v>
      </c>
      <c r="H357" s="24">
        <f>Parameters!$B$20^(G357-1)</f>
        <v>1.4285714285714286</v>
      </c>
      <c r="I357" s="18">
        <f t="shared" si="12"/>
        <v>2.8571428571428572</v>
      </c>
    </row>
    <row r="358" spans="1:9" ht="13.15" x14ac:dyDescent="0.35">
      <c r="A358" s="21">
        <v>357</v>
      </c>
      <c r="B358" s="16">
        <f>'Data DEEPSEEK'!B358</f>
        <v>20</v>
      </c>
      <c r="C358" s="22" t="str">
        <f>'Data DEEPSEEK'!F358</f>
        <v>piece_relations</v>
      </c>
      <c r="D358" s="16" t="str">
        <f>LOWER(TRIM('Data DEEPSEEK'!H358))</f>
        <v>major</v>
      </c>
      <c r="E358" s="23">
        <f>IF(ISNUMBER(SEARCH("move_legality",C358)),Parameters!$B$4,IF(ISNUMBER(SEARCH("piece_placement",C358)),Parameters!$B$5,IF(ISNUMBER(SEARCH("material",C358)),Parameters!$B$6,IF(ISNUMBER(SEARCH("piece_relations",C358)),Parameters!$B$7,IF(ISNUMBER(SEARCH("geometry",C358)),Parameters!$B$8,IF(ISNUMBER(SEARCH("reasoning",C358)),Parameters!$B$9,Parameters!$B$10))))))</f>
        <v>4</v>
      </c>
      <c r="F358" s="23">
        <f>IF(D358="major",Parameters!$B$14,IF(D358="medium",Parameters!$B$15,Parameters!$B$16))</f>
        <v>3</v>
      </c>
      <c r="G358" s="16">
        <f t="shared" si="11"/>
        <v>0</v>
      </c>
      <c r="H358" s="24">
        <f>Parameters!$B$20^(G358-1)</f>
        <v>1.4285714285714286</v>
      </c>
      <c r="I358" s="18">
        <f t="shared" si="12"/>
        <v>17.142857142857142</v>
      </c>
    </row>
    <row r="359" spans="1:9" ht="13.15" x14ac:dyDescent="0.35">
      <c r="A359" s="21">
        <v>358</v>
      </c>
      <c r="B359" s="16">
        <f>'Data DEEPSEEK'!B359</f>
        <v>20</v>
      </c>
      <c r="C359" s="22" t="str">
        <f>'Data DEEPSEEK'!F359</f>
        <v>reasoning</v>
      </c>
      <c r="D359" s="16" t="str">
        <f>LOWER(TRIM('Data DEEPSEEK'!H359))</f>
        <v>medium</v>
      </c>
      <c r="E359" s="23">
        <f>IF(ISNUMBER(SEARCH("move_legality",C359)),Parameters!$B$4,IF(ISNUMBER(SEARCH("piece_placement",C359)),Parameters!$B$5,IF(ISNUMBER(SEARCH("material",C359)),Parameters!$B$6,IF(ISNUMBER(SEARCH("piece_relations",C359)),Parameters!$B$7,IF(ISNUMBER(SEARCH("geometry",C359)),Parameters!$B$8,IF(ISNUMBER(SEARCH("reasoning",C359)),Parameters!$B$9,Parameters!$B$10))))))</f>
        <v>2</v>
      </c>
      <c r="F359" s="23">
        <f>IF(D359="major",Parameters!$B$14,IF(D359="medium",Parameters!$B$15,Parameters!$B$16))</f>
        <v>2</v>
      </c>
      <c r="G359" s="16">
        <f t="shared" si="11"/>
        <v>0</v>
      </c>
      <c r="H359" s="24">
        <f>Parameters!$B$20^(G359-1)</f>
        <v>1.4285714285714286</v>
      </c>
      <c r="I359" s="18">
        <f t="shared" si="12"/>
        <v>5.7142857142857144</v>
      </c>
    </row>
  </sheetData>
  <autoFilter ref="A1:I359" xr:uid="{29F764F4-AE6B-4296-B786-9E4C7BC2F7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B1DF-8107-4147-9E5B-416FA7E6AD8F}">
  <sheetPr>
    <tabColor rgb="FF7030A0"/>
  </sheetPr>
  <dimension ref="A1:E22"/>
  <sheetViews>
    <sheetView zoomScaleNormal="100" workbookViewId="0">
      <pane ySplit="1" topLeftCell="A2" activePane="bottomLeft" state="frozen"/>
      <selection pane="bottomLeft" activeCell="E22" sqref="E22"/>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DEEPSEEK'!$B:$B, A2)</f>
        <v>12</v>
      </c>
      <c r="C2" s="13">
        <f>SUMIF('Calculations DEEPSEEK'!$B:$B, A2, 'Calculations DEEPSEEK'!$I:$I)</f>
        <v>83.831257142857126</v>
      </c>
      <c r="D2" s="14">
        <f t="shared" ref="D2" si="0">MAX(0,100-C2)</f>
        <v>16.168742857142874</v>
      </c>
      <c r="E2" s="12" t="str">
        <f>IF(D2&gt;=90,"Excellent",IF(D2&gt;=75,"Good",IF(D2&gt;=55,"Acceptable",IF(D2&gt;=35,"Weak","Critic"))))</f>
        <v>Critic</v>
      </c>
    </row>
    <row r="3" spans="1:5" ht="13.15" x14ac:dyDescent="0.35">
      <c r="A3" s="15">
        <v>2</v>
      </c>
      <c r="B3" s="16">
        <f>COUNTIF('Calculations DEEPSEEK'!$B:$B, A3)</f>
        <v>15</v>
      </c>
      <c r="C3" s="17">
        <f>SUMIF('Calculations DEEPSEEK'!$B:$B, A3, 'Calculations DEEPSEEK'!$I:$I)</f>
        <v>177.14285714285717</v>
      </c>
      <c r="D3" s="18">
        <f t="shared" ref="D3:D21" si="1">MAX(0,100-C3)</f>
        <v>0</v>
      </c>
      <c r="E3" s="16" t="str">
        <f t="shared" ref="E3:E21" si="2">IF(D3&gt;=90,"Excellent",IF(D3&gt;=75,"Good",IF(D3&gt;=55,"Acceptable",IF(D3&gt;=35,"Weak","Critic"))))</f>
        <v>Critic</v>
      </c>
    </row>
    <row r="4" spans="1:5" ht="13.15" x14ac:dyDescent="0.35">
      <c r="A4" s="11">
        <v>3</v>
      </c>
      <c r="B4" s="12">
        <f>COUNTIF('Calculations DEEPSEEK'!$B:$B, A4)</f>
        <v>21</v>
      </c>
      <c r="C4" s="13">
        <f>SUMIF('Calculations DEEPSEEK'!$B:$B, A4, 'Calculations DEEPSEEK'!$I:$I)</f>
        <v>338.57142857142861</v>
      </c>
      <c r="D4" s="14">
        <f t="shared" si="1"/>
        <v>0</v>
      </c>
      <c r="E4" s="12" t="str">
        <f t="shared" si="2"/>
        <v>Critic</v>
      </c>
    </row>
    <row r="5" spans="1:5" ht="13.15" x14ac:dyDescent="0.35">
      <c r="A5" s="15">
        <v>4</v>
      </c>
      <c r="B5" s="16">
        <f>COUNTIF('Calculations DEEPSEEK'!$B:$B, A5)</f>
        <v>27</v>
      </c>
      <c r="C5" s="17">
        <f>SUMIF('Calculations DEEPSEEK'!$B:$B, A5, 'Calculations DEEPSEEK'!$I:$I)</f>
        <v>544.28571428571433</v>
      </c>
      <c r="D5" s="18">
        <f t="shared" si="1"/>
        <v>0</v>
      </c>
      <c r="E5" s="16" t="str">
        <f t="shared" si="2"/>
        <v>Critic</v>
      </c>
    </row>
    <row r="6" spans="1:5" ht="13.15" x14ac:dyDescent="0.35">
      <c r="A6" s="11">
        <v>5</v>
      </c>
      <c r="B6" s="12">
        <f>COUNTIF('Calculations DEEPSEEK'!$B:$B, A6)</f>
        <v>28</v>
      </c>
      <c r="C6" s="13">
        <f>SUMIF('Calculations DEEPSEEK'!$B:$B, A6, 'Calculations DEEPSEEK'!$I:$I)</f>
        <v>424.28571428571428</v>
      </c>
      <c r="D6" s="14">
        <f t="shared" si="1"/>
        <v>0</v>
      </c>
      <c r="E6" s="12" t="str">
        <f t="shared" si="2"/>
        <v>Critic</v>
      </c>
    </row>
    <row r="7" spans="1:5" ht="13.15" x14ac:dyDescent="0.35">
      <c r="A7" s="15">
        <v>6</v>
      </c>
      <c r="B7" s="16">
        <f>COUNTIF('Calculations DEEPSEEK'!$B:$B, A7)</f>
        <v>16</v>
      </c>
      <c r="C7" s="17">
        <f>SUMIF('Calculations DEEPSEEK'!$B:$B, A7, 'Calculations DEEPSEEK'!$I:$I)</f>
        <v>278.57142857142861</v>
      </c>
      <c r="D7" s="18">
        <f t="shared" si="1"/>
        <v>0</v>
      </c>
      <c r="E7" s="16" t="str">
        <f t="shared" si="2"/>
        <v>Critic</v>
      </c>
    </row>
    <row r="8" spans="1:5" ht="13.15" x14ac:dyDescent="0.35">
      <c r="A8" s="11">
        <v>7</v>
      </c>
      <c r="B8" s="12">
        <f>COUNTIF('Calculations DEEPSEEK'!$B:$B, A8)</f>
        <v>20</v>
      </c>
      <c r="C8" s="13">
        <f>SUMIF('Calculations DEEPSEEK'!$B:$B, A8, 'Calculations DEEPSEEK'!$I:$I)</f>
        <v>337.14285714285717</v>
      </c>
      <c r="D8" s="14">
        <f t="shared" si="1"/>
        <v>0</v>
      </c>
      <c r="E8" s="12" t="str">
        <f t="shared" si="2"/>
        <v>Critic</v>
      </c>
    </row>
    <row r="9" spans="1:5" ht="13.15" x14ac:dyDescent="0.35">
      <c r="A9" s="15">
        <v>8</v>
      </c>
      <c r="B9" s="16">
        <f>COUNTIF('Calculations DEEPSEEK'!$B:$B, A9)</f>
        <v>22</v>
      </c>
      <c r="C9" s="17">
        <f>SUMIF('Calculations DEEPSEEK'!$B:$B, A9, 'Calculations DEEPSEEK'!$I:$I)</f>
        <v>300.00000000000006</v>
      </c>
      <c r="D9" s="18">
        <f t="shared" si="1"/>
        <v>0</v>
      </c>
      <c r="E9" s="16" t="str">
        <f t="shared" si="2"/>
        <v>Critic</v>
      </c>
    </row>
    <row r="10" spans="1:5" ht="13.15" x14ac:dyDescent="0.35">
      <c r="A10" s="11">
        <v>9</v>
      </c>
      <c r="B10" s="12">
        <f>COUNTIF('Calculations DEEPSEEK'!$B:$B, A10)</f>
        <v>28</v>
      </c>
      <c r="C10" s="13">
        <f>SUMIF('Calculations DEEPSEEK'!$B:$B, A10, 'Calculations DEEPSEEK'!$I:$I)</f>
        <v>425.71428571428567</v>
      </c>
      <c r="D10" s="14">
        <f t="shared" si="1"/>
        <v>0</v>
      </c>
      <c r="E10" s="12" t="str">
        <f t="shared" si="2"/>
        <v>Critic</v>
      </c>
    </row>
    <row r="11" spans="1:5" ht="13.15" x14ac:dyDescent="0.35">
      <c r="A11" s="15">
        <v>10</v>
      </c>
      <c r="B11" s="16">
        <f>COUNTIF('Calculations DEEPSEEK'!$B:$B, A11)</f>
        <v>5</v>
      </c>
      <c r="C11" s="17">
        <f>SUMIF('Calculations DEEPSEEK'!$B:$B, A11, 'Calculations DEEPSEEK'!$I:$I)</f>
        <v>72.857142857142861</v>
      </c>
      <c r="D11" s="18">
        <f t="shared" si="1"/>
        <v>27.142857142857139</v>
      </c>
      <c r="E11" s="16" t="str">
        <f t="shared" si="2"/>
        <v>Critic</v>
      </c>
    </row>
    <row r="12" spans="1:5" ht="13.15" x14ac:dyDescent="0.35">
      <c r="A12" s="11">
        <v>11</v>
      </c>
      <c r="B12" s="12">
        <f>COUNTIF('Calculations DEEPSEEK'!$B:$B, A12)</f>
        <v>20</v>
      </c>
      <c r="C12" s="13">
        <f>SUMIF('Calculations DEEPSEEK'!$B:$B, A12, 'Calculations DEEPSEEK'!$I:$I)</f>
        <v>294.28571428571428</v>
      </c>
      <c r="D12" s="14">
        <f t="shared" si="1"/>
        <v>0</v>
      </c>
      <c r="E12" s="12" t="str">
        <f t="shared" si="2"/>
        <v>Critic</v>
      </c>
    </row>
    <row r="13" spans="1:5" ht="13.15" x14ac:dyDescent="0.35">
      <c r="A13" s="15">
        <v>12</v>
      </c>
      <c r="B13" s="16">
        <f>COUNTIF('Calculations DEEPSEEK'!$B:$B, A13)</f>
        <v>14</v>
      </c>
      <c r="C13" s="17">
        <f>SUMIF('Calculations DEEPSEEK'!$B:$B, A13, 'Calculations DEEPSEEK'!$I:$I)</f>
        <v>165.71428571428572</v>
      </c>
      <c r="D13" s="18">
        <f t="shared" si="1"/>
        <v>0</v>
      </c>
      <c r="E13" s="16" t="str">
        <f t="shared" si="2"/>
        <v>Critic</v>
      </c>
    </row>
    <row r="14" spans="1:5" ht="13.15" x14ac:dyDescent="0.35">
      <c r="A14" s="11">
        <v>13</v>
      </c>
      <c r="B14" s="12">
        <f>COUNTIF('Calculations DEEPSEEK'!$B:$B, A14)</f>
        <v>10</v>
      </c>
      <c r="C14" s="13">
        <f>SUMIF('Calculations DEEPSEEK'!$B:$B, A14, 'Calculations DEEPSEEK'!$I:$I)</f>
        <v>107.14285714285712</v>
      </c>
      <c r="D14" s="14">
        <f t="shared" si="1"/>
        <v>0</v>
      </c>
      <c r="E14" s="12" t="str">
        <f t="shared" si="2"/>
        <v>Critic</v>
      </c>
    </row>
    <row r="15" spans="1:5" ht="13.15" x14ac:dyDescent="0.35">
      <c r="A15" s="15">
        <v>14</v>
      </c>
      <c r="B15" s="16">
        <f>COUNTIF('Calculations DEEPSEEK'!$B:$B, A15)</f>
        <v>13</v>
      </c>
      <c r="C15" s="17">
        <f>SUMIF('Calculations DEEPSEEK'!$B:$B, A15, 'Calculations DEEPSEEK'!$I:$I)</f>
        <v>280</v>
      </c>
      <c r="D15" s="18">
        <f t="shared" si="1"/>
        <v>0</v>
      </c>
      <c r="E15" s="16" t="str">
        <f t="shared" si="2"/>
        <v>Critic</v>
      </c>
    </row>
    <row r="16" spans="1:5" ht="13.15" x14ac:dyDescent="0.35">
      <c r="A16" s="11">
        <v>15</v>
      </c>
      <c r="B16" s="12">
        <f>COUNTIF('Calculations DEEPSEEK'!$B:$B, A16)</f>
        <v>21</v>
      </c>
      <c r="C16" s="13">
        <f>SUMIF('Calculations DEEPSEEK'!$B:$B, A16, 'Calculations DEEPSEEK'!$I:$I)</f>
        <v>357.14285714285717</v>
      </c>
      <c r="D16" s="14">
        <f t="shared" si="1"/>
        <v>0</v>
      </c>
      <c r="E16" s="12" t="str">
        <f t="shared" si="2"/>
        <v>Critic</v>
      </c>
    </row>
    <row r="17" spans="1:5" ht="13.15" x14ac:dyDescent="0.35">
      <c r="A17" s="15">
        <v>16</v>
      </c>
      <c r="B17" s="16">
        <f>COUNTIF('Calculations DEEPSEEK'!$B:$B, A17)</f>
        <v>22</v>
      </c>
      <c r="C17" s="17">
        <f>SUMIF('Calculations DEEPSEEK'!$B:$B, A17, 'Calculations DEEPSEEK'!$I:$I)</f>
        <v>448.57142857142873</v>
      </c>
      <c r="D17" s="18">
        <f t="shared" si="1"/>
        <v>0</v>
      </c>
      <c r="E17" s="16" t="str">
        <f t="shared" si="2"/>
        <v>Critic</v>
      </c>
    </row>
    <row r="18" spans="1:5" ht="13.15" x14ac:dyDescent="0.35">
      <c r="A18" s="11">
        <v>17</v>
      </c>
      <c r="B18" s="12">
        <f>COUNTIF('Calculations DEEPSEEK'!$B:$B, A18)</f>
        <v>20</v>
      </c>
      <c r="C18" s="13">
        <f>SUMIF('Calculations DEEPSEEK'!$B:$B, A18, 'Calculations DEEPSEEK'!$I:$I)</f>
        <v>341.42857142857144</v>
      </c>
      <c r="D18" s="14">
        <f t="shared" si="1"/>
        <v>0</v>
      </c>
      <c r="E18" s="12" t="str">
        <f t="shared" si="2"/>
        <v>Critic</v>
      </c>
    </row>
    <row r="19" spans="1:5" ht="13.15" x14ac:dyDescent="0.35">
      <c r="A19" s="15">
        <v>18</v>
      </c>
      <c r="B19" s="16">
        <f>COUNTIF('Calculations DEEPSEEK'!$B:$B, A19)</f>
        <v>13</v>
      </c>
      <c r="C19" s="17">
        <f>SUMIF('Calculations DEEPSEEK'!$B:$B, A19, 'Calculations DEEPSEEK'!$I:$I)</f>
        <v>264.28571428571433</v>
      </c>
      <c r="D19" s="18">
        <f t="shared" si="1"/>
        <v>0</v>
      </c>
      <c r="E19" s="16" t="str">
        <f t="shared" si="2"/>
        <v>Critic</v>
      </c>
    </row>
    <row r="20" spans="1:5" ht="13.15" x14ac:dyDescent="0.35">
      <c r="A20" s="11">
        <v>19</v>
      </c>
      <c r="B20" s="12">
        <f>COUNTIF('Calculations DEEPSEEK'!$B:$B, A20)</f>
        <v>8</v>
      </c>
      <c r="C20" s="13">
        <f>SUMIF('Calculations DEEPSEEK'!$B:$B, A20, 'Calculations DEEPSEEK'!$I:$I)</f>
        <v>140</v>
      </c>
      <c r="D20" s="14">
        <f t="shared" si="1"/>
        <v>0</v>
      </c>
      <c r="E20" s="12" t="str">
        <f t="shared" si="2"/>
        <v>Critic</v>
      </c>
    </row>
    <row r="21" spans="1:5" ht="13.15" x14ac:dyDescent="0.35">
      <c r="A21" s="15">
        <v>20</v>
      </c>
      <c r="B21" s="16">
        <f>COUNTIF('Calculations DEEPSEEK'!$B:$B, A21)</f>
        <v>23</v>
      </c>
      <c r="C21" s="17">
        <f>SUMIF('Calculations DEEPSEEK'!$B:$B, A21, 'Calculations DEEPSEEK'!$I:$I)</f>
        <v>308.57142857142856</v>
      </c>
      <c r="D21" s="18">
        <f t="shared" si="1"/>
        <v>0</v>
      </c>
      <c r="E21" s="16" t="str">
        <f t="shared" si="2"/>
        <v>Critic</v>
      </c>
    </row>
    <row r="22" spans="1:5" ht="15" x14ac:dyDescent="0.35">
      <c r="A22" s="56" t="s">
        <v>577</v>
      </c>
      <c r="B22" s="56"/>
      <c r="C22" s="19">
        <f>ROUND(AVERAGE(C2:C21),2)</f>
        <v>284.48</v>
      </c>
      <c r="D22" s="19">
        <f>ROUND(AVERAGE(D2:D21),2)</f>
        <v>2.17</v>
      </c>
      <c r="E22" s="20" t="str">
        <f t="shared" ref="E22" si="3">IF(D22&gt;=90,"Excellent",IF(D22&gt;=75,"Good",IF(D22&gt;=55,"Acceptable",IF(D22&gt;=35,"Weak","Critic"))))</f>
        <v>Critic</v>
      </c>
    </row>
  </sheetData>
  <mergeCells count="1">
    <mergeCell ref="A22:B22"/>
  </mergeCells>
  <conditionalFormatting sqref="C2:C21">
    <cfRule type="cellIs" dxfId="1" priority="1" operator="greaterThan">
      <formula>99</formula>
    </cfRule>
  </conditionalFormatting>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43516-E838-417E-859A-1906693B8180}">
  <sheetPr>
    <tabColor rgb="FF002060"/>
  </sheetPr>
  <dimension ref="A1:H192"/>
  <sheetViews>
    <sheetView zoomScaleNormal="100" workbookViewId="0">
      <pane ySplit="1" topLeftCell="A2" activePane="bottomLeft" state="frozen"/>
      <selection pane="bottomLeft"/>
    </sheetView>
  </sheetViews>
  <sheetFormatPr defaultColWidth="12.59765625" defaultRowHeight="12.75" x14ac:dyDescent="0.35"/>
  <cols>
    <col min="1" max="1" width="10.6640625" bestFit="1" customWidth="1"/>
    <col min="2" max="2" width="13.46484375" bestFit="1" customWidth="1"/>
    <col min="3" max="3" width="49.46484375" bestFit="1" customWidth="1"/>
    <col min="4" max="4" width="10" bestFit="1" customWidth="1"/>
    <col min="5" max="5" width="95.59765625" bestFit="1" customWidth="1"/>
    <col min="6" max="6" width="21.3984375" bestFit="1" customWidth="1"/>
    <col min="7" max="7" width="66.3984375" bestFit="1" customWidth="1"/>
    <col min="8" max="8" width="19.86328125" bestFit="1" customWidth="1"/>
  </cols>
  <sheetData>
    <row r="1" spans="1:8" ht="13.15" x14ac:dyDescent="0.35">
      <c r="A1" s="10" t="s">
        <v>43</v>
      </c>
      <c r="B1" s="10" t="s">
        <v>44</v>
      </c>
      <c r="C1" s="10" t="s">
        <v>45</v>
      </c>
      <c r="D1" s="10" t="s">
        <v>46</v>
      </c>
      <c r="E1" s="10" t="s">
        <v>47</v>
      </c>
      <c r="F1" s="10" t="s">
        <v>48</v>
      </c>
      <c r="G1" s="10" t="s">
        <v>49</v>
      </c>
      <c r="H1" s="10" t="s">
        <v>50</v>
      </c>
    </row>
    <row r="2" spans="1:8" ht="23.25" x14ac:dyDescent="0.35">
      <c r="A2" s="31" t="s">
        <v>2126</v>
      </c>
      <c r="B2" s="31">
        <v>1</v>
      </c>
      <c r="C2" s="31" t="s">
        <v>52</v>
      </c>
      <c r="D2" s="31" t="s">
        <v>1422</v>
      </c>
      <c r="E2" s="31" t="s">
        <v>2127</v>
      </c>
      <c r="F2" s="31" t="s">
        <v>23</v>
      </c>
      <c r="G2" s="31" t="s">
        <v>2128</v>
      </c>
      <c r="H2" s="35" t="s">
        <v>60</v>
      </c>
    </row>
    <row r="3" spans="1:8" ht="23.25" x14ac:dyDescent="0.35">
      <c r="A3" s="32" t="s">
        <v>2126</v>
      </c>
      <c r="B3" s="32">
        <v>1</v>
      </c>
      <c r="C3" s="32" t="s">
        <v>52</v>
      </c>
      <c r="D3" s="32" t="s">
        <v>1422</v>
      </c>
      <c r="E3" s="32" t="s">
        <v>2129</v>
      </c>
      <c r="F3" s="32" t="s">
        <v>25</v>
      </c>
      <c r="G3" s="32" t="s">
        <v>2130</v>
      </c>
      <c r="H3" s="36" t="s">
        <v>33</v>
      </c>
    </row>
    <row r="4" spans="1:8" ht="23.25" x14ac:dyDescent="0.35">
      <c r="A4" s="31" t="s">
        <v>2126</v>
      </c>
      <c r="B4" s="31">
        <v>1</v>
      </c>
      <c r="C4" s="31" t="s">
        <v>52</v>
      </c>
      <c r="D4" s="31" t="s">
        <v>1100</v>
      </c>
      <c r="E4" s="31" t="s">
        <v>2131</v>
      </c>
      <c r="F4" s="31" t="s">
        <v>18</v>
      </c>
      <c r="G4" s="31" t="s">
        <v>2132</v>
      </c>
      <c r="H4" s="35" t="s">
        <v>34</v>
      </c>
    </row>
    <row r="5" spans="1:8" ht="23.25" x14ac:dyDescent="0.35">
      <c r="A5" s="32" t="s">
        <v>2126</v>
      </c>
      <c r="B5" s="32">
        <v>1</v>
      </c>
      <c r="C5" s="32" t="s">
        <v>52</v>
      </c>
      <c r="D5" s="32" t="s">
        <v>1309</v>
      </c>
      <c r="E5" s="32" t="s">
        <v>2133</v>
      </c>
      <c r="F5" s="32" t="s">
        <v>23</v>
      </c>
      <c r="G5" s="32" t="s">
        <v>2134</v>
      </c>
      <c r="H5" s="36" t="s">
        <v>33</v>
      </c>
    </row>
    <row r="6" spans="1:8" ht="23.25" x14ac:dyDescent="0.35">
      <c r="A6" s="31" t="s">
        <v>2126</v>
      </c>
      <c r="B6" s="31">
        <v>2</v>
      </c>
      <c r="C6" s="31" t="s">
        <v>759</v>
      </c>
      <c r="D6" s="31" t="s">
        <v>1447</v>
      </c>
      <c r="E6" s="31" t="s">
        <v>2135</v>
      </c>
      <c r="F6" s="31" t="s">
        <v>21</v>
      </c>
      <c r="G6" s="31" t="s">
        <v>2136</v>
      </c>
      <c r="H6" s="35" t="s">
        <v>33</v>
      </c>
    </row>
    <row r="7" spans="1:8" ht="23.25" x14ac:dyDescent="0.35">
      <c r="A7" s="32" t="s">
        <v>2126</v>
      </c>
      <c r="B7" s="32">
        <v>2</v>
      </c>
      <c r="C7" s="32" t="s">
        <v>759</v>
      </c>
      <c r="D7" s="32" t="s">
        <v>2137</v>
      </c>
      <c r="E7" s="32" t="s">
        <v>2138</v>
      </c>
      <c r="F7" s="32" t="s">
        <v>18</v>
      </c>
      <c r="G7" s="32" t="s">
        <v>2139</v>
      </c>
      <c r="H7" s="36" t="s">
        <v>33</v>
      </c>
    </row>
    <row r="8" spans="1:8" ht="23.25" x14ac:dyDescent="0.35">
      <c r="A8" s="31" t="s">
        <v>2126</v>
      </c>
      <c r="B8" s="31">
        <v>2</v>
      </c>
      <c r="C8" s="31" t="s">
        <v>759</v>
      </c>
      <c r="D8" s="31" t="s">
        <v>2137</v>
      </c>
      <c r="E8" s="31" t="s">
        <v>2140</v>
      </c>
      <c r="F8" s="31" t="s">
        <v>25</v>
      </c>
      <c r="G8" s="31" t="s">
        <v>2141</v>
      </c>
      <c r="H8" s="35" t="s">
        <v>34</v>
      </c>
    </row>
    <row r="9" spans="1:8" ht="23.25" x14ac:dyDescent="0.35">
      <c r="A9" s="32" t="s">
        <v>2126</v>
      </c>
      <c r="B9" s="32">
        <v>2</v>
      </c>
      <c r="C9" s="32" t="s">
        <v>759</v>
      </c>
      <c r="D9" s="32" t="s">
        <v>2137</v>
      </c>
      <c r="E9" s="32" t="s">
        <v>2142</v>
      </c>
      <c r="F9" s="32" t="s">
        <v>23</v>
      </c>
      <c r="G9" s="32" t="s">
        <v>2143</v>
      </c>
      <c r="H9" s="36" t="s">
        <v>33</v>
      </c>
    </row>
    <row r="10" spans="1:8" ht="23.25" x14ac:dyDescent="0.35">
      <c r="A10" s="31" t="s">
        <v>2126</v>
      </c>
      <c r="B10" s="31">
        <v>2</v>
      </c>
      <c r="C10" s="31" t="s">
        <v>759</v>
      </c>
      <c r="D10" s="31" t="s">
        <v>1458</v>
      </c>
      <c r="E10" s="31" t="s">
        <v>2144</v>
      </c>
      <c r="F10" s="31" t="s">
        <v>21</v>
      </c>
      <c r="G10" s="31" t="s">
        <v>2145</v>
      </c>
      <c r="H10" s="35" t="s">
        <v>60</v>
      </c>
    </row>
    <row r="11" spans="1:8" ht="23.25" x14ac:dyDescent="0.35">
      <c r="A11" s="32" t="s">
        <v>2126</v>
      </c>
      <c r="B11" s="32">
        <v>2</v>
      </c>
      <c r="C11" s="32" t="s">
        <v>759</v>
      </c>
      <c r="D11" s="32" t="s">
        <v>1464</v>
      </c>
      <c r="E11" s="32" t="s">
        <v>2146</v>
      </c>
      <c r="F11" s="32" t="s">
        <v>25</v>
      </c>
      <c r="G11" s="32" t="s">
        <v>2147</v>
      </c>
      <c r="H11" s="36" t="s">
        <v>33</v>
      </c>
    </row>
    <row r="12" spans="1:8" ht="23.25" x14ac:dyDescent="0.35">
      <c r="A12" s="31" t="s">
        <v>2126</v>
      </c>
      <c r="B12" s="31">
        <v>2</v>
      </c>
      <c r="C12" s="31" t="s">
        <v>759</v>
      </c>
      <c r="D12" s="31" t="s">
        <v>1464</v>
      </c>
      <c r="E12" s="31" t="s">
        <v>2148</v>
      </c>
      <c r="F12" s="31" t="s">
        <v>23</v>
      </c>
      <c r="G12" s="31" t="s">
        <v>2149</v>
      </c>
      <c r="H12" s="35" t="s">
        <v>33</v>
      </c>
    </row>
    <row r="13" spans="1:8" ht="23.25" x14ac:dyDescent="0.35">
      <c r="A13" s="32" t="s">
        <v>2126</v>
      </c>
      <c r="B13" s="32">
        <v>2</v>
      </c>
      <c r="C13" s="32" t="s">
        <v>759</v>
      </c>
      <c r="D13" s="32" t="s">
        <v>1464</v>
      </c>
      <c r="E13" s="32" t="s">
        <v>2150</v>
      </c>
      <c r="F13" s="32" t="s">
        <v>21</v>
      </c>
      <c r="G13" s="32" t="s">
        <v>2151</v>
      </c>
      <c r="H13" s="36" t="s">
        <v>33</v>
      </c>
    </row>
    <row r="14" spans="1:8" ht="23.25" x14ac:dyDescent="0.35">
      <c r="A14" s="31" t="s">
        <v>2126</v>
      </c>
      <c r="B14" s="31">
        <v>2</v>
      </c>
      <c r="C14" s="31" t="s">
        <v>759</v>
      </c>
      <c r="D14" s="31" t="s">
        <v>1464</v>
      </c>
      <c r="E14" s="31" t="s">
        <v>2152</v>
      </c>
      <c r="F14" s="31" t="s">
        <v>18</v>
      </c>
      <c r="G14" s="31" t="s">
        <v>2153</v>
      </c>
      <c r="H14" s="35" t="s">
        <v>33</v>
      </c>
    </row>
    <row r="15" spans="1:8" ht="23.25" x14ac:dyDescent="0.35">
      <c r="A15" s="32" t="s">
        <v>2126</v>
      </c>
      <c r="B15" s="32">
        <v>2</v>
      </c>
      <c r="C15" s="32" t="s">
        <v>759</v>
      </c>
      <c r="D15" s="32" t="s">
        <v>1473</v>
      </c>
      <c r="E15" s="32" t="s">
        <v>2154</v>
      </c>
      <c r="F15" s="32" t="s">
        <v>25</v>
      </c>
      <c r="G15" s="32" t="s">
        <v>2155</v>
      </c>
      <c r="H15" s="36" t="s">
        <v>34</v>
      </c>
    </row>
    <row r="16" spans="1:8" ht="23.25" x14ac:dyDescent="0.35">
      <c r="A16" s="31" t="s">
        <v>2126</v>
      </c>
      <c r="B16" s="31">
        <v>2</v>
      </c>
      <c r="C16" s="31" t="s">
        <v>759</v>
      </c>
      <c r="D16" s="31" t="s">
        <v>1473</v>
      </c>
      <c r="E16" s="31" t="s">
        <v>2156</v>
      </c>
      <c r="F16" s="31" t="s">
        <v>21</v>
      </c>
      <c r="G16" s="31" t="s">
        <v>2157</v>
      </c>
      <c r="H16" s="35" t="s">
        <v>33</v>
      </c>
    </row>
    <row r="17" spans="1:8" ht="23.25" x14ac:dyDescent="0.35">
      <c r="A17" s="32" t="s">
        <v>2126</v>
      </c>
      <c r="B17" s="32">
        <v>2</v>
      </c>
      <c r="C17" s="32" t="s">
        <v>759</v>
      </c>
      <c r="D17" s="32" t="s">
        <v>1473</v>
      </c>
      <c r="E17" s="32" t="s">
        <v>2158</v>
      </c>
      <c r="F17" s="32" t="s">
        <v>23</v>
      </c>
      <c r="G17" s="32" t="s">
        <v>2159</v>
      </c>
      <c r="H17" s="36" t="s">
        <v>60</v>
      </c>
    </row>
    <row r="18" spans="1:8" x14ac:dyDescent="0.35">
      <c r="A18" s="31" t="s">
        <v>2126</v>
      </c>
      <c r="B18" s="31">
        <v>3</v>
      </c>
      <c r="C18" s="31" t="s">
        <v>92</v>
      </c>
      <c r="D18" s="31"/>
      <c r="E18" s="31" t="s">
        <v>2160</v>
      </c>
      <c r="F18" s="31" t="s">
        <v>21</v>
      </c>
      <c r="G18" s="31" t="s">
        <v>2161</v>
      </c>
      <c r="H18" s="35" t="s">
        <v>60</v>
      </c>
    </row>
    <row r="19" spans="1:8" x14ac:dyDescent="0.35">
      <c r="A19" s="32" t="s">
        <v>2126</v>
      </c>
      <c r="B19" s="32">
        <v>3</v>
      </c>
      <c r="C19" s="32" t="s">
        <v>92</v>
      </c>
      <c r="D19" s="32"/>
      <c r="E19" s="32" t="s">
        <v>2162</v>
      </c>
      <c r="F19" s="32" t="s">
        <v>25</v>
      </c>
      <c r="G19" s="32" t="s">
        <v>2163</v>
      </c>
      <c r="H19" s="36" t="s">
        <v>34</v>
      </c>
    </row>
    <row r="20" spans="1:8" ht="23.25" x14ac:dyDescent="0.35">
      <c r="A20" s="31" t="s">
        <v>2126</v>
      </c>
      <c r="B20" s="31">
        <v>3</v>
      </c>
      <c r="C20" s="31" t="s">
        <v>92</v>
      </c>
      <c r="D20" s="31" t="s">
        <v>1129</v>
      </c>
      <c r="E20" s="31" t="s">
        <v>2164</v>
      </c>
      <c r="F20" s="31" t="s">
        <v>25</v>
      </c>
      <c r="G20" s="31" t="s">
        <v>2165</v>
      </c>
      <c r="H20" s="35" t="s">
        <v>60</v>
      </c>
    </row>
    <row r="21" spans="1:8" x14ac:dyDescent="0.35">
      <c r="A21" s="32" t="s">
        <v>2126</v>
      </c>
      <c r="B21" s="32">
        <v>3</v>
      </c>
      <c r="C21" s="32" t="s">
        <v>92</v>
      </c>
      <c r="D21" s="32" t="s">
        <v>1492</v>
      </c>
      <c r="E21" s="32" t="s">
        <v>2166</v>
      </c>
      <c r="F21" s="32" t="s">
        <v>18</v>
      </c>
      <c r="G21" s="32" t="s">
        <v>2167</v>
      </c>
      <c r="H21" s="36" t="s">
        <v>33</v>
      </c>
    </row>
    <row r="22" spans="1:8" x14ac:dyDescent="0.35">
      <c r="A22" s="31" t="s">
        <v>2126</v>
      </c>
      <c r="B22" s="31">
        <v>3</v>
      </c>
      <c r="C22" s="31" t="s">
        <v>92</v>
      </c>
      <c r="D22" s="31" t="s">
        <v>1492</v>
      </c>
      <c r="E22" s="31" t="s">
        <v>2168</v>
      </c>
      <c r="F22" s="31" t="s">
        <v>25</v>
      </c>
      <c r="G22" s="31" t="s">
        <v>2169</v>
      </c>
      <c r="H22" s="35" t="s">
        <v>33</v>
      </c>
    </row>
    <row r="23" spans="1:8" x14ac:dyDescent="0.35">
      <c r="A23" s="32" t="s">
        <v>2126</v>
      </c>
      <c r="B23" s="32">
        <v>3</v>
      </c>
      <c r="C23" s="32" t="s">
        <v>92</v>
      </c>
      <c r="D23" s="32" t="s">
        <v>1497</v>
      </c>
      <c r="E23" s="32" t="s">
        <v>2170</v>
      </c>
      <c r="F23" s="32" t="s">
        <v>25</v>
      </c>
      <c r="G23" s="32" t="s">
        <v>2171</v>
      </c>
      <c r="H23" s="36" t="s">
        <v>33</v>
      </c>
    </row>
    <row r="24" spans="1:8" x14ac:dyDescent="0.35">
      <c r="A24" s="31" t="s">
        <v>2126</v>
      </c>
      <c r="B24" s="31">
        <v>3</v>
      </c>
      <c r="C24" s="31" t="s">
        <v>92</v>
      </c>
      <c r="D24" s="31" t="s">
        <v>1497</v>
      </c>
      <c r="E24" s="31" t="s">
        <v>2172</v>
      </c>
      <c r="F24" s="31" t="s">
        <v>21</v>
      </c>
      <c r="G24" s="31" t="s">
        <v>2173</v>
      </c>
      <c r="H24" s="35" t="s">
        <v>33</v>
      </c>
    </row>
    <row r="25" spans="1:8" x14ac:dyDescent="0.35">
      <c r="A25" s="32" t="s">
        <v>2126</v>
      </c>
      <c r="B25" s="32">
        <v>3</v>
      </c>
      <c r="C25" s="32" t="s">
        <v>92</v>
      </c>
      <c r="D25" s="32" t="s">
        <v>1497</v>
      </c>
      <c r="E25" s="32" t="s">
        <v>2174</v>
      </c>
      <c r="F25" s="32" t="s">
        <v>25</v>
      </c>
      <c r="G25" s="32" t="s">
        <v>2175</v>
      </c>
      <c r="H25" s="36" t="s">
        <v>33</v>
      </c>
    </row>
    <row r="26" spans="1:8" x14ac:dyDescent="0.35">
      <c r="A26" s="31" t="s">
        <v>2126</v>
      </c>
      <c r="B26" s="31">
        <v>3</v>
      </c>
      <c r="C26" s="31" t="s">
        <v>92</v>
      </c>
      <c r="D26" s="31" t="s">
        <v>1505</v>
      </c>
      <c r="E26" s="31" t="s">
        <v>2176</v>
      </c>
      <c r="F26" s="31" t="s">
        <v>25</v>
      </c>
      <c r="G26" s="31" t="s">
        <v>2177</v>
      </c>
      <c r="H26" s="35" t="s">
        <v>33</v>
      </c>
    </row>
    <row r="27" spans="1:8" x14ac:dyDescent="0.35">
      <c r="A27" s="32" t="s">
        <v>2126</v>
      </c>
      <c r="B27" s="32">
        <v>3</v>
      </c>
      <c r="C27" s="32" t="s">
        <v>92</v>
      </c>
      <c r="D27" s="32" t="s">
        <v>1505</v>
      </c>
      <c r="E27" s="32" t="s">
        <v>2178</v>
      </c>
      <c r="F27" s="32" t="s">
        <v>18</v>
      </c>
      <c r="G27" s="32" t="s">
        <v>2179</v>
      </c>
      <c r="H27" s="36" t="s">
        <v>33</v>
      </c>
    </row>
    <row r="28" spans="1:8" x14ac:dyDescent="0.35">
      <c r="A28" s="31" t="s">
        <v>2126</v>
      </c>
      <c r="B28" s="31">
        <v>3</v>
      </c>
      <c r="C28" s="31" t="s">
        <v>92</v>
      </c>
      <c r="D28" s="31" t="s">
        <v>1505</v>
      </c>
      <c r="E28" s="31" t="s">
        <v>2180</v>
      </c>
      <c r="F28" s="31" t="s">
        <v>18</v>
      </c>
      <c r="G28" s="31" t="s">
        <v>2181</v>
      </c>
      <c r="H28" s="35" t="s">
        <v>33</v>
      </c>
    </row>
    <row r="29" spans="1:8" x14ac:dyDescent="0.35">
      <c r="A29" s="32" t="s">
        <v>2126</v>
      </c>
      <c r="B29" s="32">
        <v>3</v>
      </c>
      <c r="C29" s="32" t="s">
        <v>92</v>
      </c>
      <c r="D29" s="32" t="s">
        <v>1505</v>
      </c>
      <c r="E29" s="32" t="s">
        <v>2180</v>
      </c>
      <c r="F29" s="32" t="s">
        <v>21</v>
      </c>
      <c r="G29" s="32" t="s">
        <v>2182</v>
      </c>
      <c r="H29" s="36" t="s">
        <v>33</v>
      </c>
    </row>
    <row r="30" spans="1:8" ht="23.25" x14ac:dyDescent="0.35">
      <c r="A30" s="31" t="s">
        <v>2126</v>
      </c>
      <c r="B30" s="31">
        <v>3</v>
      </c>
      <c r="C30" s="31" t="s">
        <v>92</v>
      </c>
      <c r="D30" s="31" t="s">
        <v>1119</v>
      </c>
      <c r="E30" s="31" t="s">
        <v>2183</v>
      </c>
      <c r="F30" s="31" t="s">
        <v>20</v>
      </c>
      <c r="G30" s="31" t="s">
        <v>2184</v>
      </c>
      <c r="H30" s="35" t="s">
        <v>60</v>
      </c>
    </row>
    <row r="31" spans="1:8" ht="23.25" x14ac:dyDescent="0.35">
      <c r="A31" s="32" t="s">
        <v>2126</v>
      </c>
      <c r="B31" s="32">
        <v>3</v>
      </c>
      <c r="C31" s="32" t="s">
        <v>92</v>
      </c>
      <c r="D31" s="32" t="s">
        <v>1119</v>
      </c>
      <c r="E31" s="32" t="s">
        <v>2185</v>
      </c>
      <c r="F31" s="32" t="s">
        <v>25</v>
      </c>
      <c r="G31" s="32" t="s">
        <v>2186</v>
      </c>
      <c r="H31" s="36" t="s">
        <v>34</v>
      </c>
    </row>
    <row r="32" spans="1:8" x14ac:dyDescent="0.35">
      <c r="A32" s="31" t="s">
        <v>2126</v>
      </c>
      <c r="B32" s="31">
        <v>4</v>
      </c>
      <c r="C32" s="31" t="s">
        <v>535</v>
      </c>
      <c r="D32" s="31" t="s">
        <v>1143</v>
      </c>
      <c r="E32" s="31" t="s">
        <v>2187</v>
      </c>
      <c r="F32" s="31" t="s">
        <v>25</v>
      </c>
      <c r="G32" s="31" t="s">
        <v>2188</v>
      </c>
      <c r="H32" s="35" t="s">
        <v>33</v>
      </c>
    </row>
    <row r="33" spans="1:8" x14ac:dyDescent="0.35">
      <c r="A33" s="32" t="s">
        <v>2126</v>
      </c>
      <c r="B33" s="32">
        <v>4</v>
      </c>
      <c r="C33" s="32" t="s">
        <v>535</v>
      </c>
      <c r="D33" s="32" t="s">
        <v>1143</v>
      </c>
      <c r="E33" s="32" t="s">
        <v>2189</v>
      </c>
      <c r="F33" s="32" t="s">
        <v>21</v>
      </c>
      <c r="G33" s="32" t="s">
        <v>2190</v>
      </c>
      <c r="H33" s="36" t="s">
        <v>33</v>
      </c>
    </row>
    <row r="34" spans="1:8" x14ac:dyDescent="0.35">
      <c r="A34" s="31" t="s">
        <v>2126</v>
      </c>
      <c r="B34" s="31">
        <v>4</v>
      </c>
      <c r="C34" s="31" t="s">
        <v>535</v>
      </c>
      <c r="D34" s="31" t="s">
        <v>1143</v>
      </c>
      <c r="E34" s="31" t="s">
        <v>2191</v>
      </c>
      <c r="F34" s="31" t="s">
        <v>23</v>
      </c>
      <c r="G34" s="31" t="s">
        <v>2192</v>
      </c>
      <c r="H34" s="35" t="s">
        <v>60</v>
      </c>
    </row>
    <row r="35" spans="1:8" x14ac:dyDescent="0.35">
      <c r="A35" s="32" t="s">
        <v>2126</v>
      </c>
      <c r="B35" s="32">
        <v>4</v>
      </c>
      <c r="C35" s="32" t="s">
        <v>535</v>
      </c>
      <c r="D35" s="32" t="s">
        <v>1525</v>
      </c>
      <c r="E35" s="32" t="s">
        <v>2193</v>
      </c>
      <c r="F35" s="32" t="s">
        <v>18</v>
      </c>
      <c r="G35" s="32" t="s">
        <v>2194</v>
      </c>
      <c r="H35" s="36" t="s">
        <v>33</v>
      </c>
    </row>
    <row r="36" spans="1:8" ht="23.25" x14ac:dyDescent="0.35">
      <c r="A36" s="31" t="s">
        <v>2126</v>
      </c>
      <c r="B36" s="31">
        <v>4</v>
      </c>
      <c r="C36" s="31" t="s">
        <v>535</v>
      </c>
      <c r="D36" s="31" t="s">
        <v>1525</v>
      </c>
      <c r="E36" s="31" t="s">
        <v>2193</v>
      </c>
      <c r="F36" s="31" t="s">
        <v>18</v>
      </c>
      <c r="G36" s="31" t="s">
        <v>2195</v>
      </c>
      <c r="H36" s="35" t="s">
        <v>33</v>
      </c>
    </row>
    <row r="37" spans="1:8" x14ac:dyDescent="0.35">
      <c r="A37" s="32" t="s">
        <v>2126</v>
      </c>
      <c r="B37" s="32">
        <v>4</v>
      </c>
      <c r="C37" s="32" t="s">
        <v>535</v>
      </c>
      <c r="D37" s="32" t="s">
        <v>1554</v>
      </c>
      <c r="E37" s="32" t="s">
        <v>2196</v>
      </c>
      <c r="F37" s="32" t="s">
        <v>25</v>
      </c>
      <c r="G37" s="32" t="s">
        <v>2197</v>
      </c>
      <c r="H37" s="36" t="s">
        <v>34</v>
      </c>
    </row>
    <row r="38" spans="1:8" x14ac:dyDescent="0.35">
      <c r="A38" s="31" t="s">
        <v>2126</v>
      </c>
      <c r="B38" s="31">
        <v>4</v>
      </c>
      <c r="C38" s="31" t="s">
        <v>535</v>
      </c>
      <c r="D38" s="31" t="s">
        <v>1554</v>
      </c>
      <c r="E38" s="31" t="s">
        <v>2196</v>
      </c>
      <c r="F38" s="31" t="s">
        <v>18</v>
      </c>
      <c r="G38" s="31" t="s">
        <v>2198</v>
      </c>
      <c r="H38" s="35" t="s">
        <v>33</v>
      </c>
    </row>
    <row r="39" spans="1:8" x14ac:dyDescent="0.35">
      <c r="A39" s="32" t="s">
        <v>2126</v>
      </c>
      <c r="B39" s="32">
        <v>4</v>
      </c>
      <c r="C39" s="32" t="s">
        <v>535</v>
      </c>
      <c r="D39" s="32" t="s">
        <v>1554</v>
      </c>
      <c r="E39" s="32" t="s">
        <v>2199</v>
      </c>
      <c r="F39" s="32" t="s">
        <v>20</v>
      </c>
      <c r="G39" s="32" t="s">
        <v>2200</v>
      </c>
      <c r="H39" s="36" t="s">
        <v>33</v>
      </c>
    </row>
    <row r="40" spans="1:8" x14ac:dyDescent="0.35">
      <c r="A40" s="31" t="s">
        <v>2126</v>
      </c>
      <c r="B40" s="31">
        <v>5</v>
      </c>
      <c r="C40" s="31" t="s">
        <v>139</v>
      </c>
      <c r="D40" s="31"/>
      <c r="E40" s="31" t="s">
        <v>2201</v>
      </c>
      <c r="F40" s="31" t="s">
        <v>20</v>
      </c>
      <c r="G40" s="31" t="s">
        <v>2202</v>
      </c>
      <c r="H40" s="35" t="s">
        <v>33</v>
      </c>
    </row>
    <row r="41" spans="1:8" x14ac:dyDescent="0.35">
      <c r="A41" s="32" t="s">
        <v>2126</v>
      </c>
      <c r="B41" s="32">
        <v>5</v>
      </c>
      <c r="C41" s="32" t="s">
        <v>139</v>
      </c>
      <c r="D41" s="32" t="s">
        <v>1565</v>
      </c>
      <c r="E41" s="32" t="s">
        <v>2203</v>
      </c>
      <c r="F41" s="32" t="s">
        <v>18</v>
      </c>
      <c r="G41" s="32" t="s">
        <v>2204</v>
      </c>
      <c r="H41" s="36" t="s">
        <v>33</v>
      </c>
    </row>
    <row r="42" spans="1:8" x14ac:dyDescent="0.35">
      <c r="A42" s="31" t="s">
        <v>2126</v>
      </c>
      <c r="B42" s="31">
        <v>5</v>
      </c>
      <c r="C42" s="31" t="s">
        <v>139</v>
      </c>
      <c r="D42" s="31" t="s">
        <v>1159</v>
      </c>
      <c r="E42" s="31" t="s">
        <v>2205</v>
      </c>
      <c r="F42" s="31" t="s">
        <v>18</v>
      </c>
      <c r="G42" s="31" t="s">
        <v>2206</v>
      </c>
      <c r="H42" s="35" t="s">
        <v>34</v>
      </c>
    </row>
    <row r="43" spans="1:8" x14ac:dyDescent="0.35">
      <c r="A43" s="32" t="s">
        <v>2126</v>
      </c>
      <c r="B43" s="32">
        <v>5</v>
      </c>
      <c r="C43" s="32" t="s">
        <v>139</v>
      </c>
      <c r="D43" s="32" t="s">
        <v>1159</v>
      </c>
      <c r="E43" s="32" t="s">
        <v>2205</v>
      </c>
      <c r="F43" s="32" t="s">
        <v>25</v>
      </c>
      <c r="G43" s="32" t="s">
        <v>2207</v>
      </c>
      <c r="H43" s="36" t="s">
        <v>33</v>
      </c>
    </row>
    <row r="44" spans="1:8" x14ac:dyDescent="0.35">
      <c r="A44" s="31" t="s">
        <v>2126</v>
      </c>
      <c r="B44" s="31">
        <v>5</v>
      </c>
      <c r="C44" s="31" t="s">
        <v>139</v>
      </c>
      <c r="D44" s="31" t="s">
        <v>1159</v>
      </c>
      <c r="E44" s="31" t="s">
        <v>2208</v>
      </c>
      <c r="F44" s="31" t="s">
        <v>25</v>
      </c>
      <c r="G44" s="31" t="s">
        <v>2209</v>
      </c>
      <c r="H44" s="35" t="s">
        <v>60</v>
      </c>
    </row>
    <row r="45" spans="1:8" x14ac:dyDescent="0.35">
      <c r="A45" s="32" t="s">
        <v>2126</v>
      </c>
      <c r="B45" s="32">
        <v>5</v>
      </c>
      <c r="C45" s="32" t="s">
        <v>139</v>
      </c>
      <c r="D45" s="32" t="s">
        <v>1604</v>
      </c>
      <c r="E45" s="32" t="s">
        <v>2210</v>
      </c>
      <c r="F45" s="32" t="s">
        <v>21</v>
      </c>
      <c r="G45" s="32" t="s">
        <v>2211</v>
      </c>
      <c r="H45" s="36" t="s">
        <v>33</v>
      </c>
    </row>
    <row r="46" spans="1:8" x14ac:dyDescent="0.35">
      <c r="A46" s="31" t="s">
        <v>2126</v>
      </c>
      <c r="B46" s="31">
        <v>5</v>
      </c>
      <c r="C46" s="31" t="s">
        <v>139</v>
      </c>
      <c r="D46" s="31" t="s">
        <v>1615</v>
      </c>
      <c r="E46" s="31" t="s">
        <v>2212</v>
      </c>
      <c r="F46" s="31" t="s">
        <v>20</v>
      </c>
      <c r="G46" s="31" t="s">
        <v>2213</v>
      </c>
      <c r="H46" s="35" t="s">
        <v>60</v>
      </c>
    </row>
    <row r="47" spans="1:8" x14ac:dyDescent="0.35">
      <c r="A47" s="32" t="s">
        <v>2126</v>
      </c>
      <c r="B47" s="32">
        <v>5</v>
      </c>
      <c r="C47" s="32" t="s">
        <v>139</v>
      </c>
      <c r="D47" s="32" t="s">
        <v>1615</v>
      </c>
      <c r="E47" s="32" t="s">
        <v>2212</v>
      </c>
      <c r="F47" s="32" t="s">
        <v>25</v>
      </c>
      <c r="G47" s="32" t="s">
        <v>2214</v>
      </c>
      <c r="H47" s="36" t="s">
        <v>34</v>
      </c>
    </row>
    <row r="48" spans="1:8" ht="23.25" x14ac:dyDescent="0.35">
      <c r="A48" s="31" t="s">
        <v>2126</v>
      </c>
      <c r="B48" s="31">
        <v>6</v>
      </c>
      <c r="C48" s="31" t="s">
        <v>161</v>
      </c>
      <c r="D48" s="31"/>
      <c r="E48" s="31" t="s">
        <v>2215</v>
      </c>
      <c r="F48" s="31" t="s">
        <v>21</v>
      </c>
      <c r="G48" s="31" t="s">
        <v>2216</v>
      </c>
      <c r="H48" s="35" t="s">
        <v>33</v>
      </c>
    </row>
    <row r="49" spans="1:8" ht="23.25" x14ac:dyDescent="0.35">
      <c r="A49" s="32" t="s">
        <v>2126</v>
      </c>
      <c r="B49" s="32">
        <v>6</v>
      </c>
      <c r="C49" s="32" t="s">
        <v>161</v>
      </c>
      <c r="D49" s="32"/>
      <c r="E49" s="32" t="s">
        <v>2217</v>
      </c>
      <c r="F49" s="32" t="s">
        <v>21</v>
      </c>
      <c r="G49" s="32" t="s">
        <v>2216</v>
      </c>
      <c r="H49" s="36" t="s">
        <v>33</v>
      </c>
    </row>
    <row r="50" spans="1:8" ht="23.25" x14ac:dyDescent="0.35">
      <c r="A50" s="31" t="s">
        <v>2126</v>
      </c>
      <c r="B50" s="31">
        <v>6</v>
      </c>
      <c r="C50" s="31" t="s">
        <v>161</v>
      </c>
      <c r="D50" s="31"/>
      <c r="E50" s="31" t="s">
        <v>2218</v>
      </c>
      <c r="F50" s="31" t="s">
        <v>25</v>
      </c>
      <c r="G50" s="31" t="s">
        <v>2219</v>
      </c>
      <c r="H50" s="35" t="s">
        <v>34</v>
      </c>
    </row>
    <row r="51" spans="1:8" ht="23.25" x14ac:dyDescent="0.35">
      <c r="A51" s="32" t="s">
        <v>2126</v>
      </c>
      <c r="B51" s="32">
        <v>6</v>
      </c>
      <c r="C51" s="32" t="s">
        <v>161</v>
      </c>
      <c r="D51" s="32" t="s">
        <v>1162</v>
      </c>
      <c r="E51" s="32" t="s">
        <v>2220</v>
      </c>
      <c r="F51" s="32" t="s">
        <v>25</v>
      </c>
      <c r="G51" s="32" t="s">
        <v>2221</v>
      </c>
      <c r="H51" s="36" t="s">
        <v>34</v>
      </c>
    </row>
    <row r="52" spans="1:8" ht="23.25" x14ac:dyDescent="0.35">
      <c r="A52" s="31" t="s">
        <v>2126</v>
      </c>
      <c r="B52" s="31">
        <v>6</v>
      </c>
      <c r="C52" s="31" t="s">
        <v>161</v>
      </c>
      <c r="D52" s="31" t="s">
        <v>1162</v>
      </c>
      <c r="E52" s="31" t="s">
        <v>2223</v>
      </c>
      <c r="F52" s="31" t="s">
        <v>21</v>
      </c>
      <c r="G52" s="31" t="s">
        <v>2216</v>
      </c>
      <c r="H52" s="35" t="s">
        <v>33</v>
      </c>
    </row>
    <row r="53" spans="1:8" ht="23.25" x14ac:dyDescent="0.35">
      <c r="A53" s="32" t="s">
        <v>2126</v>
      </c>
      <c r="B53" s="32">
        <v>6</v>
      </c>
      <c r="C53" s="32" t="s">
        <v>161</v>
      </c>
      <c r="D53" s="32" t="s">
        <v>1162</v>
      </c>
      <c r="E53" s="32" t="s">
        <v>2224</v>
      </c>
      <c r="F53" s="32" t="s">
        <v>25</v>
      </c>
      <c r="G53" s="32" t="s">
        <v>2221</v>
      </c>
      <c r="H53" s="36" t="s">
        <v>34</v>
      </c>
    </row>
    <row r="54" spans="1:8" ht="23.25" x14ac:dyDescent="0.35">
      <c r="A54" s="31" t="s">
        <v>2126</v>
      </c>
      <c r="B54" s="31">
        <v>6</v>
      </c>
      <c r="C54" s="31" t="s">
        <v>161</v>
      </c>
      <c r="D54" s="31" t="s">
        <v>2225</v>
      </c>
      <c r="E54" s="31" t="s">
        <v>2226</v>
      </c>
      <c r="F54" s="31" t="s">
        <v>25</v>
      </c>
      <c r="G54" s="31" t="s">
        <v>2227</v>
      </c>
      <c r="H54" s="35" t="s">
        <v>60</v>
      </c>
    </row>
    <row r="55" spans="1:8" ht="23.25" x14ac:dyDescent="0.35">
      <c r="A55" s="32" t="s">
        <v>2126</v>
      </c>
      <c r="B55" s="32">
        <v>6</v>
      </c>
      <c r="C55" s="32" t="s">
        <v>161</v>
      </c>
      <c r="D55" s="32" t="s">
        <v>2225</v>
      </c>
      <c r="E55" s="32" t="s">
        <v>2228</v>
      </c>
      <c r="F55" s="32" t="s">
        <v>18</v>
      </c>
      <c r="G55" s="32" t="s">
        <v>2229</v>
      </c>
      <c r="H55" s="36" t="s">
        <v>33</v>
      </c>
    </row>
    <row r="56" spans="1:8" ht="23.25" x14ac:dyDescent="0.35">
      <c r="A56" s="31" t="s">
        <v>2126</v>
      </c>
      <c r="B56" s="31">
        <v>6</v>
      </c>
      <c r="C56" s="31" t="s">
        <v>161</v>
      </c>
      <c r="D56" s="31" t="s">
        <v>1641</v>
      </c>
      <c r="E56" s="31" t="s">
        <v>2230</v>
      </c>
      <c r="F56" s="31" t="s">
        <v>21</v>
      </c>
      <c r="G56" s="31" t="s">
        <v>2231</v>
      </c>
      <c r="H56" s="35" t="s">
        <v>33</v>
      </c>
    </row>
    <row r="57" spans="1:8" ht="23.25" x14ac:dyDescent="0.35">
      <c r="A57" s="32" t="s">
        <v>2126</v>
      </c>
      <c r="B57" s="32">
        <v>6</v>
      </c>
      <c r="C57" s="32" t="s">
        <v>161</v>
      </c>
      <c r="D57" s="32" t="s">
        <v>1641</v>
      </c>
      <c r="E57" s="32" t="s">
        <v>2232</v>
      </c>
      <c r="F57" s="32" t="s">
        <v>18</v>
      </c>
      <c r="G57" s="32" t="s">
        <v>2233</v>
      </c>
      <c r="H57" s="36" t="s">
        <v>33</v>
      </c>
    </row>
    <row r="58" spans="1:8" ht="23.25" x14ac:dyDescent="0.35">
      <c r="A58" s="31" t="s">
        <v>2126</v>
      </c>
      <c r="B58" s="31">
        <v>6</v>
      </c>
      <c r="C58" s="31" t="s">
        <v>161</v>
      </c>
      <c r="D58" s="31" t="s">
        <v>1641</v>
      </c>
      <c r="E58" s="31" t="s">
        <v>2234</v>
      </c>
      <c r="F58" s="31" t="s">
        <v>18</v>
      </c>
      <c r="G58" s="31" t="s">
        <v>2235</v>
      </c>
      <c r="H58" s="35" t="s">
        <v>33</v>
      </c>
    </row>
    <row r="59" spans="1:8" ht="23.25" x14ac:dyDescent="0.35">
      <c r="A59" s="32" t="s">
        <v>2126</v>
      </c>
      <c r="B59" s="32">
        <v>6</v>
      </c>
      <c r="C59" s="32" t="s">
        <v>161</v>
      </c>
      <c r="D59" s="32" t="s">
        <v>1641</v>
      </c>
      <c r="E59" s="32" t="s">
        <v>2234</v>
      </c>
      <c r="F59" s="32" t="s">
        <v>21</v>
      </c>
      <c r="G59" s="32" t="s">
        <v>2236</v>
      </c>
      <c r="H59" s="36" t="s">
        <v>33</v>
      </c>
    </row>
    <row r="60" spans="1:8" ht="23.25" x14ac:dyDescent="0.35">
      <c r="A60" s="31" t="s">
        <v>2126</v>
      </c>
      <c r="B60" s="31">
        <v>6</v>
      </c>
      <c r="C60" s="31" t="s">
        <v>161</v>
      </c>
      <c r="D60" s="31" t="s">
        <v>1641</v>
      </c>
      <c r="E60" s="31" t="s">
        <v>2234</v>
      </c>
      <c r="F60" s="31" t="s">
        <v>21</v>
      </c>
      <c r="G60" s="31" t="s">
        <v>2237</v>
      </c>
      <c r="H60" s="35" t="s">
        <v>33</v>
      </c>
    </row>
    <row r="61" spans="1:8" x14ac:dyDescent="0.35">
      <c r="A61" s="32" t="s">
        <v>2126</v>
      </c>
      <c r="B61" s="32">
        <v>7</v>
      </c>
      <c r="C61" s="32" t="s">
        <v>198</v>
      </c>
      <c r="D61" s="32" t="s">
        <v>1650</v>
      </c>
      <c r="E61" s="32" t="s">
        <v>2238</v>
      </c>
      <c r="F61" s="32" t="s">
        <v>25</v>
      </c>
      <c r="G61" s="32" t="s">
        <v>2239</v>
      </c>
      <c r="H61" s="36" t="s">
        <v>33</v>
      </c>
    </row>
    <row r="62" spans="1:8" x14ac:dyDescent="0.35">
      <c r="A62" s="31" t="s">
        <v>2126</v>
      </c>
      <c r="B62" s="31">
        <v>7</v>
      </c>
      <c r="C62" s="31" t="s">
        <v>198</v>
      </c>
      <c r="D62" s="31" t="s">
        <v>1650</v>
      </c>
      <c r="E62" s="31" t="s">
        <v>2240</v>
      </c>
      <c r="F62" s="31" t="s">
        <v>21</v>
      </c>
      <c r="G62" s="31" t="s">
        <v>2241</v>
      </c>
      <c r="H62" s="35" t="s">
        <v>33</v>
      </c>
    </row>
    <row r="63" spans="1:8" x14ac:dyDescent="0.35">
      <c r="A63" s="32" t="s">
        <v>2126</v>
      </c>
      <c r="B63" s="32">
        <v>7</v>
      </c>
      <c r="C63" s="32" t="s">
        <v>198</v>
      </c>
      <c r="D63" s="32" t="s">
        <v>1650</v>
      </c>
      <c r="E63" s="32" t="s">
        <v>2242</v>
      </c>
      <c r="F63" s="32" t="s">
        <v>25</v>
      </c>
      <c r="G63" s="32" t="s">
        <v>2243</v>
      </c>
      <c r="H63" s="36" t="s">
        <v>34</v>
      </c>
    </row>
    <row r="64" spans="1:8" x14ac:dyDescent="0.35">
      <c r="A64" s="31" t="s">
        <v>2126</v>
      </c>
      <c r="B64" s="31">
        <v>7</v>
      </c>
      <c r="C64" s="31" t="s">
        <v>198</v>
      </c>
      <c r="D64" s="31" t="s">
        <v>2244</v>
      </c>
      <c r="E64" s="31" t="s">
        <v>2245</v>
      </c>
      <c r="F64" s="31" t="s">
        <v>25</v>
      </c>
      <c r="G64" s="31" t="s">
        <v>2246</v>
      </c>
      <c r="H64" s="35" t="s">
        <v>60</v>
      </c>
    </row>
    <row r="65" spans="1:8" x14ac:dyDescent="0.35">
      <c r="A65" s="32" t="s">
        <v>2126</v>
      </c>
      <c r="B65" s="32">
        <v>7</v>
      </c>
      <c r="C65" s="32" t="s">
        <v>198</v>
      </c>
      <c r="D65" s="32" t="s">
        <v>2244</v>
      </c>
      <c r="E65" s="32" t="s">
        <v>2247</v>
      </c>
      <c r="F65" s="32" t="s">
        <v>25</v>
      </c>
      <c r="G65" s="32" t="s">
        <v>2248</v>
      </c>
      <c r="H65" s="36" t="s">
        <v>60</v>
      </c>
    </row>
    <row r="66" spans="1:8" x14ac:dyDescent="0.35">
      <c r="A66" s="31" t="s">
        <v>2126</v>
      </c>
      <c r="B66" s="31">
        <v>7</v>
      </c>
      <c r="C66" s="31" t="s">
        <v>198</v>
      </c>
      <c r="D66" s="31" t="s">
        <v>2249</v>
      </c>
      <c r="E66" s="31" t="s">
        <v>1673</v>
      </c>
      <c r="F66" s="31" t="s">
        <v>25</v>
      </c>
      <c r="G66" s="31" t="s">
        <v>2250</v>
      </c>
      <c r="H66" s="35" t="s">
        <v>33</v>
      </c>
    </row>
    <row r="67" spans="1:8" x14ac:dyDescent="0.35">
      <c r="A67" s="32" t="s">
        <v>2126</v>
      </c>
      <c r="B67" s="32">
        <v>7</v>
      </c>
      <c r="C67" s="32" t="s">
        <v>198</v>
      </c>
      <c r="D67" s="32" t="s">
        <v>1673</v>
      </c>
      <c r="E67" s="32" t="s">
        <v>2251</v>
      </c>
      <c r="F67" s="32" t="s">
        <v>20</v>
      </c>
      <c r="G67" s="32" t="s">
        <v>2252</v>
      </c>
      <c r="H67" s="36" t="s">
        <v>33</v>
      </c>
    </row>
    <row r="68" spans="1:8" x14ac:dyDescent="0.35">
      <c r="A68" s="31" t="s">
        <v>2126</v>
      </c>
      <c r="B68" s="31">
        <v>7</v>
      </c>
      <c r="C68" s="31" t="s">
        <v>198</v>
      </c>
      <c r="D68" s="31" t="s">
        <v>1673</v>
      </c>
      <c r="E68" s="31" t="s">
        <v>2253</v>
      </c>
      <c r="F68" s="31" t="s">
        <v>20</v>
      </c>
      <c r="G68" s="31" t="s">
        <v>2254</v>
      </c>
      <c r="H68" s="35" t="s">
        <v>60</v>
      </c>
    </row>
    <row r="69" spans="1:8" x14ac:dyDescent="0.35">
      <c r="A69" s="32" t="s">
        <v>2126</v>
      </c>
      <c r="B69" s="32">
        <v>8</v>
      </c>
      <c r="C69" s="32" t="s">
        <v>210</v>
      </c>
      <c r="D69" s="32"/>
      <c r="E69" s="32" t="s">
        <v>2255</v>
      </c>
      <c r="F69" s="32" t="s">
        <v>25</v>
      </c>
      <c r="G69" s="32" t="s">
        <v>2256</v>
      </c>
      <c r="H69" s="36" t="s">
        <v>34</v>
      </c>
    </row>
    <row r="70" spans="1:8" ht="23.25" x14ac:dyDescent="0.35">
      <c r="A70" s="31" t="s">
        <v>2126</v>
      </c>
      <c r="B70" s="31">
        <v>8</v>
      </c>
      <c r="C70" s="31" t="s">
        <v>210</v>
      </c>
      <c r="D70" s="31"/>
      <c r="E70" s="31" t="s">
        <v>2257</v>
      </c>
      <c r="F70" s="31" t="s">
        <v>21</v>
      </c>
      <c r="G70" s="31" t="s">
        <v>2258</v>
      </c>
      <c r="H70" s="35" t="s">
        <v>33</v>
      </c>
    </row>
    <row r="71" spans="1:8" x14ac:dyDescent="0.35">
      <c r="A71" s="32" t="s">
        <v>2126</v>
      </c>
      <c r="B71" s="32">
        <v>8</v>
      </c>
      <c r="C71" s="32" t="s">
        <v>210</v>
      </c>
      <c r="D71" s="32"/>
      <c r="E71" s="32" t="s">
        <v>2259</v>
      </c>
      <c r="F71" s="32" t="s">
        <v>23</v>
      </c>
      <c r="G71" s="32" t="s">
        <v>2260</v>
      </c>
      <c r="H71" s="36" t="s">
        <v>33</v>
      </c>
    </row>
    <row r="72" spans="1:8" x14ac:dyDescent="0.35">
      <c r="A72" s="31" t="s">
        <v>2126</v>
      </c>
      <c r="B72" s="31">
        <v>8</v>
      </c>
      <c r="C72" s="31" t="s">
        <v>210</v>
      </c>
      <c r="D72" s="31"/>
      <c r="E72" s="31" t="s">
        <v>2261</v>
      </c>
      <c r="F72" s="31" t="s">
        <v>21</v>
      </c>
      <c r="G72" s="31" t="s">
        <v>2262</v>
      </c>
      <c r="H72" s="35" t="s">
        <v>33</v>
      </c>
    </row>
    <row r="73" spans="1:8" x14ac:dyDescent="0.35">
      <c r="A73" s="32" t="s">
        <v>2126</v>
      </c>
      <c r="B73" s="32">
        <v>8</v>
      </c>
      <c r="C73" s="32" t="s">
        <v>210</v>
      </c>
      <c r="D73" s="32"/>
      <c r="E73" s="32" t="s">
        <v>2263</v>
      </c>
      <c r="F73" s="32" t="s">
        <v>21</v>
      </c>
      <c r="G73" s="32" t="s">
        <v>2264</v>
      </c>
      <c r="H73" s="36" t="s">
        <v>33</v>
      </c>
    </row>
    <row r="74" spans="1:8" x14ac:dyDescent="0.35">
      <c r="A74" s="31" t="s">
        <v>2126</v>
      </c>
      <c r="B74" s="31">
        <v>8</v>
      </c>
      <c r="C74" s="31" t="s">
        <v>210</v>
      </c>
      <c r="D74" s="31"/>
      <c r="E74" s="31" t="s">
        <v>2263</v>
      </c>
      <c r="F74" s="31" t="s">
        <v>25</v>
      </c>
      <c r="G74" s="31" t="s">
        <v>2265</v>
      </c>
      <c r="H74" s="35" t="s">
        <v>33</v>
      </c>
    </row>
    <row r="75" spans="1:8" x14ac:dyDescent="0.35">
      <c r="A75" s="32" t="s">
        <v>2126</v>
      </c>
      <c r="B75" s="32">
        <v>8</v>
      </c>
      <c r="C75" s="32" t="s">
        <v>210</v>
      </c>
      <c r="D75" s="32" t="s">
        <v>1689</v>
      </c>
      <c r="E75" s="32" t="s">
        <v>2266</v>
      </c>
      <c r="F75" s="32" t="s">
        <v>23</v>
      </c>
      <c r="G75" s="32" t="s">
        <v>2267</v>
      </c>
      <c r="H75" s="36" t="s">
        <v>33</v>
      </c>
    </row>
    <row r="76" spans="1:8" x14ac:dyDescent="0.35">
      <c r="A76" s="31" t="s">
        <v>2126</v>
      </c>
      <c r="B76" s="31">
        <v>8</v>
      </c>
      <c r="C76" s="31" t="s">
        <v>210</v>
      </c>
      <c r="D76" s="31" t="s">
        <v>1689</v>
      </c>
      <c r="E76" s="31" t="s">
        <v>2268</v>
      </c>
      <c r="F76" s="31" t="s">
        <v>21</v>
      </c>
      <c r="G76" s="31" t="s">
        <v>2269</v>
      </c>
      <c r="H76" s="35" t="s">
        <v>33</v>
      </c>
    </row>
    <row r="77" spans="1:8" x14ac:dyDescent="0.35">
      <c r="A77" s="32" t="s">
        <v>2126</v>
      </c>
      <c r="B77" s="32">
        <v>8</v>
      </c>
      <c r="C77" s="32" t="s">
        <v>210</v>
      </c>
      <c r="D77" s="32" t="s">
        <v>1689</v>
      </c>
      <c r="E77" s="32" t="s">
        <v>2270</v>
      </c>
      <c r="F77" s="32" t="s">
        <v>25</v>
      </c>
      <c r="G77" s="32" t="s">
        <v>2271</v>
      </c>
      <c r="H77" s="36" t="s">
        <v>33</v>
      </c>
    </row>
    <row r="78" spans="1:8" x14ac:dyDescent="0.35">
      <c r="A78" s="31" t="s">
        <v>2126</v>
      </c>
      <c r="B78" s="31">
        <v>8</v>
      </c>
      <c r="C78" s="31" t="s">
        <v>210</v>
      </c>
      <c r="D78" s="31" t="s">
        <v>1689</v>
      </c>
      <c r="E78" s="31" t="s">
        <v>2272</v>
      </c>
      <c r="F78" s="31" t="s">
        <v>25</v>
      </c>
      <c r="G78" s="31" t="s">
        <v>2273</v>
      </c>
      <c r="H78" s="35" t="s">
        <v>33</v>
      </c>
    </row>
    <row r="79" spans="1:8" x14ac:dyDescent="0.35">
      <c r="A79" s="32" t="s">
        <v>2126</v>
      </c>
      <c r="B79" s="32">
        <v>8</v>
      </c>
      <c r="C79" s="32" t="s">
        <v>210</v>
      </c>
      <c r="D79" s="32" t="s">
        <v>1702</v>
      </c>
      <c r="E79" s="32" t="s">
        <v>2274</v>
      </c>
      <c r="F79" s="32" t="s">
        <v>18</v>
      </c>
      <c r="G79" s="32" t="s">
        <v>2275</v>
      </c>
      <c r="H79" s="36" t="s">
        <v>34</v>
      </c>
    </row>
    <row r="80" spans="1:8" x14ac:dyDescent="0.35">
      <c r="A80" s="31" t="s">
        <v>2126</v>
      </c>
      <c r="B80" s="31">
        <v>8</v>
      </c>
      <c r="C80" s="31" t="s">
        <v>210</v>
      </c>
      <c r="D80" s="31" t="s">
        <v>1702</v>
      </c>
      <c r="E80" s="31" t="s">
        <v>2276</v>
      </c>
      <c r="F80" s="31" t="s">
        <v>25</v>
      </c>
      <c r="G80" s="31" t="s">
        <v>2271</v>
      </c>
      <c r="H80" s="35" t="s">
        <v>33</v>
      </c>
    </row>
    <row r="81" spans="1:8" x14ac:dyDescent="0.35">
      <c r="A81" s="32" t="s">
        <v>2126</v>
      </c>
      <c r="B81" s="32">
        <v>8</v>
      </c>
      <c r="C81" s="32" t="s">
        <v>210</v>
      </c>
      <c r="D81" s="32" t="s">
        <v>1702</v>
      </c>
      <c r="E81" s="32" t="s">
        <v>2277</v>
      </c>
      <c r="F81" s="32" t="s">
        <v>18</v>
      </c>
      <c r="G81" s="32" t="s">
        <v>2278</v>
      </c>
      <c r="H81" s="36" t="s">
        <v>33</v>
      </c>
    </row>
    <row r="82" spans="1:8" x14ac:dyDescent="0.35">
      <c r="A82" s="31" t="s">
        <v>2126</v>
      </c>
      <c r="B82" s="31">
        <v>8</v>
      </c>
      <c r="C82" s="31" t="s">
        <v>210</v>
      </c>
      <c r="D82" s="31" t="s">
        <v>1712</v>
      </c>
      <c r="E82" s="31" t="s">
        <v>2279</v>
      </c>
      <c r="F82" s="31" t="s">
        <v>25</v>
      </c>
      <c r="G82" s="31" t="s">
        <v>2280</v>
      </c>
      <c r="H82" s="35" t="s">
        <v>34</v>
      </c>
    </row>
    <row r="83" spans="1:8" x14ac:dyDescent="0.35">
      <c r="A83" s="32" t="s">
        <v>2126</v>
      </c>
      <c r="B83" s="32">
        <v>8</v>
      </c>
      <c r="C83" s="32" t="s">
        <v>210</v>
      </c>
      <c r="D83" s="32" t="s">
        <v>1712</v>
      </c>
      <c r="E83" s="32" t="s">
        <v>2281</v>
      </c>
      <c r="F83" s="32" t="s">
        <v>25</v>
      </c>
      <c r="G83" s="32" t="s">
        <v>2282</v>
      </c>
      <c r="H83" s="36" t="s">
        <v>34</v>
      </c>
    </row>
    <row r="84" spans="1:8" ht="23.25" x14ac:dyDescent="0.35">
      <c r="A84" s="31" t="s">
        <v>2126</v>
      </c>
      <c r="B84" s="31">
        <v>8</v>
      </c>
      <c r="C84" s="31" t="s">
        <v>210</v>
      </c>
      <c r="D84" s="31" t="s">
        <v>1712</v>
      </c>
      <c r="E84" s="31" t="s">
        <v>2283</v>
      </c>
      <c r="F84" s="31" t="s">
        <v>21</v>
      </c>
      <c r="G84" s="31" t="s">
        <v>2284</v>
      </c>
      <c r="H84" s="35" t="s">
        <v>33</v>
      </c>
    </row>
    <row r="85" spans="1:8" x14ac:dyDescent="0.35">
      <c r="A85" s="32" t="s">
        <v>2126</v>
      </c>
      <c r="B85" s="32">
        <v>8</v>
      </c>
      <c r="C85" s="32" t="s">
        <v>210</v>
      </c>
      <c r="D85" s="32" t="s">
        <v>1712</v>
      </c>
      <c r="E85" s="32" t="s">
        <v>2285</v>
      </c>
      <c r="F85" s="32" t="s">
        <v>25</v>
      </c>
      <c r="G85" s="32" t="s">
        <v>2286</v>
      </c>
      <c r="H85" s="36" t="s">
        <v>34</v>
      </c>
    </row>
    <row r="86" spans="1:8" x14ac:dyDescent="0.35">
      <c r="A86" s="31" t="s">
        <v>2126</v>
      </c>
      <c r="B86" s="31">
        <v>8</v>
      </c>
      <c r="C86" s="31" t="s">
        <v>210</v>
      </c>
      <c r="D86" s="31" t="s">
        <v>1712</v>
      </c>
      <c r="E86" s="31" t="s">
        <v>2285</v>
      </c>
      <c r="F86" s="31" t="s">
        <v>18</v>
      </c>
      <c r="G86" s="31" t="s">
        <v>2287</v>
      </c>
      <c r="H86" s="35" t="s">
        <v>33</v>
      </c>
    </row>
    <row r="87" spans="1:8" ht="23.25" x14ac:dyDescent="0.35">
      <c r="A87" s="32" t="s">
        <v>2126</v>
      </c>
      <c r="B87" s="32">
        <v>9</v>
      </c>
      <c r="C87" s="32" t="s">
        <v>249</v>
      </c>
      <c r="D87" s="32"/>
      <c r="E87" s="32" t="s">
        <v>2288</v>
      </c>
      <c r="F87" s="32" t="s">
        <v>21</v>
      </c>
      <c r="G87" s="32" t="s">
        <v>2289</v>
      </c>
      <c r="H87" s="36" t="s">
        <v>60</v>
      </c>
    </row>
    <row r="88" spans="1:8" ht="23.25" x14ac:dyDescent="0.35">
      <c r="A88" s="31" t="s">
        <v>2126</v>
      </c>
      <c r="B88" s="31">
        <v>9</v>
      </c>
      <c r="C88" s="31" t="s">
        <v>249</v>
      </c>
      <c r="D88" s="31"/>
      <c r="E88" s="31" t="s">
        <v>2290</v>
      </c>
      <c r="F88" s="31" t="s">
        <v>18</v>
      </c>
      <c r="G88" s="31" t="s">
        <v>2291</v>
      </c>
      <c r="H88" s="35" t="s">
        <v>33</v>
      </c>
    </row>
    <row r="89" spans="1:8" ht="23.25" x14ac:dyDescent="0.35">
      <c r="A89" s="32" t="s">
        <v>2126</v>
      </c>
      <c r="B89" s="32">
        <v>9</v>
      </c>
      <c r="C89" s="32" t="s">
        <v>249</v>
      </c>
      <c r="D89" s="32" t="s">
        <v>1730</v>
      </c>
      <c r="E89" s="32" t="s">
        <v>2292</v>
      </c>
      <c r="F89" s="32" t="s">
        <v>25</v>
      </c>
      <c r="G89" s="32" t="s">
        <v>2293</v>
      </c>
      <c r="H89" s="36" t="s">
        <v>34</v>
      </c>
    </row>
    <row r="90" spans="1:8" ht="23.25" x14ac:dyDescent="0.35">
      <c r="A90" s="31" t="s">
        <v>2126</v>
      </c>
      <c r="B90" s="31">
        <v>9</v>
      </c>
      <c r="C90" s="31" t="s">
        <v>249</v>
      </c>
      <c r="D90" s="31" t="s">
        <v>1730</v>
      </c>
      <c r="E90" s="31" t="s">
        <v>2294</v>
      </c>
      <c r="F90" s="31" t="s">
        <v>18</v>
      </c>
      <c r="G90" s="31" t="s">
        <v>2291</v>
      </c>
      <c r="H90" s="35" t="s">
        <v>33</v>
      </c>
    </row>
    <row r="91" spans="1:8" ht="23.25" x14ac:dyDescent="0.35">
      <c r="A91" s="32" t="s">
        <v>2126</v>
      </c>
      <c r="B91" s="32">
        <v>9</v>
      </c>
      <c r="C91" s="32" t="s">
        <v>249</v>
      </c>
      <c r="D91" s="32" t="s">
        <v>1730</v>
      </c>
      <c r="E91" s="32" t="s">
        <v>2295</v>
      </c>
      <c r="F91" s="32" t="s">
        <v>21</v>
      </c>
      <c r="G91" s="32" t="s">
        <v>2296</v>
      </c>
      <c r="H91" s="36" t="s">
        <v>33</v>
      </c>
    </row>
    <row r="92" spans="1:8" ht="23.25" x14ac:dyDescent="0.35">
      <c r="A92" s="31" t="s">
        <v>2126</v>
      </c>
      <c r="B92" s="31">
        <v>9</v>
      </c>
      <c r="C92" s="31" t="s">
        <v>249</v>
      </c>
      <c r="D92" s="31" t="s">
        <v>1730</v>
      </c>
      <c r="E92" s="31" t="s">
        <v>2297</v>
      </c>
      <c r="F92" s="31" t="s">
        <v>25</v>
      </c>
      <c r="G92" s="31" t="s">
        <v>2298</v>
      </c>
      <c r="H92" s="35" t="s">
        <v>33</v>
      </c>
    </row>
    <row r="93" spans="1:8" ht="23.25" x14ac:dyDescent="0.35">
      <c r="A93" s="32" t="s">
        <v>2126</v>
      </c>
      <c r="B93" s="32">
        <v>9</v>
      </c>
      <c r="C93" s="32" t="s">
        <v>249</v>
      </c>
      <c r="D93" s="32" t="s">
        <v>1525</v>
      </c>
      <c r="E93" s="32" t="s">
        <v>2299</v>
      </c>
      <c r="F93" s="32" t="s">
        <v>25</v>
      </c>
      <c r="G93" s="32" t="s">
        <v>2300</v>
      </c>
      <c r="H93" s="36" t="s">
        <v>33</v>
      </c>
    </row>
    <row r="94" spans="1:8" ht="23.25" x14ac:dyDescent="0.35">
      <c r="A94" s="31" t="s">
        <v>2126</v>
      </c>
      <c r="B94" s="31">
        <v>9</v>
      </c>
      <c r="C94" s="31" t="s">
        <v>249</v>
      </c>
      <c r="D94" s="31" t="s">
        <v>1525</v>
      </c>
      <c r="E94" s="31" t="s">
        <v>2301</v>
      </c>
      <c r="F94" s="31" t="s">
        <v>25</v>
      </c>
      <c r="G94" s="31" t="s">
        <v>2302</v>
      </c>
      <c r="H94" s="35" t="s">
        <v>33</v>
      </c>
    </row>
    <row r="95" spans="1:8" ht="23.25" x14ac:dyDescent="0.35">
      <c r="A95" s="32" t="s">
        <v>2126</v>
      </c>
      <c r="B95" s="32">
        <v>9</v>
      </c>
      <c r="C95" s="32" t="s">
        <v>249</v>
      </c>
      <c r="D95" s="32" t="s">
        <v>1525</v>
      </c>
      <c r="E95" s="32" t="s">
        <v>2303</v>
      </c>
      <c r="F95" s="32" t="s">
        <v>18</v>
      </c>
      <c r="G95" s="32" t="s">
        <v>2304</v>
      </c>
      <c r="H95" s="36" t="s">
        <v>33</v>
      </c>
    </row>
    <row r="96" spans="1:8" ht="23.25" x14ac:dyDescent="0.35">
      <c r="A96" s="31" t="s">
        <v>2126</v>
      </c>
      <c r="B96" s="31">
        <v>9</v>
      </c>
      <c r="C96" s="31" t="s">
        <v>249</v>
      </c>
      <c r="D96" s="31" t="s">
        <v>1196</v>
      </c>
      <c r="E96" s="31" t="s">
        <v>2305</v>
      </c>
      <c r="F96" s="31" t="s">
        <v>25</v>
      </c>
      <c r="G96" s="31" t="s">
        <v>2306</v>
      </c>
      <c r="H96" s="35" t="s">
        <v>33</v>
      </c>
    </row>
    <row r="97" spans="1:8" ht="23.25" x14ac:dyDescent="0.35">
      <c r="A97" s="32" t="s">
        <v>2126</v>
      </c>
      <c r="B97" s="32">
        <v>9</v>
      </c>
      <c r="C97" s="32" t="s">
        <v>249</v>
      </c>
      <c r="D97" s="32" t="s">
        <v>1205</v>
      </c>
      <c r="E97" s="32" t="s">
        <v>2307</v>
      </c>
      <c r="F97" s="32" t="s">
        <v>25</v>
      </c>
      <c r="G97" s="32" t="s">
        <v>2308</v>
      </c>
      <c r="H97" s="36" t="s">
        <v>33</v>
      </c>
    </row>
    <row r="98" spans="1:8" x14ac:dyDescent="0.35">
      <c r="A98" s="31" t="s">
        <v>2126</v>
      </c>
      <c r="B98" s="31">
        <v>10</v>
      </c>
      <c r="C98" s="31" t="s">
        <v>283</v>
      </c>
      <c r="D98" s="31" t="s">
        <v>1780</v>
      </c>
      <c r="E98" s="31" t="s">
        <v>2309</v>
      </c>
      <c r="F98" s="31" t="s">
        <v>18</v>
      </c>
      <c r="G98" s="31" t="s">
        <v>2310</v>
      </c>
      <c r="H98" s="35" t="s">
        <v>33</v>
      </c>
    </row>
    <row r="99" spans="1:8" x14ac:dyDescent="0.35">
      <c r="A99" s="32" t="s">
        <v>2126</v>
      </c>
      <c r="B99" s="32">
        <v>10</v>
      </c>
      <c r="C99" s="32" t="s">
        <v>283</v>
      </c>
      <c r="D99" s="32" t="s">
        <v>1785</v>
      </c>
      <c r="E99" s="32" t="s">
        <v>2311</v>
      </c>
      <c r="F99" s="32" t="s">
        <v>25</v>
      </c>
      <c r="G99" s="32" t="s">
        <v>2312</v>
      </c>
      <c r="H99" s="36" t="s">
        <v>33</v>
      </c>
    </row>
    <row r="100" spans="1:8" x14ac:dyDescent="0.35">
      <c r="A100" s="31" t="s">
        <v>2126</v>
      </c>
      <c r="B100" s="31">
        <v>10</v>
      </c>
      <c r="C100" s="31" t="s">
        <v>283</v>
      </c>
      <c r="D100" s="31" t="s">
        <v>1785</v>
      </c>
      <c r="E100" s="31" t="s">
        <v>2313</v>
      </c>
      <c r="F100" s="31" t="s">
        <v>18</v>
      </c>
      <c r="G100" s="31" t="s">
        <v>2314</v>
      </c>
      <c r="H100" s="35" t="s">
        <v>33</v>
      </c>
    </row>
    <row r="101" spans="1:8" ht="23.25" x14ac:dyDescent="0.35">
      <c r="A101" s="32" t="s">
        <v>2126</v>
      </c>
      <c r="B101" s="32">
        <v>10</v>
      </c>
      <c r="C101" s="32" t="s">
        <v>283</v>
      </c>
      <c r="D101" s="32" t="s">
        <v>2315</v>
      </c>
      <c r="E101" s="32" t="s">
        <v>2316</v>
      </c>
      <c r="F101" s="32" t="s">
        <v>25</v>
      </c>
      <c r="G101" s="32" t="s">
        <v>2317</v>
      </c>
      <c r="H101" s="36" t="s">
        <v>33</v>
      </c>
    </row>
    <row r="102" spans="1:8" ht="23.25" x14ac:dyDescent="0.35">
      <c r="A102" s="31" t="s">
        <v>2126</v>
      </c>
      <c r="B102" s="31">
        <v>11</v>
      </c>
      <c r="C102" s="31" t="s">
        <v>304</v>
      </c>
      <c r="D102" s="31"/>
      <c r="E102" s="31" t="s">
        <v>2318</v>
      </c>
      <c r="F102" s="31" t="s">
        <v>18</v>
      </c>
      <c r="G102" s="31" t="s">
        <v>2319</v>
      </c>
      <c r="H102" s="35" t="s">
        <v>33</v>
      </c>
    </row>
    <row r="103" spans="1:8" ht="23.25" x14ac:dyDescent="0.35">
      <c r="A103" s="32" t="s">
        <v>2126</v>
      </c>
      <c r="B103" s="32">
        <v>11</v>
      </c>
      <c r="C103" s="32" t="s">
        <v>304</v>
      </c>
      <c r="D103" s="32"/>
      <c r="E103" s="32" t="s">
        <v>2320</v>
      </c>
      <c r="F103" s="32" t="s">
        <v>21</v>
      </c>
      <c r="G103" s="32" t="s">
        <v>2321</v>
      </c>
      <c r="H103" s="36" t="s">
        <v>33</v>
      </c>
    </row>
    <row r="104" spans="1:8" ht="23.25" x14ac:dyDescent="0.35">
      <c r="A104" s="31" t="s">
        <v>2126</v>
      </c>
      <c r="B104" s="31">
        <v>11</v>
      </c>
      <c r="C104" s="31" t="s">
        <v>304</v>
      </c>
      <c r="D104" s="31" t="s">
        <v>1790</v>
      </c>
      <c r="E104" s="31" t="s">
        <v>2322</v>
      </c>
      <c r="F104" s="31" t="s">
        <v>25</v>
      </c>
      <c r="G104" s="31" t="s">
        <v>2323</v>
      </c>
      <c r="H104" s="35" t="s">
        <v>34</v>
      </c>
    </row>
    <row r="105" spans="1:8" ht="23.25" x14ac:dyDescent="0.35">
      <c r="A105" s="32" t="s">
        <v>2126</v>
      </c>
      <c r="B105" s="32">
        <v>11</v>
      </c>
      <c r="C105" s="32" t="s">
        <v>304</v>
      </c>
      <c r="D105" s="32" t="s">
        <v>1804</v>
      </c>
      <c r="E105" s="32" t="s">
        <v>2324</v>
      </c>
      <c r="F105" s="32" t="s">
        <v>25</v>
      </c>
      <c r="G105" s="32" t="s">
        <v>2325</v>
      </c>
      <c r="H105" s="36" t="s">
        <v>34</v>
      </c>
    </row>
    <row r="106" spans="1:8" ht="23.25" x14ac:dyDescent="0.35">
      <c r="A106" s="31" t="s">
        <v>2126</v>
      </c>
      <c r="B106" s="31">
        <v>11</v>
      </c>
      <c r="C106" s="31" t="s">
        <v>304</v>
      </c>
      <c r="D106" s="31" t="s">
        <v>1804</v>
      </c>
      <c r="E106" s="31" t="s">
        <v>2326</v>
      </c>
      <c r="F106" s="31" t="s">
        <v>18</v>
      </c>
      <c r="G106" s="31" t="s">
        <v>2327</v>
      </c>
      <c r="H106" s="35" t="s">
        <v>33</v>
      </c>
    </row>
    <row r="107" spans="1:8" ht="23.25" x14ac:dyDescent="0.35">
      <c r="A107" s="32" t="s">
        <v>2126</v>
      </c>
      <c r="B107" s="32">
        <v>11</v>
      </c>
      <c r="C107" s="32" t="s">
        <v>304</v>
      </c>
      <c r="D107" s="32" t="s">
        <v>1804</v>
      </c>
      <c r="E107" s="32" t="s">
        <v>2328</v>
      </c>
      <c r="F107" s="32" t="s">
        <v>25</v>
      </c>
      <c r="G107" s="32" t="s">
        <v>2329</v>
      </c>
      <c r="H107" s="36" t="s">
        <v>33</v>
      </c>
    </row>
    <row r="108" spans="1:8" ht="23.25" x14ac:dyDescent="0.35">
      <c r="A108" s="31" t="s">
        <v>2126</v>
      </c>
      <c r="B108" s="31">
        <v>11</v>
      </c>
      <c r="C108" s="31" t="s">
        <v>304</v>
      </c>
      <c r="D108" s="31" t="s">
        <v>2330</v>
      </c>
      <c r="E108" s="31" t="s">
        <v>2331</v>
      </c>
      <c r="F108" s="31" t="s">
        <v>18</v>
      </c>
      <c r="G108" s="31" t="s">
        <v>2332</v>
      </c>
      <c r="H108" s="35" t="s">
        <v>33</v>
      </c>
    </row>
    <row r="109" spans="1:8" ht="23.25" x14ac:dyDescent="0.35">
      <c r="A109" s="32" t="s">
        <v>2126</v>
      </c>
      <c r="B109" s="32">
        <v>12</v>
      </c>
      <c r="C109" s="32" t="s">
        <v>313</v>
      </c>
      <c r="D109" s="32" t="s">
        <v>1830</v>
      </c>
      <c r="E109" s="32" t="s">
        <v>2333</v>
      </c>
      <c r="F109" s="32" t="s">
        <v>18</v>
      </c>
      <c r="G109" s="32" t="s">
        <v>2334</v>
      </c>
      <c r="H109" s="36" t="s">
        <v>33</v>
      </c>
    </row>
    <row r="110" spans="1:8" ht="23.25" x14ac:dyDescent="0.35">
      <c r="A110" s="31" t="s">
        <v>2126</v>
      </c>
      <c r="B110" s="31">
        <v>12</v>
      </c>
      <c r="C110" s="31" t="s">
        <v>313</v>
      </c>
      <c r="D110" s="31" t="s">
        <v>1844</v>
      </c>
      <c r="E110" s="31" t="s">
        <v>2335</v>
      </c>
      <c r="F110" s="31" t="s">
        <v>18</v>
      </c>
      <c r="G110" s="31" t="s">
        <v>2336</v>
      </c>
      <c r="H110" s="35" t="s">
        <v>33</v>
      </c>
    </row>
    <row r="111" spans="1:8" ht="23.25" x14ac:dyDescent="0.35">
      <c r="A111" s="32" t="s">
        <v>2126</v>
      </c>
      <c r="B111" s="32">
        <v>12</v>
      </c>
      <c r="C111" s="32" t="s">
        <v>313</v>
      </c>
      <c r="D111" s="32" t="s">
        <v>2337</v>
      </c>
      <c r="E111" s="32" t="s">
        <v>2338</v>
      </c>
      <c r="F111" s="32" t="s">
        <v>18</v>
      </c>
      <c r="G111" s="32" t="s">
        <v>2339</v>
      </c>
      <c r="H111" s="36" t="s">
        <v>34</v>
      </c>
    </row>
    <row r="112" spans="1:8" x14ac:dyDescent="0.35">
      <c r="A112" s="31" t="s">
        <v>2126</v>
      </c>
      <c r="B112" s="31">
        <v>13</v>
      </c>
      <c r="C112" s="31" t="s">
        <v>329</v>
      </c>
      <c r="D112" s="31" t="s">
        <v>1859</v>
      </c>
      <c r="E112" s="31" t="s">
        <v>2340</v>
      </c>
      <c r="F112" s="31" t="s">
        <v>21</v>
      </c>
      <c r="G112" s="31" t="s">
        <v>2341</v>
      </c>
      <c r="H112" s="35" t="s">
        <v>33</v>
      </c>
    </row>
    <row r="113" spans="1:8" x14ac:dyDescent="0.35">
      <c r="A113" s="32" t="s">
        <v>2126</v>
      </c>
      <c r="B113" s="32">
        <v>13</v>
      </c>
      <c r="C113" s="32" t="s">
        <v>329</v>
      </c>
      <c r="D113" s="32" t="s">
        <v>1859</v>
      </c>
      <c r="E113" s="32" t="s">
        <v>2342</v>
      </c>
      <c r="F113" s="32" t="s">
        <v>18</v>
      </c>
      <c r="G113" s="32" t="s">
        <v>2343</v>
      </c>
      <c r="H113" s="36" t="s">
        <v>33</v>
      </c>
    </row>
    <row r="114" spans="1:8" x14ac:dyDescent="0.35">
      <c r="A114" s="31" t="s">
        <v>2126</v>
      </c>
      <c r="B114" s="31">
        <v>13</v>
      </c>
      <c r="C114" s="31" t="s">
        <v>329</v>
      </c>
      <c r="D114" s="31" t="s">
        <v>1859</v>
      </c>
      <c r="E114" s="31" t="s">
        <v>2344</v>
      </c>
      <c r="F114" s="31" t="s">
        <v>25</v>
      </c>
      <c r="G114" s="31" t="s">
        <v>2345</v>
      </c>
      <c r="H114" s="35" t="s">
        <v>34</v>
      </c>
    </row>
    <row r="115" spans="1:8" x14ac:dyDescent="0.35">
      <c r="A115" s="32" t="s">
        <v>2126</v>
      </c>
      <c r="B115" s="32">
        <v>13</v>
      </c>
      <c r="C115" s="32" t="s">
        <v>329</v>
      </c>
      <c r="D115" s="32" t="s">
        <v>1236</v>
      </c>
      <c r="E115" s="32" t="s">
        <v>2346</v>
      </c>
      <c r="F115" s="32" t="s">
        <v>18</v>
      </c>
      <c r="G115" s="32" t="s">
        <v>2347</v>
      </c>
      <c r="H115" s="36" t="s">
        <v>33</v>
      </c>
    </row>
    <row r="116" spans="1:8" x14ac:dyDescent="0.35">
      <c r="A116" s="31" t="s">
        <v>2126</v>
      </c>
      <c r="B116" s="31">
        <v>13</v>
      </c>
      <c r="C116" s="31" t="s">
        <v>329</v>
      </c>
      <c r="D116" s="31" t="s">
        <v>1864</v>
      </c>
      <c r="E116" s="31" t="s">
        <v>2348</v>
      </c>
      <c r="F116" s="31" t="s">
        <v>21</v>
      </c>
      <c r="G116" s="31" t="s">
        <v>2349</v>
      </c>
      <c r="H116" s="35" t="s">
        <v>33</v>
      </c>
    </row>
    <row r="117" spans="1:8" x14ac:dyDescent="0.35">
      <c r="A117" s="32" t="s">
        <v>2126</v>
      </c>
      <c r="B117" s="32">
        <v>13</v>
      </c>
      <c r="C117" s="32" t="s">
        <v>329</v>
      </c>
      <c r="D117" s="32" t="s">
        <v>1864</v>
      </c>
      <c r="E117" s="32" t="s">
        <v>2350</v>
      </c>
      <c r="F117" s="32" t="s">
        <v>25</v>
      </c>
      <c r="G117" s="32" t="s">
        <v>2351</v>
      </c>
      <c r="H117" s="36" t="s">
        <v>60</v>
      </c>
    </row>
    <row r="118" spans="1:8" x14ac:dyDescent="0.35">
      <c r="A118" s="31" t="s">
        <v>2126</v>
      </c>
      <c r="B118" s="31">
        <v>13</v>
      </c>
      <c r="C118" s="31" t="s">
        <v>329</v>
      </c>
      <c r="D118" s="31" t="s">
        <v>1242</v>
      </c>
      <c r="E118" s="31" t="s">
        <v>2352</v>
      </c>
      <c r="F118" s="31" t="s">
        <v>23</v>
      </c>
      <c r="G118" s="31" t="s">
        <v>2353</v>
      </c>
      <c r="H118" s="35" t="s">
        <v>33</v>
      </c>
    </row>
    <row r="119" spans="1:8" x14ac:dyDescent="0.35">
      <c r="A119" s="32" t="s">
        <v>2126</v>
      </c>
      <c r="B119" s="32">
        <v>13</v>
      </c>
      <c r="C119" s="32" t="s">
        <v>329</v>
      </c>
      <c r="D119" s="32" t="s">
        <v>1877</v>
      </c>
      <c r="E119" s="32" t="s">
        <v>2354</v>
      </c>
      <c r="F119" s="32" t="s">
        <v>25</v>
      </c>
      <c r="G119" s="32" t="s">
        <v>2355</v>
      </c>
      <c r="H119" s="36" t="s">
        <v>33</v>
      </c>
    </row>
    <row r="120" spans="1:8" ht="23.25" x14ac:dyDescent="0.35">
      <c r="A120" s="31" t="s">
        <v>2126</v>
      </c>
      <c r="B120" s="31">
        <v>14</v>
      </c>
      <c r="C120" s="31" t="s">
        <v>367</v>
      </c>
      <c r="D120" s="31" t="s">
        <v>1879</v>
      </c>
      <c r="E120" s="31" t="s">
        <v>2356</v>
      </c>
      <c r="F120" s="31" t="s">
        <v>21</v>
      </c>
      <c r="G120" s="31" t="s">
        <v>2357</v>
      </c>
      <c r="H120" s="35" t="s">
        <v>33</v>
      </c>
    </row>
    <row r="121" spans="1:8" ht="23.25" x14ac:dyDescent="0.35">
      <c r="A121" s="32" t="s">
        <v>2126</v>
      </c>
      <c r="B121" s="32">
        <v>14</v>
      </c>
      <c r="C121" s="32" t="s">
        <v>367</v>
      </c>
      <c r="D121" s="32" t="s">
        <v>1879</v>
      </c>
      <c r="E121" s="32" t="s">
        <v>2358</v>
      </c>
      <c r="F121" s="32" t="s">
        <v>18</v>
      </c>
      <c r="G121" s="32" t="s">
        <v>2359</v>
      </c>
      <c r="H121" s="36" t="s">
        <v>33</v>
      </c>
    </row>
    <row r="122" spans="1:8" ht="23.25" x14ac:dyDescent="0.35">
      <c r="A122" s="31" t="s">
        <v>2126</v>
      </c>
      <c r="B122" s="31">
        <v>14</v>
      </c>
      <c r="C122" s="31" t="s">
        <v>367</v>
      </c>
      <c r="D122" s="31" t="s">
        <v>1879</v>
      </c>
      <c r="E122" s="31" t="s">
        <v>2360</v>
      </c>
      <c r="F122" s="31" t="s">
        <v>18</v>
      </c>
      <c r="G122" s="31" t="s">
        <v>2361</v>
      </c>
      <c r="H122" s="35" t="s">
        <v>33</v>
      </c>
    </row>
    <row r="123" spans="1:8" ht="23.25" x14ac:dyDescent="0.35">
      <c r="A123" s="32" t="s">
        <v>2126</v>
      </c>
      <c r="B123" s="32">
        <v>14</v>
      </c>
      <c r="C123" s="32" t="s">
        <v>367</v>
      </c>
      <c r="D123" s="32" t="s">
        <v>2362</v>
      </c>
      <c r="E123" s="32" t="s">
        <v>2363</v>
      </c>
      <c r="F123" s="32" t="s">
        <v>25</v>
      </c>
      <c r="G123" s="32" t="s">
        <v>2364</v>
      </c>
      <c r="H123" s="36" t="s">
        <v>34</v>
      </c>
    </row>
    <row r="124" spans="1:8" ht="23.25" x14ac:dyDescent="0.35">
      <c r="A124" s="31" t="s">
        <v>2126</v>
      </c>
      <c r="B124" s="31">
        <v>14</v>
      </c>
      <c r="C124" s="31" t="s">
        <v>367</v>
      </c>
      <c r="D124" s="31" t="s">
        <v>2362</v>
      </c>
      <c r="E124" s="31" t="s">
        <v>2365</v>
      </c>
      <c r="F124" s="31" t="s">
        <v>25</v>
      </c>
      <c r="G124" s="31" t="s">
        <v>2366</v>
      </c>
      <c r="H124" s="35" t="s">
        <v>34</v>
      </c>
    </row>
    <row r="125" spans="1:8" ht="23.25" x14ac:dyDescent="0.35">
      <c r="A125" s="32" t="s">
        <v>2126</v>
      </c>
      <c r="B125" s="32">
        <v>14</v>
      </c>
      <c r="C125" s="32" t="s">
        <v>367</v>
      </c>
      <c r="D125" s="32" t="s">
        <v>2362</v>
      </c>
      <c r="E125" s="32" t="s">
        <v>2367</v>
      </c>
      <c r="F125" s="32" t="s">
        <v>18</v>
      </c>
      <c r="G125" s="32" t="s">
        <v>2368</v>
      </c>
      <c r="H125" s="36" t="s">
        <v>33</v>
      </c>
    </row>
    <row r="126" spans="1:8" ht="23.25" x14ac:dyDescent="0.35">
      <c r="A126" s="31" t="s">
        <v>2126</v>
      </c>
      <c r="B126" s="31">
        <v>14</v>
      </c>
      <c r="C126" s="31" t="s">
        <v>367</v>
      </c>
      <c r="D126" s="31" t="s">
        <v>2362</v>
      </c>
      <c r="E126" s="31" t="s">
        <v>2369</v>
      </c>
      <c r="F126" s="31" t="s">
        <v>21</v>
      </c>
      <c r="G126" s="31" t="s">
        <v>2370</v>
      </c>
      <c r="H126" s="35" t="s">
        <v>33</v>
      </c>
    </row>
    <row r="127" spans="1:8" ht="23.25" x14ac:dyDescent="0.35">
      <c r="A127" s="32" t="s">
        <v>2126</v>
      </c>
      <c r="B127" s="32">
        <v>14</v>
      </c>
      <c r="C127" s="32" t="s">
        <v>367</v>
      </c>
      <c r="D127" s="32" t="s">
        <v>2371</v>
      </c>
      <c r="E127" s="32" t="s">
        <v>2372</v>
      </c>
      <c r="F127" s="32" t="s">
        <v>18</v>
      </c>
      <c r="G127" s="32" t="s">
        <v>2373</v>
      </c>
      <c r="H127" s="36" t="s">
        <v>60</v>
      </c>
    </row>
    <row r="128" spans="1:8" ht="23.25" x14ac:dyDescent="0.35">
      <c r="A128" s="31" t="s">
        <v>2126</v>
      </c>
      <c r="B128" s="31">
        <v>14</v>
      </c>
      <c r="C128" s="31" t="s">
        <v>367</v>
      </c>
      <c r="D128" s="31" t="s">
        <v>1895</v>
      </c>
      <c r="E128" s="31" t="s">
        <v>2374</v>
      </c>
      <c r="F128" s="31" t="s">
        <v>18</v>
      </c>
      <c r="G128" s="31" t="s">
        <v>2375</v>
      </c>
      <c r="H128" s="35" t="s">
        <v>33</v>
      </c>
    </row>
    <row r="129" spans="1:8" ht="23.25" x14ac:dyDescent="0.35">
      <c r="A129" s="32" t="s">
        <v>2126</v>
      </c>
      <c r="B129" s="32">
        <v>15</v>
      </c>
      <c r="C129" s="32" t="s">
        <v>387</v>
      </c>
      <c r="D129" s="32" t="s">
        <v>1251</v>
      </c>
      <c r="E129" s="32" t="s">
        <v>2376</v>
      </c>
      <c r="F129" s="32" t="s">
        <v>25</v>
      </c>
      <c r="G129" s="32" t="s">
        <v>2377</v>
      </c>
      <c r="H129" s="36" t="s">
        <v>33</v>
      </c>
    </row>
    <row r="130" spans="1:8" ht="23.25" x14ac:dyDescent="0.35">
      <c r="A130" s="31" t="s">
        <v>2126</v>
      </c>
      <c r="B130" s="31">
        <v>15</v>
      </c>
      <c r="C130" s="31" t="s">
        <v>387</v>
      </c>
      <c r="D130" s="31" t="s">
        <v>1251</v>
      </c>
      <c r="E130" s="31" t="s">
        <v>2378</v>
      </c>
      <c r="F130" s="31" t="s">
        <v>18</v>
      </c>
      <c r="G130" s="31" t="s">
        <v>2379</v>
      </c>
      <c r="H130" s="35" t="s">
        <v>33</v>
      </c>
    </row>
    <row r="131" spans="1:8" ht="23.25" x14ac:dyDescent="0.35">
      <c r="A131" s="32" t="s">
        <v>2126</v>
      </c>
      <c r="B131" s="32">
        <v>15</v>
      </c>
      <c r="C131" s="32" t="s">
        <v>387</v>
      </c>
      <c r="D131" s="32" t="s">
        <v>1251</v>
      </c>
      <c r="E131" s="32" t="s">
        <v>2380</v>
      </c>
      <c r="F131" s="32" t="s">
        <v>18</v>
      </c>
      <c r="G131" s="32" t="s">
        <v>2381</v>
      </c>
      <c r="H131" s="36" t="s">
        <v>33</v>
      </c>
    </row>
    <row r="132" spans="1:8" ht="23.25" x14ac:dyDescent="0.35">
      <c r="A132" s="31" t="s">
        <v>2126</v>
      </c>
      <c r="B132" s="31">
        <v>15</v>
      </c>
      <c r="C132" s="31" t="s">
        <v>387</v>
      </c>
      <c r="D132" s="31" t="s">
        <v>1251</v>
      </c>
      <c r="E132" s="31" t="s">
        <v>2382</v>
      </c>
      <c r="F132" s="31" t="s">
        <v>18</v>
      </c>
      <c r="G132" s="31" t="s">
        <v>2383</v>
      </c>
      <c r="H132" s="35" t="s">
        <v>33</v>
      </c>
    </row>
    <row r="133" spans="1:8" ht="23.25" x14ac:dyDescent="0.35">
      <c r="A133" s="32" t="s">
        <v>2126</v>
      </c>
      <c r="B133" s="32">
        <v>15</v>
      </c>
      <c r="C133" s="32" t="s">
        <v>387</v>
      </c>
      <c r="D133" s="32" t="s">
        <v>1913</v>
      </c>
      <c r="E133" s="32" t="s">
        <v>2384</v>
      </c>
      <c r="F133" s="32" t="s">
        <v>18</v>
      </c>
      <c r="G133" s="32" t="s">
        <v>2385</v>
      </c>
      <c r="H133" s="36" t="s">
        <v>33</v>
      </c>
    </row>
    <row r="134" spans="1:8" ht="23.25" x14ac:dyDescent="0.35">
      <c r="A134" s="31" t="s">
        <v>2126</v>
      </c>
      <c r="B134" s="31">
        <v>15</v>
      </c>
      <c r="C134" s="31" t="s">
        <v>387</v>
      </c>
      <c r="D134" s="31" t="s">
        <v>1919</v>
      </c>
      <c r="E134" s="31" t="s">
        <v>2386</v>
      </c>
      <c r="F134" s="31" t="s">
        <v>25</v>
      </c>
      <c r="G134" s="31" t="s">
        <v>2387</v>
      </c>
      <c r="H134" s="35" t="s">
        <v>33</v>
      </c>
    </row>
    <row r="135" spans="1:8" ht="23.25" x14ac:dyDescent="0.35">
      <c r="A135" s="32" t="s">
        <v>2126</v>
      </c>
      <c r="B135" s="32">
        <v>15</v>
      </c>
      <c r="C135" s="32" t="s">
        <v>387</v>
      </c>
      <c r="D135" s="32" t="s">
        <v>574</v>
      </c>
      <c r="E135" s="32" t="s">
        <v>2388</v>
      </c>
      <c r="F135" s="32" t="s">
        <v>25</v>
      </c>
      <c r="G135" s="32" t="s">
        <v>2389</v>
      </c>
      <c r="H135" s="36" t="s">
        <v>33</v>
      </c>
    </row>
    <row r="136" spans="1:8" ht="23.25" x14ac:dyDescent="0.35">
      <c r="A136" s="31" t="s">
        <v>2126</v>
      </c>
      <c r="B136" s="31">
        <v>15</v>
      </c>
      <c r="C136" s="31" t="s">
        <v>387</v>
      </c>
      <c r="D136" s="31" t="s">
        <v>574</v>
      </c>
      <c r="E136" s="31" t="s">
        <v>2390</v>
      </c>
      <c r="F136" s="31" t="s">
        <v>23</v>
      </c>
      <c r="G136" s="31" t="s">
        <v>2391</v>
      </c>
      <c r="H136" s="35" t="s">
        <v>60</v>
      </c>
    </row>
    <row r="137" spans="1:8" ht="23.25" x14ac:dyDescent="0.35">
      <c r="A137" s="32" t="s">
        <v>2126</v>
      </c>
      <c r="B137" s="32">
        <v>15</v>
      </c>
      <c r="C137" s="32" t="s">
        <v>387</v>
      </c>
      <c r="D137" s="32" t="s">
        <v>574</v>
      </c>
      <c r="E137" s="32" t="s">
        <v>2390</v>
      </c>
      <c r="F137" s="32" t="s">
        <v>18</v>
      </c>
      <c r="G137" s="32" t="s">
        <v>2392</v>
      </c>
      <c r="H137" s="36" t="s">
        <v>33</v>
      </c>
    </row>
    <row r="138" spans="1:8" ht="23.25" x14ac:dyDescent="0.35">
      <c r="A138" s="31" t="s">
        <v>2126</v>
      </c>
      <c r="B138" s="31">
        <v>15</v>
      </c>
      <c r="C138" s="31" t="s">
        <v>387</v>
      </c>
      <c r="D138" s="31" t="s">
        <v>2393</v>
      </c>
      <c r="E138" s="31" t="s">
        <v>2394</v>
      </c>
      <c r="F138" s="31" t="s">
        <v>18</v>
      </c>
      <c r="G138" s="31" t="s">
        <v>2395</v>
      </c>
      <c r="H138" s="35" t="s">
        <v>33</v>
      </c>
    </row>
    <row r="139" spans="1:8" ht="23.25" x14ac:dyDescent="0.35">
      <c r="A139" s="32" t="s">
        <v>2126</v>
      </c>
      <c r="B139" s="32">
        <v>15</v>
      </c>
      <c r="C139" s="32" t="s">
        <v>387</v>
      </c>
      <c r="D139" s="32" t="s">
        <v>1928</v>
      </c>
      <c r="E139" s="32" t="s">
        <v>2396</v>
      </c>
      <c r="F139" s="32" t="s">
        <v>21</v>
      </c>
      <c r="G139" s="32" t="s">
        <v>2397</v>
      </c>
      <c r="H139" s="36" t="s">
        <v>33</v>
      </c>
    </row>
    <row r="140" spans="1:8" ht="23.25" x14ac:dyDescent="0.35">
      <c r="A140" s="31" t="s">
        <v>2126</v>
      </c>
      <c r="B140" s="31">
        <v>15</v>
      </c>
      <c r="C140" s="31" t="s">
        <v>387</v>
      </c>
      <c r="D140" s="31" t="s">
        <v>1931</v>
      </c>
      <c r="E140" s="31" t="s">
        <v>2398</v>
      </c>
      <c r="F140" s="31" t="s">
        <v>25</v>
      </c>
      <c r="G140" s="31" t="s">
        <v>2399</v>
      </c>
      <c r="H140" s="35" t="s">
        <v>34</v>
      </c>
    </row>
    <row r="141" spans="1:8" ht="23.25" x14ac:dyDescent="0.35">
      <c r="A141" s="32" t="s">
        <v>2126</v>
      </c>
      <c r="B141" s="32">
        <v>15</v>
      </c>
      <c r="C141" s="32" t="s">
        <v>387</v>
      </c>
      <c r="D141" s="32" t="s">
        <v>1931</v>
      </c>
      <c r="E141" s="32" t="s">
        <v>2400</v>
      </c>
      <c r="F141" s="32" t="s">
        <v>25</v>
      </c>
      <c r="G141" s="32" t="s">
        <v>2401</v>
      </c>
      <c r="H141" s="36" t="s">
        <v>34</v>
      </c>
    </row>
    <row r="142" spans="1:8" ht="23.25" x14ac:dyDescent="0.35">
      <c r="A142" s="31" t="s">
        <v>2126</v>
      </c>
      <c r="B142" s="31">
        <v>15</v>
      </c>
      <c r="C142" s="31" t="s">
        <v>387</v>
      </c>
      <c r="D142" s="31" t="s">
        <v>1936</v>
      </c>
      <c r="E142" s="31" t="s">
        <v>2402</v>
      </c>
      <c r="F142" s="31" t="s">
        <v>25</v>
      </c>
      <c r="G142" s="31" t="s">
        <v>2403</v>
      </c>
      <c r="H142" s="35" t="s">
        <v>34</v>
      </c>
    </row>
    <row r="143" spans="1:8" ht="23.25" x14ac:dyDescent="0.35">
      <c r="A143" s="32" t="s">
        <v>2126</v>
      </c>
      <c r="B143" s="32">
        <v>15</v>
      </c>
      <c r="C143" s="32" t="s">
        <v>387</v>
      </c>
      <c r="D143" s="32" t="s">
        <v>1936</v>
      </c>
      <c r="E143" s="32" t="s">
        <v>2404</v>
      </c>
      <c r="F143" s="32" t="s">
        <v>25</v>
      </c>
      <c r="G143" s="32" t="s">
        <v>2405</v>
      </c>
      <c r="H143" s="36" t="s">
        <v>34</v>
      </c>
    </row>
    <row r="144" spans="1:8" ht="23.25" x14ac:dyDescent="0.35">
      <c r="A144" s="31" t="s">
        <v>2126</v>
      </c>
      <c r="B144" s="31">
        <v>15</v>
      </c>
      <c r="C144" s="31" t="s">
        <v>387</v>
      </c>
      <c r="D144" s="31" t="s">
        <v>1944</v>
      </c>
      <c r="E144" s="31" t="s">
        <v>2406</v>
      </c>
      <c r="F144" s="31" t="s">
        <v>25</v>
      </c>
      <c r="G144" s="31" t="s">
        <v>2407</v>
      </c>
      <c r="H144" s="35" t="s">
        <v>33</v>
      </c>
    </row>
    <row r="145" spans="1:8" ht="23.25" x14ac:dyDescent="0.35">
      <c r="A145" s="32" t="s">
        <v>2126</v>
      </c>
      <c r="B145" s="32">
        <v>15</v>
      </c>
      <c r="C145" s="32" t="s">
        <v>387</v>
      </c>
      <c r="D145" s="32" t="s">
        <v>1944</v>
      </c>
      <c r="E145" s="32" t="s">
        <v>2408</v>
      </c>
      <c r="F145" s="32" t="s">
        <v>25</v>
      </c>
      <c r="G145" s="32" t="s">
        <v>2409</v>
      </c>
      <c r="H145" s="36" t="s">
        <v>33</v>
      </c>
    </row>
    <row r="146" spans="1:8" ht="23.25" x14ac:dyDescent="0.35">
      <c r="A146" s="31" t="s">
        <v>2126</v>
      </c>
      <c r="B146" s="31">
        <v>16</v>
      </c>
      <c r="C146" s="31" t="s">
        <v>417</v>
      </c>
      <c r="D146" s="31" t="s">
        <v>2410</v>
      </c>
      <c r="E146" s="31" t="s">
        <v>2411</v>
      </c>
      <c r="F146" s="31" t="s">
        <v>19</v>
      </c>
      <c r="G146" s="31" t="s">
        <v>2412</v>
      </c>
      <c r="H146" s="35" t="s">
        <v>33</v>
      </c>
    </row>
    <row r="147" spans="1:8" ht="23.25" x14ac:dyDescent="0.35">
      <c r="A147" s="32" t="s">
        <v>2126</v>
      </c>
      <c r="B147" s="32">
        <v>16</v>
      </c>
      <c r="C147" s="32" t="s">
        <v>417</v>
      </c>
      <c r="D147" s="32" t="s">
        <v>2410</v>
      </c>
      <c r="E147" s="32" t="s">
        <v>2413</v>
      </c>
      <c r="F147" s="32" t="s">
        <v>21</v>
      </c>
      <c r="G147" s="32" t="s">
        <v>2414</v>
      </c>
      <c r="H147" s="36" t="s">
        <v>33</v>
      </c>
    </row>
    <row r="148" spans="1:8" ht="23.25" x14ac:dyDescent="0.35">
      <c r="A148" s="31" t="s">
        <v>2126</v>
      </c>
      <c r="B148" s="31">
        <v>16</v>
      </c>
      <c r="C148" s="31" t="s">
        <v>417</v>
      </c>
      <c r="D148" s="31" t="s">
        <v>2410</v>
      </c>
      <c r="E148" s="31" t="s">
        <v>2413</v>
      </c>
      <c r="F148" s="31" t="s">
        <v>25</v>
      </c>
      <c r="G148" s="31" t="s">
        <v>2415</v>
      </c>
      <c r="H148" s="35" t="s">
        <v>33</v>
      </c>
    </row>
    <row r="149" spans="1:8" ht="23.25" x14ac:dyDescent="0.35">
      <c r="A149" s="32" t="s">
        <v>2126</v>
      </c>
      <c r="B149" s="32">
        <v>16</v>
      </c>
      <c r="C149" s="32" t="s">
        <v>417</v>
      </c>
      <c r="D149" s="32" t="s">
        <v>2410</v>
      </c>
      <c r="E149" s="32" t="s">
        <v>2416</v>
      </c>
      <c r="F149" s="32" t="s">
        <v>25</v>
      </c>
      <c r="G149" s="32" t="s">
        <v>2417</v>
      </c>
      <c r="H149" s="36" t="s">
        <v>33</v>
      </c>
    </row>
    <row r="150" spans="1:8" ht="23.25" x14ac:dyDescent="0.35">
      <c r="A150" s="31" t="s">
        <v>2126</v>
      </c>
      <c r="B150" s="31">
        <v>16</v>
      </c>
      <c r="C150" s="31" t="s">
        <v>417</v>
      </c>
      <c r="D150" s="31" t="s">
        <v>1957</v>
      </c>
      <c r="E150" s="31" t="s">
        <v>2418</v>
      </c>
      <c r="F150" s="31" t="s">
        <v>18</v>
      </c>
      <c r="G150" s="31" t="s">
        <v>2419</v>
      </c>
      <c r="H150" s="35" t="s">
        <v>33</v>
      </c>
    </row>
    <row r="151" spans="1:8" ht="23.25" x14ac:dyDescent="0.35">
      <c r="A151" s="32" t="s">
        <v>2126</v>
      </c>
      <c r="B151" s="32">
        <v>16</v>
      </c>
      <c r="C151" s="32" t="s">
        <v>417</v>
      </c>
      <c r="D151" s="32" t="s">
        <v>1961</v>
      </c>
      <c r="E151" s="32" t="s">
        <v>2420</v>
      </c>
      <c r="F151" s="32" t="s">
        <v>25</v>
      </c>
      <c r="G151" s="32" t="s">
        <v>2421</v>
      </c>
      <c r="H151" s="36" t="s">
        <v>33</v>
      </c>
    </row>
    <row r="152" spans="1:8" ht="23.25" x14ac:dyDescent="0.35">
      <c r="A152" s="31" t="s">
        <v>2126</v>
      </c>
      <c r="B152" s="31">
        <v>16</v>
      </c>
      <c r="C152" s="31" t="s">
        <v>417</v>
      </c>
      <c r="D152" s="31" t="s">
        <v>1969</v>
      </c>
      <c r="E152" s="31" t="s">
        <v>2422</v>
      </c>
      <c r="F152" s="31" t="s">
        <v>18</v>
      </c>
      <c r="G152" s="31" t="s">
        <v>2423</v>
      </c>
      <c r="H152" s="35" t="s">
        <v>33</v>
      </c>
    </row>
    <row r="153" spans="1:8" ht="23.25" x14ac:dyDescent="0.35">
      <c r="A153" s="32" t="s">
        <v>2126</v>
      </c>
      <c r="B153" s="32">
        <v>16</v>
      </c>
      <c r="C153" s="32" t="s">
        <v>417</v>
      </c>
      <c r="D153" s="32" t="s">
        <v>1969</v>
      </c>
      <c r="E153" s="32" t="s">
        <v>2424</v>
      </c>
      <c r="F153" s="32" t="s">
        <v>18</v>
      </c>
      <c r="G153" s="32" t="s">
        <v>2425</v>
      </c>
      <c r="H153" s="36" t="s">
        <v>33</v>
      </c>
    </row>
    <row r="154" spans="1:8" ht="23.25" x14ac:dyDescent="0.35">
      <c r="A154" s="31" t="s">
        <v>2126</v>
      </c>
      <c r="B154" s="31">
        <v>16</v>
      </c>
      <c r="C154" s="31" t="s">
        <v>417</v>
      </c>
      <c r="D154" s="31" t="s">
        <v>1969</v>
      </c>
      <c r="E154" s="31" t="s">
        <v>2424</v>
      </c>
      <c r="F154" s="31" t="s">
        <v>19</v>
      </c>
      <c r="G154" s="31" t="s">
        <v>2426</v>
      </c>
      <c r="H154" s="35" t="s">
        <v>33</v>
      </c>
    </row>
    <row r="155" spans="1:8" ht="23.25" x14ac:dyDescent="0.35">
      <c r="A155" s="32" t="s">
        <v>2126</v>
      </c>
      <c r="B155" s="32">
        <v>16</v>
      </c>
      <c r="C155" s="32" t="s">
        <v>417</v>
      </c>
      <c r="D155" s="32" t="s">
        <v>1974</v>
      </c>
      <c r="E155" s="32" t="s">
        <v>2427</v>
      </c>
      <c r="F155" s="32" t="s">
        <v>25</v>
      </c>
      <c r="G155" s="32" t="s">
        <v>2428</v>
      </c>
      <c r="H155" s="36" t="s">
        <v>34</v>
      </c>
    </row>
    <row r="156" spans="1:8" ht="23.25" x14ac:dyDescent="0.35">
      <c r="A156" s="31" t="s">
        <v>2126</v>
      </c>
      <c r="B156" s="31">
        <v>16</v>
      </c>
      <c r="C156" s="31" t="s">
        <v>417</v>
      </c>
      <c r="D156" s="31" t="s">
        <v>1974</v>
      </c>
      <c r="E156" s="31" t="s">
        <v>2429</v>
      </c>
      <c r="F156" s="31" t="s">
        <v>19</v>
      </c>
      <c r="G156" s="31" t="s">
        <v>2412</v>
      </c>
      <c r="H156" s="35" t="s">
        <v>33</v>
      </c>
    </row>
    <row r="157" spans="1:8" x14ac:dyDescent="0.35">
      <c r="A157" s="32" t="s">
        <v>2126</v>
      </c>
      <c r="B157" s="32">
        <v>17</v>
      </c>
      <c r="C157" s="32" t="s">
        <v>442</v>
      </c>
      <c r="D157" s="32" t="s">
        <v>1989</v>
      </c>
      <c r="E157" s="32" t="s">
        <v>2430</v>
      </c>
      <c r="F157" s="32" t="s">
        <v>23</v>
      </c>
      <c r="G157" s="32" t="s">
        <v>2431</v>
      </c>
      <c r="H157" s="36" t="s">
        <v>33</v>
      </c>
    </row>
    <row r="158" spans="1:8" x14ac:dyDescent="0.35">
      <c r="A158" s="31" t="s">
        <v>2126</v>
      </c>
      <c r="B158" s="31">
        <v>17</v>
      </c>
      <c r="C158" s="31" t="s">
        <v>442</v>
      </c>
      <c r="D158" s="31" t="s">
        <v>1989</v>
      </c>
      <c r="E158" s="31" t="s">
        <v>2432</v>
      </c>
      <c r="F158" s="31" t="s">
        <v>19</v>
      </c>
      <c r="G158" s="31" t="s">
        <v>2433</v>
      </c>
      <c r="H158" s="35" t="s">
        <v>33</v>
      </c>
    </row>
    <row r="159" spans="1:8" x14ac:dyDescent="0.35">
      <c r="A159" s="32" t="s">
        <v>2126</v>
      </c>
      <c r="B159" s="32">
        <v>17</v>
      </c>
      <c r="C159" s="32" t="s">
        <v>442</v>
      </c>
      <c r="D159" s="32" t="s">
        <v>1989</v>
      </c>
      <c r="E159" s="32" t="s">
        <v>2434</v>
      </c>
      <c r="F159" s="32" t="s">
        <v>21</v>
      </c>
      <c r="G159" s="32" t="s">
        <v>2435</v>
      </c>
      <c r="H159" s="36" t="s">
        <v>33</v>
      </c>
    </row>
    <row r="160" spans="1:8" x14ac:dyDescent="0.35">
      <c r="A160" s="31" t="s">
        <v>2126</v>
      </c>
      <c r="B160" s="31">
        <v>17</v>
      </c>
      <c r="C160" s="31" t="s">
        <v>442</v>
      </c>
      <c r="D160" s="31" t="s">
        <v>2006</v>
      </c>
      <c r="E160" s="31" t="s">
        <v>2436</v>
      </c>
      <c r="F160" s="31" t="s">
        <v>25</v>
      </c>
      <c r="G160" s="31" t="s">
        <v>2437</v>
      </c>
      <c r="H160" s="35" t="s">
        <v>60</v>
      </c>
    </row>
    <row r="161" spans="1:8" x14ac:dyDescent="0.35">
      <c r="A161" s="32" t="s">
        <v>2126</v>
      </c>
      <c r="B161" s="32">
        <v>17</v>
      </c>
      <c r="C161" s="32" t="s">
        <v>442</v>
      </c>
      <c r="D161" s="32" t="s">
        <v>2021</v>
      </c>
      <c r="E161" s="32" t="s">
        <v>2438</v>
      </c>
      <c r="F161" s="32" t="s">
        <v>21</v>
      </c>
      <c r="G161" s="32" t="s">
        <v>2439</v>
      </c>
      <c r="H161" s="36" t="s">
        <v>33</v>
      </c>
    </row>
    <row r="162" spans="1:8" x14ac:dyDescent="0.35">
      <c r="A162" s="31" t="s">
        <v>2126</v>
      </c>
      <c r="B162" s="31">
        <v>18</v>
      </c>
      <c r="C162" s="31" t="s">
        <v>472</v>
      </c>
      <c r="D162" s="31"/>
      <c r="E162" s="31" t="s">
        <v>2440</v>
      </c>
      <c r="F162" s="31" t="s">
        <v>20</v>
      </c>
      <c r="G162" s="31" t="s">
        <v>1626</v>
      </c>
      <c r="H162" s="35" t="s">
        <v>33</v>
      </c>
    </row>
    <row r="163" spans="1:8" x14ac:dyDescent="0.35">
      <c r="A163" s="32" t="s">
        <v>2126</v>
      </c>
      <c r="B163" s="32">
        <v>18</v>
      </c>
      <c r="C163" s="32" t="s">
        <v>472</v>
      </c>
      <c r="D163" s="32"/>
      <c r="E163" s="32" t="s">
        <v>2441</v>
      </c>
      <c r="F163" s="32" t="s">
        <v>25</v>
      </c>
      <c r="G163" s="32" t="s">
        <v>2442</v>
      </c>
      <c r="H163" s="36" t="s">
        <v>34</v>
      </c>
    </row>
    <row r="164" spans="1:8" x14ac:dyDescent="0.35">
      <c r="A164" s="31" t="s">
        <v>2126</v>
      </c>
      <c r="B164" s="31">
        <v>18</v>
      </c>
      <c r="C164" s="31" t="s">
        <v>472</v>
      </c>
      <c r="D164" s="31"/>
      <c r="E164" s="31" t="s">
        <v>2443</v>
      </c>
      <c r="F164" s="31" t="s">
        <v>25</v>
      </c>
      <c r="G164" s="31" t="s">
        <v>2444</v>
      </c>
      <c r="H164" s="35" t="s">
        <v>33</v>
      </c>
    </row>
    <row r="165" spans="1:8" x14ac:dyDescent="0.35">
      <c r="A165" s="32" t="s">
        <v>2126</v>
      </c>
      <c r="B165" s="32">
        <v>18</v>
      </c>
      <c r="C165" s="32" t="s">
        <v>472</v>
      </c>
      <c r="D165" s="32"/>
      <c r="E165" s="32" t="s">
        <v>2445</v>
      </c>
      <c r="F165" s="32" t="s">
        <v>21</v>
      </c>
      <c r="G165" s="32" t="s">
        <v>2446</v>
      </c>
      <c r="H165" s="36" t="s">
        <v>33</v>
      </c>
    </row>
    <row r="166" spans="1:8" x14ac:dyDescent="0.35">
      <c r="A166" s="31" t="s">
        <v>2126</v>
      </c>
      <c r="B166" s="31">
        <v>18</v>
      </c>
      <c r="C166" s="31" t="s">
        <v>472</v>
      </c>
      <c r="D166" s="31" t="s">
        <v>2031</v>
      </c>
      <c r="E166" s="31" t="s">
        <v>2447</v>
      </c>
      <c r="F166" s="31" t="s">
        <v>25</v>
      </c>
      <c r="G166" s="31" t="s">
        <v>2448</v>
      </c>
      <c r="H166" s="35" t="s">
        <v>33</v>
      </c>
    </row>
    <row r="167" spans="1:8" x14ac:dyDescent="0.35">
      <c r="A167" s="32" t="s">
        <v>2126</v>
      </c>
      <c r="B167" s="32">
        <v>18</v>
      </c>
      <c r="C167" s="32" t="s">
        <v>472</v>
      </c>
      <c r="D167" s="32" t="s">
        <v>2031</v>
      </c>
      <c r="E167" s="32" t="s">
        <v>2449</v>
      </c>
      <c r="F167" s="32" t="s">
        <v>21</v>
      </c>
      <c r="G167" s="32" t="s">
        <v>2450</v>
      </c>
      <c r="H167" s="36" t="s">
        <v>60</v>
      </c>
    </row>
    <row r="168" spans="1:8" x14ac:dyDescent="0.35">
      <c r="A168" s="31" t="s">
        <v>2126</v>
      </c>
      <c r="B168" s="31">
        <v>18</v>
      </c>
      <c r="C168" s="31" t="s">
        <v>472</v>
      </c>
      <c r="D168" s="31" t="s">
        <v>2031</v>
      </c>
      <c r="E168" s="31" t="s">
        <v>2451</v>
      </c>
      <c r="F168" s="31" t="s">
        <v>21</v>
      </c>
      <c r="G168" s="31" t="s">
        <v>2452</v>
      </c>
      <c r="H168" s="35" t="s">
        <v>33</v>
      </c>
    </row>
    <row r="169" spans="1:8" x14ac:dyDescent="0.35">
      <c r="A169" s="32" t="s">
        <v>2126</v>
      </c>
      <c r="B169" s="32">
        <v>18</v>
      </c>
      <c r="C169" s="32" t="s">
        <v>472</v>
      </c>
      <c r="D169" s="32" t="s">
        <v>2045</v>
      </c>
      <c r="E169" s="32" t="s">
        <v>2453</v>
      </c>
      <c r="F169" s="32" t="s">
        <v>25</v>
      </c>
      <c r="G169" s="32" t="s">
        <v>2454</v>
      </c>
      <c r="H169" s="36" t="s">
        <v>33</v>
      </c>
    </row>
    <row r="170" spans="1:8" x14ac:dyDescent="0.35">
      <c r="A170" s="31" t="s">
        <v>2126</v>
      </c>
      <c r="B170" s="31">
        <v>18</v>
      </c>
      <c r="C170" s="31" t="s">
        <v>472</v>
      </c>
      <c r="D170" s="31" t="s">
        <v>2045</v>
      </c>
      <c r="E170" s="31" t="s">
        <v>2455</v>
      </c>
      <c r="F170" s="31" t="s">
        <v>18</v>
      </c>
      <c r="G170" s="31" t="s">
        <v>2456</v>
      </c>
      <c r="H170" s="35" t="s">
        <v>33</v>
      </c>
    </row>
    <row r="171" spans="1:8" x14ac:dyDescent="0.35">
      <c r="A171" s="32" t="s">
        <v>2126</v>
      </c>
      <c r="B171" s="32">
        <v>18</v>
      </c>
      <c r="C171" s="32" t="s">
        <v>472</v>
      </c>
      <c r="D171" s="32" t="s">
        <v>2045</v>
      </c>
      <c r="E171" s="32" t="s">
        <v>2457</v>
      </c>
      <c r="F171" s="32" t="s">
        <v>18</v>
      </c>
      <c r="G171" s="32" t="s">
        <v>2458</v>
      </c>
      <c r="H171" s="36" t="s">
        <v>33</v>
      </c>
    </row>
    <row r="172" spans="1:8" ht="23.25" x14ac:dyDescent="0.35">
      <c r="A172" s="31" t="s">
        <v>2126</v>
      </c>
      <c r="B172" s="31">
        <v>18</v>
      </c>
      <c r="C172" s="31" t="s">
        <v>472</v>
      </c>
      <c r="D172" s="31" t="s">
        <v>2045</v>
      </c>
      <c r="E172" s="31" t="s">
        <v>2459</v>
      </c>
      <c r="F172" s="31" t="s">
        <v>25</v>
      </c>
      <c r="G172" s="31" t="s">
        <v>2460</v>
      </c>
      <c r="H172" s="35" t="s">
        <v>34</v>
      </c>
    </row>
    <row r="173" spans="1:8" x14ac:dyDescent="0.35">
      <c r="A173" s="32" t="s">
        <v>2126</v>
      </c>
      <c r="B173" s="32">
        <v>18</v>
      </c>
      <c r="C173" s="32" t="s">
        <v>472</v>
      </c>
      <c r="D173" s="32" t="s">
        <v>2047</v>
      </c>
      <c r="E173" s="32" t="s">
        <v>2461</v>
      </c>
      <c r="F173" s="32" t="s">
        <v>25</v>
      </c>
      <c r="G173" s="32" t="s">
        <v>2462</v>
      </c>
      <c r="H173" s="36" t="s">
        <v>33</v>
      </c>
    </row>
    <row r="174" spans="1:8" x14ac:dyDescent="0.35">
      <c r="A174" s="31" t="s">
        <v>2126</v>
      </c>
      <c r="B174" s="31">
        <v>19</v>
      </c>
      <c r="C174" s="31" t="s">
        <v>496</v>
      </c>
      <c r="D174" s="31" t="s">
        <v>2059</v>
      </c>
      <c r="E174" s="31" t="s">
        <v>2463</v>
      </c>
      <c r="F174" s="31" t="s">
        <v>25</v>
      </c>
      <c r="G174" s="31" t="s">
        <v>2464</v>
      </c>
      <c r="H174" s="35" t="s">
        <v>33</v>
      </c>
    </row>
    <row r="175" spans="1:8" x14ac:dyDescent="0.35">
      <c r="A175" s="32" t="s">
        <v>2126</v>
      </c>
      <c r="B175" s="32">
        <v>19</v>
      </c>
      <c r="C175" s="32" t="s">
        <v>496</v>
      </c>
      <c r="D175" s="32" t="s">
        <v>2059</v>
      </c>
      <c r="E175" s="32" t="s">
        <v>2465</v>
      </c>
      <c r="F175" s="32" t="s">
        <v>21</v>
      </c>
      <c r="G175" s="32" t="s">
        <v>2466</v>
      </c>
      <c r="H175" s="36" t="s">
        <v>33</v>
      </c>
    </row>
    <row r="176" spans="1:8" x14ac:dyDescent="0.35">
      <c r="A176" s="31" t="s">
        <v>2126</v>
      </c>
      <c r="B176" s="31">
        <v>19</v>
      </c>
      <c r="C176" s="31" t="s">
        <v>496</v>
      </c>
      <c r="D176" s="31" t="s">
        <v>2059</v>
      </c>
      <c r="E176" s="31" t="s">
        <v>2467</v>
      </c>
      <c r="F176" s="31" t="s">
        <v>18</v>
      </c>
      <c r="G176" s="31" t="s">
        <v>2468</v>
      </c>
      <c r="H176" s="35" t="s">
        <v>33</v>
      </c>
    </row>
    <row r="177" spans="1:8" x14ac:dyDescent="0.35">
      <c r="A177" s="32" t="s">
        <v>2126</v>
      </c>
      <c r="B177" s="32">
        <v>19</v>
      </c>
      <c r="C177" s="32" t="s">
        <v>496</v>
      </c>
      <c r="D177" s="32" t="s">
        <v>2059</v>
      </c>
      <c r="E177" s="32" t="s">
        <v>2469</v>
      </c>
      <c r="F177" s="32" t="s">
        <v>18</v>
      </c>
      <c r="G177" s="32" t="s">
        <v>2470</v>
      </c>
      <c r="H177" s="36" t="s">
        <v>33</v>
      </c>
    </row>
    <row r="178" spans="1:8" x14ac:dyDescent="0.35">
      <c r="A178" s="31" t="s">
        <v>2126</v>
      </c>
      <c r="B178" s="31">
        <v>19</v>
      </c>
      <c r="C178" s="31" t="s">
        <v>496</v>
      </c>
      <c r="D178" s="31" t="s">
        <v>1276</v>
      </c>
      <c r="E178" s="31" t="s">
        <v>2471</v>
      </c>
      <c r="F178" s="31" t="s">
        <v>25</v>
      </c>
      <c r="G178" s="31" t="s">
        <v>2464</v>
      </c>
      <c r="H178" s="35" t="s">
        <v>33</v>
      </c>
    </row>
    <row r="179" spans="1:8" x14ac:dyDescent="0.35">
      <c r="A179" s="32" t="s">
        <v>2126</v>
      </c>
      <c r="B179" s="32">
        <v>20</v>
      </c>
      <c r="C179" s="32" t="s">
        <v>519</v>
      </c>
      <c r="D179" s="32" t="s">
        <v>2084</v>
      </c>
      <c r="E179" s="32" t="s">
        <v>2472</v>
      </c>
      <c r="F179" s="32" t="s">
        <v>21</v>
      </c>
      <c r="G179" s="32" t="s">
        <v>2473</v>
      </c>
      <c r="H179" s="36" t="s">
        <v>33</v>
      </c>
    </row>
    <row r="180" spans="1:8" x14ac:dyDescent="0.35">
      <c r="A180" s="31" t="s">
        <v>2126</v>
      </c>
      <c r="B180" s="31">
        <v>20</v>
      </c>
      <c r="C180" s="31" t="s">
        <v>519</v>
      </c>
      <c r="D180" s="31" t="s">
        <v>2091</v>
      </c>
      <c r="E180" s="31" t="s">
        <v>2474</v>
      </c>
      <c r="F180" s="31" t="s">
        <v>25</v>
      </c>
      <c r="G180" s="31" t="s">
        <v>2475</v>
      </c>
      <c r="H180" s="35" t="s">
        <v>33</v>
      </c>
    </row>
    <row r="181" spans="1:8" x14ac:dyDescent="0.35">
      <c r="A181" s="32" t="s">
        <v>2126</v>
      </c>
      <c r="B181" s="32">
        <v>20</v>
      </c>
      <c r="C181" s="32" t="s">
        <v>519</v>
      </c>
      <c r="D181" s="32" t="s">
        <v>2091</v>
      </c>
      <c r="E181" s="32" t="s">
        <v>2476</v>
      </c>
      <c r="F181" s="32" t="s">
        <v>21</v>
      </c>
      <c r="G181" s="32" t="s">
        <v>2473</v>
      </c>
      <c r="H181" s="36" t="s">
        <v>33</v>
      </c>
    </row>
    <row r="182" spans="1:8" x14ac:dyDescent="0.35">
      <c r="A182" s="31" t="s">
        <v>2126</v>
      </c>
      <c r="B182" s="31">
        <v>20</v>
      </c>
      <c r="C182" s="31" t="s">
        <v>519</v>
      </c>
      <c r="D182" s="31" t="s">
        <v>2477</v>
      </c>
      <c r="E182" s="31" t="s">
        <v>2478</v>
      </c>
      <c r="F182" s="31" t="s">
        <v>25</v>
      </c>
      <c r="G182" s="31" t="s">
        <v>2479</v>
      </c>
      <c r="H182" s="35" t="s">
        <v>34</v>
      </c>
    </row>
    <row r="183" spans="1:8" x14ac:dyDescent="0.35">
      <c r="A183" s="32" t="s">
        <v>2126</v>
      </c>
      <c r="B183" s="32">
        <v>20</v>
      </c>
      <c r="C183" s="32" t="s">
        <v>519</v>
      </c>
      <c r="D183" s="32" t="s">
        <v>2477</v>
      </c>
      <c r="E183" s="32" t="s">
        <v>2480</v>
      </c>
      <c r="F183" s="32" t="s">
        <v>25</v>
      </c>
      <c r="G183" s="32" t="s">
        <v>2481</v>
      </c>
      <c r="H183" s="36" t="s">
        <v>34</v>
      </c>
    </row>
    <row r="184" spans="1:8" x14ac:dyDescent="0.35">
      <c r="A184" s="31" t="s">
        <v>2126</v>
      </c>
      <c r="B184" s="31">
        <v>20</v>
      </c>
      <c r="C184" s="31" t="s">
        <v>519</v>
      </c>
      <c r="D184" s="31" t="s">
        <v>2477</v>
      </c>
      <c r="E184" s="31" t="s">
        <v>2482</v>
      </c>
      <c r="F184" s="31" t="s">
        <v>25</v>
      </c>
      <c r="G184" s="31" t="s">
        <v>2483</v>
      </c>
      <c r="H184" s="35" t="s">
        <v>34</v>
      </c>
    </row>
    <row r="185" spans="1:8" x14ac:dyDescent="0.35">
      <c r="A185" s="32" t="s">
        <v>2126</v>
      </c>
      <c r="B185" s="32">
        <v>20</v>
      </c>
      <c r="C185" s="32" t="s">
        <v>519</v>
      </c>
      <c r="D185" s="32" t="s">
        <v>2477</v>
      </c>
      <c r="E185" s="32" t="s">
        <v>2484</v>
      </c>
      <c r="F185" s="32" t="s">
        <v>23</v>
      </c>
      <c r="G185" s="32" t="s">
        <v>2485</v>
      </c>
      <c r="H185" s="36" t="s">
        <v>33</v>
      </c>
    </row>
    <row r="186" spans="1:8" x14ac:dyDescent="0.35">
      <c r="A186" s="31" t="s">
        <v>2126</v>
      </c>
      <c r="B186" s="31">
        <v>20</v>
      </c>
      <c r="C186" s="31" t="s">
        <v>519</v>
      </c>
      <c r="D186" s="31" t="s">
        <v>2486</v>
      </c>
      <c r="E186" s="31" t="s">
        <v>2487</v>
      </c>
      <c r="F186" s="31" t="s">
        <v>18</v>
      </c>
      <c r="G186" s="31" t="s">
        <v>2488</v>
      </c>
      <c r="H186" s="35" t="s">
        <v>33</v>
      </c>
    </row>
    <row r="187" spans="1:8" x14ac:dyDescent="0.35">
      <c r="A187" s="32" t="s">
        <v>2126</v>
      </c>
      <c r="B187" s="32">
        <v>20</v>
      </c>
      <c r="C187" s="32" t="s">
        <v>519</v>
      </c>
      <c r="D187" s="32" t="s">
        <v>2109</v>
      </c>
      <c r="E187" s="32" t="s">
        <v>2489</v>
      </c>
      <c r="F187" s="32" t="s">
        <v>21</v>
      </c>
      <c r="G187" s="32" t="s">
        <v>2490</v>
      </c>
      <c r="H187" s="36" t="s">
        <v>33</v>
      </c>
    </row>
    <row r="188" spans="1:8" x14ac:dyDescent="0.35">
      <c r="A188" s="31" t="s">
        <v>2126</v>
      </c>
      <c r="B188" s="31">
        <v>20</v>
      </c>
      <c r="C188" s="31" t="s">
        <v>519</v>
      </c>
      <c r="D188" s="31" t="s">
        <v>2109</v>
      </c>
      <c r="E188" s="31" t="s">
        <v>2491</v>
      </c>
      <c r="F188" s="31" t="s">
        <v>25</v>
      </c>
      <c r="G188" s="31" t="s">
        <v>2492</v>
      </c>
      <c r="H188" s="35" t="s">
        <v>34</v>
      </c>
    </row>
    <row r="189" spans="1:8" x14ac:dyDescent="0.35">
      <c r="A189" s="32" t="s">
        <v>2126</v>
      </c>
      <c r="B189" s="32">
        <v>20</v>
      </c>
      <c r="C189" s="32" t="s">
        <v>519</v>
      </c>
      <c r="D189" s="32" t="s">
        <v>2109</v>
      </c>
      <c r="E189" s="32" t="s">
        <v>2493</v>
      </c>
      <c r="F189" s="32" t="s">
        <v>25</v>
      </c>
      <c r="G189" s="32" t="s">
        <v>2494</v>
      </c>
      <c r="H189" s="36" t="s">
        <v>34</v>
      </c>
    </row>
    <row r="190" spans="1:8" x14ac:dyDescent="0.35">
      <c r="A190" s="31" t="s">
        <v>2126</v>
      </c>
      <c r="B190" s="31">
        <v>20</v>
      </c>
      <c r="C190" s="31" t="s">
        <v>519</v>
      </c>
      <c r="D190" s="31" t="s">
        <v>2113</v>
      </c>
      <c r="E190" s="31" t="s">
        <v>2495</v>
      </c>
      <c r="F190" s="31" t="s">
        <v>23</v>
      </c>
      <c r="G190" s="31" t="s">
        <v>2496</v>
      </c>
      <c r="H190" s="35" t="s">
        <v>33</v>
      </c>
    </row>
    <row r="191" spans="1:8" x14ac:dyDescent="0.35">
      <c r="A191" s="32" t="s">
        <v>2126</v>
      </c>
      <c r="B191" s="32">
        <v>20</v>
      </c>
      <c r="C191" s="32" t="s">
        <v>519</v>
      </c>
      <c r="D191" s="32" t="s">
        <v>2116</v>
      </c>
      <c r="E191" s="32" t="s">
        <v>2497</v>
      </c>
      <c r="F191" s="32" t="s">
        <v>25</v>
      </c>
      <c r="G191" s="32" t="s">
        <v>2498</v>
      </c>
      <c r="H191" s="36" t="s">
        <v>34</v>
      </c>
    </row>
    <row r="192" spans="1:8" ht="23.25" x14ac:dyDescent="0.35">
      <c r="A192" s="31" t="s">
        <v>2126</v>
      </c>
      <c r="B192" s="31">
        <v>20</v>
      </c>
      <c r="C192" s="31" t="s">
        <v>519</v>
      </c>
      <c r="D192" s="31" t="s">
        <v>2116</v>
      </c>
      <c r="E192" s="31" t="s">
        <v>2499</v>
      </c>
      <c r="F192" s="31" t="s">
        <v>25</v>
      </c>
      <c r="G192" s="31" t="s">
        <v>2500</v>
      </c>
      <c r="H192" s="35" t="s">
        <v>34</v>
      </c>
    </row>
  </sheetData>
  <autoFilter ref="A1:H192" xr:uid="{EBB43516-E838-417E-859A-1906693B8180}"/>
  <dataValidations count="2">
    <dataValidation type="list" allowBlank="1" showErrorMessage="1" sqref="A2:A12" xr:uid="{751120CE-BC0C-4FE5-9CB8-19AB5B1F8A64}">
      <formula1>"Deepseek V3.2,Kimi K2.5,Qwen 3.5 397B A17B,Llama 4 Maverick,Opus 4.6,GPT 5.4,Gemini 3.1 Pro"</formula1>
      <formula2>0</formula2>
    </dataValidation>
    <dataValidation type="list" allowBlank="1" showErrorMessage="1" sqref="F2:F51" xr:uid="{0598A34B-DF01-4F08-BF26-34E6862E3DF8}">
      <formula1>"material,move_legality,piece_placement,piece_relations,geometry,reasoning,other"</formula1>
    </dataValidation>
  </dataValidations>
  <pageMargins left="0.7" right="0.7" top="0.75" bottom="0.75" header="0.511811023622047" footer="0.511811023622047"/>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6DCA-5561-476E-A9D6-C61AB4A24EC1}">
  <sheetPr>
    <tabColor rgb="FF002060"/>
  </sheetPr>
  <dimension ref="A1:I192"/>
  <sheetViews>
    <sheetView zoomScaleNormal="100" workbookViewId="0">
      <pane ySplit="1" topLeftCell="A2" activePane="bottomLeft" state="frozen"/>
      <selection pane="bottomLeft"/>
    </sheetView>
  </sheetViews>
  <sheetFormatPr defaultColWidth="8.73046875" defaultRowHeight="12.75" x14ac:dyDescent="0.35"/>
  <cols>
    <col min="1" max="1" width="9" bestFit="1" customWidth="1"/>
    <col min="2" max="2" width="10.86328125" bestFit="1" customWidth="1"/>
    <col min="3" max="3" width="21.73046875" bestFit="1" customWidth="1"/>
    <col min="4" max="4" width="13.1328125" bestFit="1" customWidth="1"/>
    <col min="5" max="5" width="12.1328125" bestFit="1" customWidth="1"/>
    <col min="6" max="6" width="14.265625" bestFit="1" customWidth="1"/>
    <col min="7" max="7" width="11.796875" bestFit="1" customWidth="1"/>
    <col min="8" max="8" width="11.46484375" bestFit="1" customWidth="1"/>
    <col min="9" max="9" width="12.73046875" bestFit="1" customWidth="1"/>
  </cols>
  <sheetData>
    <row r="1" spans="1:9" ht="39.4" x14ac:dyDescent="0.35">
      <c r="A1" s="37" t="s">
        <v>6</v>
      </c>
      <c r="B1" s="10" t="s">
        <v>7</v>
      </c>
      <c r="C1" s="10" t="s">
        <v>8</v>
      </c>
      <c r="D1" s="10" t="s">
        <v>9</v>
      </c>
      <c r="E1" s="10" t="s">
        <v>10</v>
      </c>
      <c r="F1" s="10" t="s">
        <v>11</v>
      </c>
      <c r="G1" s="10" t="s">
        <v>12</v>
      </c>
      <c r="H1" s="10" t="s">
        <v>13</v>
      </c>
      <c r="I1" s="10" t="s">
        <v>14</v>
      </c>
    </row>
    <row r="2" spans="1:9" ht="13.15" x14ac:dyDescent="0.35">
      <c r="A2" s="21">
        <v>1</v>
      </c>
      <c r="B2" s="16">
        <f>'Data KIMI'!B2</f>
        <v>1</v>
      </c>
      <c r="C2" s="22" t="str">
        <f>'Data KIMI'!F2</f>
        <v>geometry</v>
      </c>
      <c r="D2" s="16" t="str">
        <f>LOWER(TRIM('Data KIMI'!H2))</f>
        <v>minor</v>
      </c>
      <c r="E2" s="23">
        <f>IF(ISNUMBER(SEARCH("move_legality",C2)),Parameters!$B$4,IF(ISNUMBER(SEARCH("piece_placement",C2)),Parameters!$B$5,IF(ISNUMBER(SEARCH("material",C2)),Parameters!$B$6,IF(ISNUMBER(SEARCH("piece_relations",C2)),Parameters!$B$7,IF(ISNUMBER(SEARCH("geometry",C2)),Parameters!$B$8,IF(ISNUMBER(SEARCH("reasoning",C2)),Parameters!$B$9,Parameters!$B$10))))))</f>
        <v>3</v>
      </c>
      <c r="F2" s="23">
        <f>IF(D2="major",Parameters!$B$14,IF(D2="medium",Parameters!$B$15,Parameters!$B$16))</f>
        <v>1</v>
      </c>
      <c r="G2" s="16">
        <f t="shared" ref="G2" si="0">COUNTIFS($B$2:$B$12,B2,$C$2:$C$12,C2,$F$2:$F$12,"&gt;"&amp;F2)+COUNTIFS($B$2:$B$12,B2,$C$2:$C$12,C2,$F$2:$F$12,F2,$A$2:$A$12,"&lt;="&amp;A2)</f>
        <v>2</v>
      </c>
      <c r="H2" s="24">
        <f>Parameters!$B$20^(G2-1)</f>
        <v>0.7</v>
      </c>
      <c r="I2" s="18">
        <f>E2*F2*H2</f>
        <v>2.0999999999999996</v>
      </c>
    </row>
    <row r="3" spans="1:9" ht="13.15" x14ac:dyDescent="0.35">
      <c r="A3" s="21">
        <v>2</v>
      </c>
      <c r="B3" s="16">
        <f>'Data KIMI'!B3</f>
        <v>1</v>
      </c>
      <c r="C3" s="22" t="str">
        <f>'Data KIMI'!F3</f>
        <v>reasoning</v>
      </c>
      <c r="D3" s="16" t="str">
        <f>LOWER(TRIM('Data KIMI'!H3))</f>
        <v>major</v>
      </c>
      <c r="E3" s="23">
        <f>IF(ISNUMBER(SEARCH("move_legality",C3)),Parameters!$B$4,IF(ISNUMBER(SEARCH("piece_placement",C3)),Parameters!$B$5,IF(ISNUMBER(SEARCH("material",C3)),Parameters!$B$6,IF(ISNUMBER(SEARCH("piece_relations",C3)),Parameters!$B$7,IF(ISNUMBER(SEARCH("geometry",C3)),Parameters!$B$8,IF(ISNUMBER(SEARCH("reasoning",C3)),Parameters!$B$9,Parameters!$B$10))))))</f>
        <v>2</v>
      </c>
      <c r="F3" s="23">
        <f>IF(D3="major",Parameters!$B$14,IF(D3="medium",Parameters!$B$15,Parameters!$B$16))</f>
        <v>3</v>
      </c>
      <c r="G3" s="16">
        <f t="shared" ref="G3:G52" si="1">COUNTIFS($B$2:$B$12,B3,$C$2:$C$12,C3,$F$2:$F$12,"&gt;"&amp;F3)+COUNTIFS($B$2:$B$12,B3,$C$2:$C$12,C3,$F$2:$F$12,F3,$A$2:$A$12,"&lt;="&amp;A3)</f>
        <v>1</v>
      </c>
      <c r="H3" s="24">
        <f>Parameters!$B$20^(G3-1)</f>
        <v>1</v>
      </c>
      <c r="I3" s="18">
        <f t="shared" ref="I3:I52" si="2">E3*F3*H3</f>
        <v>6</v>
      </c>
    </row>
    <row r="4" spans="1:9" ht="13.15" x14ac:dyDescent="0.35">
      <c r="A4" s="21">
        <v>3</v>
      </c>
      <c r="B4" s="16">
        <f>'Data KIMI'!B4</f>
        <v>1</v>
      </c>
      <c r="C4" s="22" t="str">
        <f>'Data KIMI'!F4</f>
        <v>move_legality</v>
      </c>
      <c r="D4" s="16" t="str">
        <f>LOWER(TRIM('Data KIMI'!H4))</f>
        <v>medium</v>
      </c>
      <c r="E4" s="23">
        <f>IF(ISNUMBER(SEARCH("move_legality",C4)),Parameters!$B$4,IF(ISNUMBER(SEARCH("piece_placement",C4)),Parameters!$B$5,IF(ISNUMBER(SEARCH("material",C4)),Parameters!$B$6,IF(ISNUMBER(SEARCH("piece_relations",C4)),Parameters!$B$7,IF(ISNUMBER(SEARCH("geometry",C4)),Parameters!$B$8,IF(ISNUMBER(SEARCH("reasoning",C4)),Parameters!$B$9,Parameters!$B$10))))))</f>
        <v>8</v>
      </c>
      <c r="F4" s="23">
        <f>IF(D4="major",Parameters!$B$14,IF(D4="medium",Parameters!$B$15,Parameters!$B$16))</f>
        <v>2</v>
      </c>
      <c r="G4" s="16">
        <f t="shared" si="1"/>
        <v>1</v>
      </c>
      <c r="H4" s="24">
        <f>Parameters!$B$20^(G4-1)</f>
        <v>1</v>
      </c>
      <c r="I4" s="18">
        <f t="shared" si="2"/>
        <v>16</v>
      </c>
    </row>
    <row r="5" spans="1:9" ht="13.15" x14ac:dyDescent="0.35">
      <c r="A5" s="21">
        <v>4</v>
      </c>
      <c r="B5" s="16">
        <f>'Data KIMI'!B5</f>
        <v>1</v>
      </c>
      <c r="C5" s="22" t="str">
        <f>'Data KIMI'!F5</f>
        <v>geometry</v>
      </c>
      <c r="D5" s="16" t="str">
        <f>LOWER(TRIM('Data KIMI'!H5))</f>
        <v>major</v>
      </c>
      <c r="E5" s="23">
        <f>IF(ISNUMBER(SEARCH("move_legality",C5)),Parameters!$B$4,IF(ISNUMBER(SEARCH("piece_placement",C5)),Parameters!$B$5,IF(ISNUMBER(SEARCH("material",C5)),Parameters!$B$6,IF(ISNUMBER(SEARCH("piece_relations",C5)),Parameters!$B$7,IF(ISNUMBER(SEARCH("geometry",C5)),Parameters!$B$8,IF(ISNUMBER(SEARCH("reasoning",C5)),Parameters!$B$9,Parameters!$B$10))))))</f>
        <v>3</v>
      </c>
      <c r="F5" s="23">
        <f>IF(D5="major",Parameters!$B$14,IF(D5="medium",Parameters!$B$15,Parameters!$B$16))</f>
        <v>3</v>
      </c>
      <c r="G5" s="16">
        <f t="shared" si="1"/>
        <v>1</v>
      </c>
      <c r="H5" s="24">
        <f>Parameters!$B$20^(G5-1)</f>
        <v>1</v>
      </c>
      <c r="I5" s="18">
        <f t="shared" si="2"/>
        <v>9</v>
      </c>
    </row>
    <row r="6" spans="1:9" ht="13.15" x14ac:dyDescent="0.35">
      <c r="A6" s="21">
        <v>5</v>
      </c>
      <c r="B6" s="16">
        <f>'Data KIMI'!B6</f>
        <v>2</v>
      </c>
      <c r="C6" s="22" t="str">
        <f>'Data KIMI'!F6</f>
        <v>piece_relations</v>
      </c>
      <c r="D6" s="16" t="str">
        <f>LOWER(TRIM('Data KIMI'!H6))</f>
        <v>major</v>
      </c>
      <c r="E6" s="23">
        <f>IF(ISNUMBER(SEARCH("move_legality",C6)),Parameters!$B$4,IF(ISNUMBER(SEARCH("piece_placement",C6)),Parameters!$B$5,IF(ISNUMBER(SEARCH("material",C6)),Parameters!$B$6,IF(ISNUMBER(SEARCH("piece_relations",C6)),Parameters!$B$7,IF(ISNUMBER(SEARCH("geometry",C6)),Parameters!$B$8,IF(ISNUMBER(SEARCH("reasoning",C6)),Parameters!$B$9,Parameters!$B$10))))))</f>
        <v>4</v>
      </c>
      <c r="F6" s="23">
        <f>IF(D6="major",Parameters!$B$14,IF(D6="medium",Parameters!$B$15,Parameters!$B$16))</f>
        <v>3</v>
      </c>
      <c r="G6" s="16">
        <f t="shared" si="1"/>
        <v>1</v>
      </c>
      <c r="H6" s="24">
        <f>Parameters!$B$20^(G6-1)</f>
        <v>1</v>
      </c>
      <c r="I6" s="18">
        <f t="shared" si="2"/>
        <v>12</v>
      </c>
    </row>
    <row r="7" spans="1:9" ht="13.15" x14ac:dyDescent="0.35">
      <c r="A7" s="21">
        <v>6</v>
      </c>
      <c r="B7" s="16">
        <f>'Data KIMI'!B7</f>
        <v>2</v>
      </c>
      <c r="C7" s="22" t="str">
        <f>'Data KIMI'!F7</f>
        <v>move_legality</v>
      </c>
      <c r="D7" s="16" t="str">
        <f>LOWER(TRIM('Data KIMI'!H7))</f>
        <v>major</v>
      </c>
      <c r="E7" s="23">
        <f>IF(ISNUMBER(SEARCH("move_legality",C7)),Parameters!$B$4,IF(ISNUMBER(SEARCH("piece_placement",C7)),Parameters!$B$5,IF(ISNUMBER(SEARCH("material",C7)),Parameters!$B$6,IF(ISNUMBER(SEARCH("piece_relations",C7)),Parameters!$B$7,IF(ISNUMBER(SEARCH("geometry",C7)),Parameters!$B$8,IF(ISNUMBER(SEARCH("reasoning",C7)),Parameters!$B$9,Parameters!$B$10))))))</f>
        <v>8</v>
      </c>
      <c r="F7" s="23">
        <f>IF(D7="major",Parameters!$B$14,IF(D7="medium",Parameters!$B$15,Parameters!$B$16))</f>
        <v>3</v>
      </c>
      <c r="G7" s="16">
        <f t="shared" si="1"/>
        <v>1</v>
      </c>
      <c r="H7" s="24">
        <f>Parameters!$B$20^(G7-1)</f>
        <v>1</v>
      </c>
      <c r="I7" s="18">
        <f t="shared" si="2"/>
        <v>24</v>
      </c>
    </row>
    <row r="8" spans="1:9" ht="13.15" x14ac:dyDescent="0.35">
      <c r="A8" s="21">
        <v>7</v>
      </c>
      <c r="B8" s="16">
        <f>'Data KIMI'!B8</f>
        <v>2</v>
      </c>
      <c r="C8" s="22" t="str">
        <f>'Data KIMI'!F8</f>
        <v>reasoning</v>
      </c>
      <c r="D8" s="16" t="str">
        <f>LOWER(TRIM('Data KIMI'!H8))</f>
        <v>medium</v>
      </c>
      <c r="E8" s="23">
        <f>IF(ISNUMBER(SEARCH("move_legality",C8)),Parameters!$B$4,IF(ISNUMBER(SEARCH("piece_placement",C8)),Parameters!$B$5,IF(ISNUMBER(SEARCH("material",C8)),Parameters!$B$6,IF(ISNUMBER(SEARCH("piece_relations",C8)),Parameters!$B$7,IF(ISNUMBER(SEARCH("geometry",C8)),Parameters!$B$8,IF(ISNUMBER(SEARCH("reasoning",C8)),Parameters!$B$9,Parameters!$B$10))))))</f>
        <v>2</v>
      </c>
      <c r="F8" s="23">
        <f>IF(D8="major",Parameters!$B$14,IF(D8="medium",Parameters!$B$15,Parameters!$B$16))</f>
        <v>2</v>
      </c>
      <c r="G8" s="16">
        <f t="shared" si="1"/>
        <v>2</v>
      </c>
      <c r="H8" s="24">
        <f>Parameters!$B$20^(G8-1)</f>
        <v>0.7</v>
      </c>
      <c r="I8" s="18">
        <f t="shared" si="2"/>
        <v>2.8</v>
      </c>
    </row>
    <row r="9" spans="1:9" ht="13.15" x14ac:dyDescent="0.35">
      <c r="A9" s="21">
        <v>8</v>
      </c>
      <c r="B9" s="16">
        <f>'Data KIMI'!B9</f>
        <v>2</v>
      </c>
      <c r="C9" s="22" t="str">
        <f>'Data KIMI'!F9</f>
        <v>geometry</v>
      </c>
      <c r="D9" s="16" t="str">
        <f>LOWER(TRIM('Data KIMI'!H9))</f>
        <v>major</v>
      </c>
      <c r="E9" s="23">
        <f>IF(ISNUMBER(SEARCH("move_legality",C9)),Parameters!$B$4,IF(ISNUMBER(SEARCH("piece_placement",C9)),Parameters!$B$5,IF(ISNUMBER(SEARCH("material",C9)),Parameters!$B$6,IF(ISNUMBER(SEARCH("piece_relations",C9)),Parameters!$B$7,IF(ISNUMBER(SEARCH("geometry",C9)),Parameters!$B$8,IF(ISNUMBER(SEARCH("reasoning",C9)),Parameters!$B$9,Parameters!$B$10))))))</f>
        <v>3</v>
      </c>
      <c r="F9" s="23">
        <f>IF(D9="major",Parameters!$B$14,IF(D9="medium",Parameters!$B$15,Parameters!$B$16))</f>
        <v>3</v>
      </c>
      <c r="G9" s="16">
        <f t="shared" si="1"/>
        <v>1</v>
      </c>
      <c r="H9" s="24">
        <f>Parameters!$B$20^(G9-1)</f>
        <v>1</v>
      </c>
      <c r="I9" s="18">
        <f t="shared" si="2"/>
        <v>9</v>
      </c>
    </row>
    <row r="10" spans="1:9" ht="13.15" x14ac:dyDescent="0.35">
      <c r="A10" s="21">
        <v>9</v>
      </c>
      <c r="B10" s="16">
        <f>'Data KIMI'!B10</f>
        <v>2</v>
      </c>
      <c r="C10" s="22" t="str">
        <f>'Data KIMI'!F10</f>
        <v>piece_relations</v>
      </c>
      <c r="D10" s="16" t="str">
        <f>LOWER(TRIM('Data KIMI'!H10))</f>
        <v>minor</v>
      </c>
      <c r="E10" s="23">
        <f>IF(ISNUMBER(SEARCH("move_legality",C10)),Parameters!$B$4,IF(ISNUMBER(SEARCH("piece_placement",C10)),Parameters!$B$5,IF(ISNUMBER(SEARCH("material",C10)),Parameters!$B$6,IF(ISNUMBER(SEARCH("piece_relations",C10)),Parameters!$B$7,IF(ISNUMBER(SEARCH("geometry",C10)),Parameters!$B$8,IF(ISNUMBER(SEARCH("reasoning",C10)),Parameters!$B$9,Parameters!$B$10))))))</f>
        <v>4</v>
      </c>
      <c r="F10" s="23">
        <f>IF(D10="major",Parameters!$B$14,IF(D10="medium",Parameters!$B$15,Parameters!$B$16))</f>
        <v>1</v>
      </c>
      <c r="G10" s="16">
        <f t="shared" si="1"/>
        <v>2</v>
      </c>
      <c r="H10" s="24">
        <f>Parameters!$B$20^(G10-1)</f>
        <v>0.7</v>
      </c>
      <c r="I10" s="18">
        <f t="shared" si="2"/>
        <v>2.8</v>
      </c>
    </row>
    <row r="11" spans="1:9" ht="13.15" x14ac:dyDescent="0.35">
      <c r="A11" s="21">
        <v>10</v>
      </c>
      <c r="B11" s="16">
        <f>'Data KIMI'!B11</f>
        <v>2</v>
      </c>
      <c r="C11" s="22" t="str">
        <f>'Data KIMI'!F11</f>
        <v>reasoning</v>
      </c>
      <c r="D11" s="16" t="str">
        <f>LOWER(TRIM('Data KIMI'!H11))</f>
        <v>major</v>
      </c>
      <c r="E11" s="23">
        <f>IF(ISNUMBER(SEARCH("move_legality",C11)),Parameters!$B$4,IF(ISNUMBER(SEARCH("piece_placement",C11)),Parameters!$B$5,IF(ISNUMBER(SEARCH("material",C11)),Parameters!$B$6,IF(ISNUMBER(SEARCH("piece_relations",C11)),Parameters!$B$7,IF(ISNUMBER(SEARCH("geometry",C11)),Parameters!$B$8,IF(ISNUMBER(SEARCH("reasoning",C11)),Parameters!$B$9,Parameters!$B$10))))))</f>
        <v>2</v>
      </c>
      <c r="F11" s="23">
        <f>IF(D11="major",Parameters!$B$14,IF(D11="medium",Parameters!$B$15,Parameters!$B$16))</f>
        <v>3</v>
      </c>
      <c r="G11" s="16">
        <f t="shared" si="1"/>
        <v>1</v>
      </c>
      <c r="H11" s="24">
        <f>Parameters!$B$20^(G11-1)</f>
        <v>1</v>
      </c>
      <c r="I11" s="18">
        <f t="shared" si="2"/>
        <v>6</v>
      </c>
    </row>
    <row r="12" spans="1:9" ht="13.15" x14ac:dyDescent="0.35">
      <c r="A12" s="21">
        <v>11</v>
      </c>
      <c r="B12" s="16">
        <f>'Data KIMI'!B12</f>
        <v>2</v>
      </c>
      <c r="C12" s="22" t="str">
        <f>'Data KIMI'!F12</f>
        <v>geometry</v>
      </c>
      <c r="D12" s="16" t="str">
        <f>LOWER(TRIM('Data KIMI'!H12))</f>
        <v>major</v>
      </c>
      <c r="E12" s="23">
        <f>IF(ISNUMBER(SEARCH("move_legality",C12)),Parameters!$B$4,IF(ISNUMBER(SEARCH("piece_placement",C12)),Parameters!$B$5,IF(ISNUMBER(SEARCH("material",C12)),Parameters!$B$6,IF(ISNUMBER(SEARCH("piece_relations",C12)),Parameters!$B$7,IF(ISNUMBER(SEARCH("geometry",C12)),Parameters!$B$8,IF(ISNUMBER(SEARCH("reasoning",C12)),Parameters!$B$9,Parameters!$B$10))))))</f>
        <v>3</v>
      </c>
      <c r="F12" s="23">
        <f>IF(D12="major",Parameters!$B$14,IF(D12="medium",Parameters!$B$15,Parameters!$B$16))</f>
        <v>3</v>
      </c>
      <c r="G12" s="16">
        <f t="shared" si="1"/>
        <v>2</v>
      </c>
      <c r="H12" s="24">
        <f>Parameters!$B$20^(G12-1)</f>
        <v>0.7</v>
      </c>
      <c r="I12" s="18">
        <f t="shared" si="2"/>
        <v>6.3</v>
      </c>
    </row>
    <row r="13" spans="1:9" ht="13.15" x14ac:dyDescent="0.35">
      <c r="A13" s="21">
        <v>12</v>
      </c>
      <c r="B13" s="16">
        <f>'Data KIMI'!B13</f>
        <v>2</v>
      </c>
      <c r="C13" s="22" t="str">
        <f>'Data KIMI'!F13</f>
        <v>piece_relations</v>
      </c>
      <c r="D13" s="16" t="str">
        <f>LOWER(TRIM('Data KIMI'!H13))</f>
        <v>major</v>
      </c>
      <c r="E13" s="23">
        <f>IF(ISNUMBER(SEARCH("move_legality",C13)),Parameters!$B$4,IF(ISNUMBER(SEARCH("piece_placement",C13)),Parameters!$B$5,IF(ISNUMBER(SEARCH("material",C13)),Parameters!$B$6,IF(ISNUMBER(SEARCH("piece_relations",C13)),Parameters!$B$7,IF(ISNUMBER(SEARCH("geometry",C13)),Parameters!$B$8,IF(ISNUMBER(SEARCH("reasoning",C13)),Parameters!$B$9,Parameters!$B$10))))))</f>
        <v>4</v>
      </c>
      <c r="F13" s="23">
        <f>IF(D13="major",Parameters!$B$14,IF(D13="medium",Parameters!$B$15,Parameters!$B$16))</f>
        <v>3</v>
      </c>
      <c r="G13" s="16">
        <f t="shared" si="1"/>
        <v>1</v>
      </c>
      <c r="H13" s="24">
        <f>Parameters!$B$20^(G13-1)</f>
        <v>1</v>
      </c>
      <c r="I13" s="18">
        <f t="shared" si="2"/>
        <v>12</v>
      </c>
    </row>
    <row r="14" spans="1:9" ht="13.15" x14ac:dyDescent="0.35">
      <c r="A14" s="21">
        <v>13</v>
      </c>
      <c r="B14" s="16">
        <f>'Data KIMI'!B14</f>
        <v>2</v>
      </c>
      <c r="C14" s="22" t="str">
        <f>'Data KIMI'!F14</f>
        <v>move_legality</v>
      </c>
      <c r="D14" s="16" t="str">
        <f>LOWER(TRIM('Data KIMI'!H14))</f>
        <v>major</v>
      </c>
      <c r="E14" s="23">
        <f>IF(ISNUMBER(SEARCH("move_legality",C14)),Parameters!$B$4,IF(ISNUMBER(SEARCH("piece_placement",C14)),Parameters!$B$5,IF(ISNUMBER(SEARCH("material",C14)),Parameters!$B$6,IF(ISNUMBER(SEARCH("piece_relations",C14)),Parameters!$B$7,IF(ISNUMBER(SEARCH("geometry",C14)),Parameters!$B$8,IF(ISNUMBER(SEARCH("reasoning",C14)),Parameters!$B$9,Parameters!$B$10))))))</f>
        <v>8</v>
      </c>
      <c r="F14" s="23">
        <f>IF(D14="major",Parameters!$B$14,IF(D14="medium",Parameters!$B$15,Parameters!$B$16))</f>
        <v>3</v>
      </c>
      <c r="G14" s="16">
        <f t="shared" si="1"/>
        <v>1</v>
      </c>
      <c r="H14" s="24">
        <f>Parameters!$B$20^(G14-1)</f>
        <v>1</v>
      </c>
      <c r="I14" s="18">
        <f t="shared" si="2"/>
        <v>24</v>
      </c>
    </row>
    <row r="15" spans="1:9" ht="13.15" x14ac:dyDescent="0.35">
      <c r="A15" s="21">
        <v>14</v>
      </c>
      <c r="B15" s="16">
        <f>'Data KIMI'!B15</f>
        <v>2</v>
      </c>
      <c r="C15" s="22" t="str">
        <f>'Data KIMI'!F15</f>
        <v>reasoning</v>
      </c>
      <c r="D15" s="16" t="str">
        <f>LOWER(TRIM('Data KIMI'!H15))</f>
        <v>medium</v>
      </c>
      <c r="E15" s="23">
        <f>IF(ISNUMBER(SEARCH("move_legality",C15)),Parameters!$B$4,IF(ISNUMBER(SEARCH("piece_placement",C15)),Parameters!$B$5,IF(ISNUMBER(SEARCH("material",C15)),Parameters!$B$6,IF(ISNUMBER(SEARCH("piece_relations",C15)),Parameters!$B$7,IF(ISNUMBER(SEARCH("geometry",C15)),Parameters!$B$8,IF(ISNUMBER(SEARCH("reasoning",C15)),Parameters!$B$9,Parameters!$B$10))))))</f>
        <v>2</v>
      </c>
      <c r="F15" s="23">
        <f>IF(D15="major",Parameters!$B$14,IF(D15="medium",Parameters!$B$15,Parameters!$B$16))</f>
        <v>2</v>
      </c>
      <c r="G15" s="16">
        <f t="shared" si="1"/>
        <v>2</v>
      </c>
      <c r="H15" s="24">
        <f>Parameters!$B$20^(G15-1)</f>
        <v>0.7</v>
      </c>
      <c r="I15" s="18">
        <f t="shared" si="2"/>
        <v>2.8</v>
      </c>
    </row>
    <row r="16" spans="1:9" ht="13.15" x14ac:dyDescent="0.35">
      <c r="A16" s="21">
        <v>15</v>
      </c>
      <c r="B16" s="16">
        <f>'Data KIMI'!B16</f>
        <v>2</v>
      </c>
      <c r="C16" s="22" t="str">
        <f>'Data KIMI'!F16</f>
        <v>piece_relations</v>
      </c>
      <c r="D16" s="16" t="str">
        <f>LOWER(TRIM('Data KIMI'!H16))</f>
        <v>major</v>
      </c>
      <c r="E16" s="23">
        <f>IF(ISNUMBER(SEARCH("move_legality",C16)),Parameters!$B$4,IF(ISNUMBER(SEARCH("piece_placement",C16)),Parameters!$B$5,IF(ISNUMBER(SEARCH("material",C16)),Parameters!$B$6,IF(ISNUMBER(SEARCH("piece_relations",C16)),Parameters!$B$7,IF(ISNUMBER(SEARCH("geometry",C16)),Parameters!$B$8,IF(ISNUMBER(SEARCH("reasoning",C16)),Parameters!$B$9,Parameters!$B$10))))))</f>
        <v>4</v>
      </c>
      <c r="F16" s="23">
        <f>IF(D16="major",Parameters!$B$14,IF(D16="medium",Parameters!$B$15,Parameters!$B$16))</f>
        <v>3</v>
      </c>
      <c r="G16" s="16">
        <f t="shared" si="1"/>
        <v>1</v>
      </c>
      <c r="H16" s="24">
        <f>Parameters!$B$20^(G16-1)</f>
        <v>1</v>
      </c>
      <c r="I16" s="18">
        <f t="shared" si="2"/>
        <v>12</v>
      </c>
    </row>
    <row r="17" spans="1:9" ht="13.15" x14ac:dyDescent="0.35">
      <c r="A17" s="21">
        <v>16</v>
      </c>
      <c r="B17" s="16">
        <f>'Data KIMI'!B17</f>
        <v>2</v>
      </c>
      <c r="C17" s="22" t="str">
        <f>'Data KIMI'!F17</f>
        <v>geometry</v>
      </c>
      <c r="D17" s="16" t="str">
        <f>LOWER(TRIM('Data KIMI'!H17))</f>
        <v>minor</v>
      </c>
      <c r="E17" s="23">
        <f>IF(ISNUMBER(SEARCH("move_legality",C17)),Parameters!$B$4,IF(ISNUMBER(SEARCH("piece_placement",C17)),Parameters!$B$5,IF(ISNUMBER(SEARCH("material",C17)),Parameters!$B$6,IF(ISNUMBER(SEARCH("piece_relations",C17)),Parameters!$B$7,IF(ISNUMBER(SEARCH("geometry",C17)),Parameters!$B$8,IF(ISNUMBER(SEARCH("reasoning",C17)),Parameters!$B$9,Parameters!$B$10))))))</f>
        <v>3</v>
      </c>
      <c r="F17" s="23">
        <f>IF(D17="major",Parameters!$B$14,IF(D17="medium",Parameters!$B$15,Parameters!$B$16))</f>
        <v>1</v>
      </c>
      <c r="G17" s="16">
        <f t="shared" si="1"/>
        <v>2</v>
      </c>
      <c r="H17" s="24">
        <f>Parameters!$B$20^(G17-1)</f>
        <v>0.7</v>
      </c>
      <c r="I17" s="18">
        <f t="shared" si="2"/>
        <v>2.0999999999999996</v>
      </c>
    </row>
    <row r="18" spans="1:9" ht="13.15" x14ac:dyDescent="0.35">
      <c r="A18" s="21">
        <v>17</v>
      </c>
      <c r="B18" s="16">
        <f>'Data KIMI'!B18</f>
        <v>3</v>
      </c>
      <c r="C18" s="22" t="str">
        <f>'Data KIMI'!F18</f>
        <v>piece_relations</v>
      </c>
      <c r="D18" s="16" t="str">
        <f>LOWER(TRIM('Data KIMI'!H18))</f>
        <v>minor</v>
      </c>
      <c r="E18" s="23">
        <f>IF(ISNUMBER(SEARCH("move_legality",C18)),Parameters!$B$4,IF(ISNUMBER(SEARCH("piece_placement",C18)),Parameters!$B$5,IF(ISNUMBER(SEARCH("material",C18)),Parameters!$B$6,IF(ISNUMBER(SEARCH("piece_relations",C18)),Parameters!$B$7,IF(ISNUMBER(SEARCH("geometry",C18)),Parameters!$B$8,IF(ISNUMBER(SEARCH("reasoning",C18)),Parameters!$B$9,Parameters!$B$10))))))</f>
        <v>4</v>
      </c>
      <c r="F18" s="23">
        <f>IF(D18="major",Parameters!$B$14,IF(D18="medium",Parameters!$B$15,Parameters!$B$16))</f>
        <v>1</v>
      </c>
      <c r="G18" s="16">
        <f t="shared" si="1"/>
        <v>0</v>
      </c>
      <c r="H18" s="24">
        <f>Parameters!$B$20^(G18-1)</f>
        <v>1.4285714285714286</v>
      </c>
      <c r="I18" s="18">
        <f t="shared" si="2"/>
        <v>5.7142857142857144</v>
      </c>
    </row>
    <row r="19" spans="1:9" ht="13.15" x14ac:dyDescent="0.35">
      <c r="A19" s="21">
        <v>18</v>
      </c>
      <c r="B19" s="16">
        <f>'Data KIMI'!B19</f>
        <v>3</v>
      </c>
      <c r="C19" s="22" t="str">
        <f>'Data KIMI'!F19</f>
        <v>reasoning</v>
      </c>
      <c r="D19" s="16" t="str">
        <f>LOWER(TRIM('Data KIMI'!H19))</f>
        <v>medium</v>
      </c>
      <c r="E19" s="23">
        <f>IF(ISNUMBER(SEARCH("move_legality",C19)),Parameters!$B$4,IF(ISNUMBER(SEARCH("piece_placement",C19)),Parameters!$B$5,IF(ISNUMBER(SEARCH("material",C19)),Parameters!$B$6,IF(ISNUMBER(SEARCH("piece_relations",C19)),Parameters!$B$7,IF(ISNUMBER(SEARCH("geometry",C19)),Parameters!$B$8,IF(ISNUMBER(SEARCH("reasoning",C19)),Parameters!$B$9,Parameters!$B$10))))))</f>
        <v>2</v>
      </c>
      <c r="F19" s="23">
        <f>IF(D19="major",Parameters!$B$14,IF(D19="medium",Parameters!$B$15,Parameters!$B$16))</f>
        <v>2</v>
      </c>
      <c r="G19" s="16">
        <f t="shared" si="1"/>
        <v>0</v>
      </c>
      <c r="H19" s="24">
        <f>Parameters!$B$20^(G19-1)</f>
        <v>1.4285714285714286</v>
      </c>
      <c r="I19" s="18">
        <f t="shared" si="2"/>
        <v>5.7142857142857144</v>
      </c>
    </row>
    <row r="20" spans="1:9" ht="13.15" x14ac:dyDescent="0.35">
      <c r="A20" s="21">
        <v>19</v>
      </c>
      <c r="B20" s="16">
        <f>'Data KIMI'!B20</f>
        <v>3</v>
      </c>
      <c r="C20" s="22" t="str">
        <f>'Data KIMI'!F20</f>
        <v>reasoning</v>
      </c>
      <c r="D20" s="16" t="str">
        <f>LOWER(TRIM('Data KIMI'!H20))</f>
        <v>minor</v>
      </c>
      <c r="E20" s="23">
        <f>IF(ISNUMBER(SEARCH("move_legality",C20)),Parameters!$B$4,IF(ISNUMBER(SEARCH("piece_placement",C20)),Parameters!$B$5,IF(ISNUMBER(SEARCH("material",C20)),Parameters!$B$6,IF(ISNUMBER(SEARCH("piece_relations",C20)),Parameters!$B$7,IF(ISNUMBER(SEARCH("geometry",C20)),Parameters!$B$8,IF(ISNUMBER(SEARCH("reasoning",C20)),Parameters!$B$9,Parameters!$B$10))))))</f>
        <v>2</v>
      </c>
      <c r="F20" s="23">
        <f>IF(D20="major",Parameters!$B$14,IF(D20="medium",Parameters!$B$15,Parameters!$B$16))</f>
        <v>1</v>
      </c>
      <c r="G20" s="16">
        <f t="shared" si="1"/>
        <v>0</v>
      </c>
      <c r="H20" s="24">
        <f>Parameters!$B$20^(G20-1)</f>
        <v>1.4285714285714286</v>
      </c>
      <c r="I20" s="18">
        <f t="shared" si="2"/>
        <v>2.8571428571428572</v>
      </c>
    </row>
    <row r="21" spans="1:9" ht="13.15" x14ac:dyDescent="0.35">
      <c r="A21" s="21">
        <v>20</v>
      </c>
      <c r="B21" s="16">
        <f>'Data KIMI'!B21</f>
        <v>3</v>
      </c>
      <c r="C21" s="22" t="str">
        <f>'Data KIMI'!F21</f>
        <v>move_legality</v>
      </c>
      <c r="D21" s="16" t="str">
        <f>LOWER(TRIM('Data KIMI'!H21))</f>
        <v>major</v>
      </c>
      <c r="E21" s="23">
        <f>IF(ISNUMBER(SEARCH("move_legality",C21)),Parameters!$B$4,IF(ISNUMBER(SEARCH("piece_placement",C21)),Parameters!$B$5,IF(ISNUMBER(SEARCH("material",C21)),Parameters!$B$6,IF(ISNUMBER(SEARCH("piece_relations",C21)),Parameters!$B$7,IF(ISNUMBER(SEARCH("geometry",C21)),Parameters!$B$8,IF(ISNUMBER(SEARCH("reasoning",C21)),Parameters!$B$9,Parameters!$B$10))))))</f>
        <v>8</v>
      </c>
      <c r="F21" s="23">
        <f>IF(D21="major",Parameters!$B$14,IF(D21="medium",Parameters!$B$15,Parameters!$B$16))</f>
        <v>3</v>
      </c>
      <c r="G21" s="16">
        <f t="shared" si="1"/>
        <v>0</v>
      </c>
      <c r="H21" s="24">
        <f>Parameters!$B$20^(G21-1)</f>
        <v>1.4285714285714286</v>
      </c>
      <c r="I21" s="18">
        <f t="shared" si="2"/>
        <v>34.285714285714285</v>
      </c>
    </row>
    <row r="22" spans="1:9" ht="13.15" x14ac:dyDescent="0.35">
      <c r="A22" s="21">
        <v>21</v>
      </c>
      <c r="B22" s="16">
        <f>'Data KIMI'!B22</f>
        <v>3</v>
      </c>
      <c r="C22" s="22" t="str">
        <f>'Data KIMI'!F22</f>
        <v>reasoning</v>
      </c>
      <c r="D22" s="16" t="str">
        <f>LOWER(TRIM('Data KIMI'!H22))</f>
        <v>major</v>
      </c>
      <c r="E22" s="23">
        <f>IF(ISNUMBER(SEARCH("move_legality",C22)),Parameters!$B$4,IF(ISNUMBER(SEARCH("piece_placement",C22)),Parameters!$B$5,IF(ISNUMBER(SEARCH("material",C22)),Parameters!$B$6,IF(ISNUMBER(SEARCH("piece_relations",C22)),Parameters!$B$7,IF(ISNUMBER(SEARCH("geometry",C22)),Parameters!$B$8,IF(ISNUMBER(SEARCH("reasoning",C22)),Parameters!$B$9,Parameters!$B$10))))))</f>
        <v>2</v>
      </c>
      <c r="F22" s="23">
        <f>IF(D22="major",Parameters!$B$14,IF(D22="medium",Parameters!$B$15,Parameters!$B$16))</f>
        <v>3</v>
      </c>
      <c r="G22" s="16">
        <f t="shared" si="1"/>
        <v>0</v>
      </c>
      <c r="H22" s="24">
        <f>Parameters!$B$20^(G22-1)</f>
        <v>1.4285714285714286</v>
      </c>
      <c r="I22" s="18">
        <f t="shared" si="2"/>
        <v>8.5714285714285712</v>
      </c>
    </row>
    <row r="23" spans="1:9" ht="13.15" x14ac:dyDescent="0.35">
      <c r="A23" s="21">
        <v>22</v>
      </c>
      <c r="B23" s="16">
        <f>'Data KIMI'!B23</f>
        <v>3</v>
      </c>
      <c r="C23" s="22" t="str">
        <f>'Data KIMI'!F23</f>
        <v>reasoning</v>
      </c>
      <c r="D23" s="16" t="str">
        <f>LOWER(TRIM('Data KIMI'!H23))</f>
        <v>major</v>
      </c>
      <c r="E23" s="23">
        <f>IF(ISNUMBER(SEARCH("move_legality",C23)),Parameters!$B$4,IF(ISNUMBER(SEARCH("piece_placement",C23)),Parameters!$B$5,IF(ISNUMBER(SEARCH("material",C23)),Parameters!$B$6,IF(ISNUMBER(SEARCH("piece_relations",C23)),Parameters!$B$7,IF(ISNUMBER(SEARCH("geometry",C23)),Parameters!$B$8,IF(ISNUMBER(SEARCH("reasoning",C23)),Parameters!$B$9,Parameters!$B$10))))))</f>
        <v>2</v>
      </c>
      <c r="F23" s="23">
        <f>IF(D23="major",Parameters!$B$14,IF(D23="medium",Parameters!$B$15,Parameters!$B$16))</f>
        <v>3</v>
      </c>
      <c r="G23" s="16">
        <f t="shared" si="1"/>
        <v>0</v>
      </c>
      <c r="H23" s="24">
        <f>Parameters!$B$20^(G23-1)</f>
        <v>1.4285714285714286</v>
      </c>
      <c r="I23" s="18">
        <f t="shared" si="2"/>
        <v>8.5714285714285712</v>
      </c>
    </row>
    <row r="24" spans="1:9" ht="13.15" x14ac:dyDescent="0.35">
      <c r="A24" s="21">
        <v>23</v>
      </c>
      <c r="B24" s="16">
        <f>'Data KIMI'!B24</f>
        <v>3</v>
      </c>
      <c r="C24" s="22" t="str">
        <f>'Data KIMI'!F24</f>
        <v>piece_relations</v>
      </c>
      <c r="D24" s="16" t="str">
        <f>LOWER(TRIM('Data KIMI'!H24))</f>
        <v>major</v>
      </c>
      <c r="E24" s="23">
        <f>IF(ISNUMBER(SEARCH("move_legality",C24)),Parameters!$B$4,IF(ISNUMBER(SEARCH("piece_placement",C24)),Parameters!$B$5,IF(ISNUMBER(SEARCH("material",C24)),Parameters!$B$6,IF(ISNUMBER(SEARCH("piece_relations",C24)),Parameters!$B$7,IF(ISNUMBER(SEARCH("geometry",C24)),Parameters!$B$8,IF(ISNUMBER(SEARCH("reasoning",C24)),Parameters!$B$9,Parameters!$B$10))))))</f>
        <v>4</v>
      </c>
      <c r="F24" s="23">
        <f>IF(D24="major",Parameters!$B$14,IF(D24="medium",Parameters!$B$15,Parameters!$B$16))</f>
        <v>3</v>
      </c>
      <c r="G24" s="16">
        <f t="shared" si="1"/>
        <v>0</v>
      </c>
      <c r="H24" s="24">
        <f>Parameters!$B$20^(G24-1)</f>
        <v>1.4285714285714286</v>
      </c>
      <c r="I24" s="18">
        <f t="shared" si="2"/>
        <v>17.142857142857142</v>
      </c>
    </row>
    <row r="25" spans="1:9" ht="13.15" x14ac:dyDescent="0.35">
      <c r="A25" s="21">
        <v>24</v>
      </c>
      <c r="B25" s="16">
        <f>'Data KIMI'!B25</f>
        <v>3</v>
      </c>
      <c r="C25" s="22" t="str">
        <f>'Data KIMI'!F25</f>
        <v>reasoning</v>
      </c>
      <c r="D25" s="16" t="str">
        <f>LOWER(TRIM('Data KIMI'!H25))</f>
        <v>major</v>
      </c>
      <c r="E25" s="23">
        <f>IF(ISNUMBER(SEARCH("move_legality",C25)),Parameters!$B$4,IF(ISNUMBER(SEARCH("piece_placement",C25)),Parameters!$B$5,IF(ISNUMBER(SEARCH("material",C25)),Parameters!$B$6,IF(ISNUMBER(SEARCH("piece_relations",C25)),Parameters!$B$7,IF(ISNUMBER(SEARCH("geometry",C25)),Parameters!$B$8,IF(ISNUMBER(SEARCH("reasoning",C25)),Parameters!$B$9,Parameters!$B$10))))))</f>
        <v>2</v>
      </c>
      <c r="F25" s="23">
        <f>IF(D25="major",Parameters!$B$14,IF(D25="medium",Parameters!$B$15,Parameters!$B$16))</f>
        <v>3</v>
      </c>
      <c r="G25" s="16">
        <f t="shared" si="1"/>
        <v>0</v>
      </c>
      <c r="H25" s="24">
        <f>Parameters!$B$20^(G25-1)</f>
        <v>1.4285714285714286</v>
      </c>
      <c r="I25" s="18">
        <f t="shared" si="2"/>
        <v>8.5714285714285712</v>
      </c>
    </row>
    <row r="26" spans="1:9" ht="13.15" x14ac:dyDescent="0.35">
      <c r="A26" s="21">
        <v>25</v>
      </c>
      <c r="B26" s="16">
        <f>'Data KIMI'!B26</f>
        <v>3</v>
      </c>
      <c r="C26" s="22" t="str">
        <f>'Data KIMI'!F26</f>
        <v>reasoning</v>
      </c>
      <c r="D26" s="16" t="str">
        <f>LOWER(TRIM('Data KIMI'!H26))</f>
        <v>major</v>
      </c>
      <c r="E26" s="23">
        <f>IF(ISNUMBER(SEARCH("move_legality",C26)),Parameters!$B$4,IF(ISNUMBER(SEARCH("piece_placement",C26)),Parameters!$B$5,IF(ISNUMBER(SEARCH("material",C26)),Parameters!$B$6,IF(ISNUMBER(SEARCH("piece_relations",C26)),Parameters!$B$7,IF(ISNUMBER(SEARCH("geometry",C26)),Parameters!$B$8,IF(ISNUMBER(SEARCH("reasoning",C26)),Parameters!$B$9,Parameters!$B$10))))))</f>
        <v>2</v>
      </c>
      <c r="F26" s="23">
        <f>IF(D26="major",Parameters!$B$14,IF(D26="medium",Parameters!$B$15,Parameters!$B$16))</f>
        <v>3</v>
      </c>
      <c r="G26" s="16">
        <f t="shared" si="1"/>
        <v>0</v>
      </c>
      <c r="H26" s="24">
        <f>Parameters!$B$20^(G26-1)</f>
        <v>1.4285714285714286</v>
      </c>
      <c r="I26" s="18">
        <f t="shared" si="2"/>
        <v>8.5714285714285712</v>
      </c>
    </row>
    <row r="27" spans="1:9" ht="13.15" x14ac:dyDescent="0.35">
      <c r="A27" s="21">
        <v>26</v>
      </c>
      <c r="B27" s="16">
        <f>'Data KIMI'!B27</f>
        <v>3</v>
      </c>
      <c r="C27" s="22" t="str">
        <f>'Data KIMI'!F27</f>
        <v>move_legality</v>
      </c>
      <c r="D27" s="16" t="str">
        <f>LOWER(TRIM('Data KIMI'!H27))</f>
        <v>major</v>
      </c>
      <c r="E27" s="23">
        <f>IF(ISNUMBER(SEARCH("move_legality",C27)),Parameters!$B$4,IF(ISNUMBER(SEARCH("piece_placement",C27)),Parameters!$B$5,IF(ISNUMBER(SEARCH("material",C27)),Parameters!$B$6,IF(ISNUMBER(SEARCH("piece_relations",C27)),Parameters!$B$7,IF(ISNUMBER(SEARCH("geometry",C27)),Parameters!$B$8,IF(ISNUMBER(SEARCH("reasoning",C27)),Parameters!$B$9,Parameters!$B$10))))))</f>
        <v>8</v>
      </c>
      <c r="F27" s="23">
        <f>IF(D27="major",Parameters!$B$14,IF(D27="medium",Parameters!$B$15,Parameters!$B$16))</f>
        <v>3</v>
      </c>
      <c r="G27" s="16">
        <f t="shared" si="1"/>
        <v>0</v>
      </c>
      <c r="H27" s="24">
        <f>Parameters!$B$20^(G27-1)</f>
        <v>1.4285714285714286</v>
      </c>
      <c r="I27" s="18">
        <f t="shared" si="2"/>
        <v>34.285714285714285</v>
      </c>
    </row>
    <row r="28" spans="1:9" ht="13.15" x14ac:dyDescent="0.35">
      <c r="A28" s="21">
        <v>27</v>
      </c>
      <c r="B28" s="16">
        <f>'Data KIMI'!B28</f>
        <v>3</v>
      </c>
      <c r="C28" s="22" t="str">
        <f>'Data KIMI'!F28</f>
        <v>move_legality</v>
      </c>
      <c r="D28" s="16" t="str">
        <f>LOWER(TRIM('Data KIMI'!H28))</f>
        <v>major</v>
      </c>
      <c r="E28" s="23">
        <f>IF(ISNUMBER(SEARCH("move_legality",C28)),Parameters!$B$4,IF(ISNUMBER(SEARCH("piece_placement",C28)),Parameters!$B$5,IF(ISNUMBER(SEARCH("material",C28)),Parameters!$B$6,IF(ISNUMBER(SEARCH("piece_relations",C28)),Parameters!$B$7,IF(ISNUMBER(SEARCH("geometry",C28)),Parameters!$B$8,IF(ISNUMBER(SEARCH("reasoning",C28)),Parameters!$B$9,Parameters!$B$10))))))</f>
        <v>8</v>
      </c>
      <c r="F28" s="23">
        <f>IF(D28="major",Parameters!$B$14,IF(D28="medium",Parameters!$B$15,Parameters!$B$16))</f>
        <v>3</v>
      </c>
      <c r="G28" s="16">
        <f t="shared" si="1"/>
        <v>0</v>
      </c>
      <c r="H28" s="24">
        <f>Parameters!$B$20^(G28-1)</f>
        <v>1.4285714285714286</v>
      </c>
      <c r="I28" s="18">
        <f t="shared" si="2"/>
        <v>34.285714285714285</v>
      </c>
    </row>
    <row r="29" spans="1:9" ht="13.15" x14ac:dyDescent="0.35">
      <c r="A29" s="21">
        <v>28</v>
      </c>
      <c r="B29" s="16">
        <f>'Data KIMI'!B29</f>
        <v>3</v>
      </c>
      <c r="C29" s="22" t="str">
        <f>'Data KIMI'!F29</f>
        <v>piece_relations</v>
      </c>
      <c r="D29" s="16" t="str">
        <f>LOWER(TRIM('Data KIMI'!H29))</f>
        <v>major</v>
      </c>
      <c r="E29" s="23">
        <f>IF(ISNUMBER(SEARCH("move_legality",C29)),Parameters!$B$4,IF(ISNUMBER(SEARCH("piece_placement",C29)),Parameters!$B$5,IF(ISNUMBER(SEARCH("material",C29)),Parameters!$B$6,IF(ISNUMBER(SEARCH("piece_relations",C29)),Parameters!$B$7,IF(ISNUMBER(SEARCH("geometry",C29)),Parameters!$B$8,IF(ISNUMBER(SEARCH("reasoning",C29)),Parameters!$B$9,Parameters!$B$10))))))</f>
        <v>4</v>
      </c>
      <c r="F29" s="23">
        <f>IF(D29="major",Parameters!$B$14,IF(D29="medium",Parameters!$B$15,Parameters!$B$16))</f>
        <v>3</v>
      </c>
      <c r="G29" s="16">
        <f t="shared" si="1"/>
        <v>0</v>
      </c>
      <c r="H29" s="24">
        <f>Parameters!$B$20^(G29-1)</f>
        <v>1.4285714285714286</v>
      </c>
      <c r="I29" s="18">
        <f t="shared" si="2"/>
        <v>17.142857142857142</v>
      </c>
    </row>
    <row r="30" spans="1:9" ht="13.15" x14ac:dyDescent="0.35">
      <c r="A30" s="21">
        <v>29</v>
      </c>
      <c r="B30" s="16">
        <f>'Data KIMI'!B30</f>
        <v>3</v>
      </c>
      <c r="C30" s="22" t="str">
        <f>'Data KIMI'!F30</f>
        <v>material</v>
      </c>
      <c r="D30" s="16" t="str">
        <f>LOWER(TRIM('Data KIMI'!H30))</f>
        <v>minor</v>
      </c>
      <c r="E30" s="23">
        <f>IF(ISNUMBER(SEARCH("move_legality",C30)),Parameters!$B$4,IF(ISNUMBER(SEARCH("piece_placement",C30)),Parameters!$B$5,IF(ISNUMBER(SEARCH("material",C30)),Parameters!$B$6,IF(ISNUMBER(SEARCH("piece_relations",C30)),Parameters!$B$7,IF(ISNUMBER(SEARCH("geometry",C30)),Parameters!$B$8,IF(ISNUMBER(SEARCH("reasoning",C30)),Parameters!$B$9,Parameters!$B$10))))))</f>
        <v>5</v>
      </c>
      <c r="F30" s="23">
        <f>IF(D30="major",Parameters!$B$14,IF(D30="medium",Parameters!$B$15,Parameters!$B$16))</f>
        <v>1</v>
      </c>
      <c r="G30" s="16">
        <f t="shared" si="1"/>
        <v>0</v>
      </c>
      <c r="H30" s="24">
        <f>Parameters!$B$20^(G30-1)</f>
        <v>1.4285714285714286</v>
      </c>
      <c r="I30" s="18">
        <f t="shared" si="2"/>
        <v>7.1428571428571432</v>
      </c>
    </row>
    <row r="31" spans="1:9" ht="13.15" x14ac:dyDescent="0.35">
      <c r="A31" s="21">
        <v>30</v>
      </c>
      <c r="B31" s="16">
        <f>'Data KIMI'!B31</f>
        <v>3</v>
      </c>
      <c r="C31" s="22" t="str">
        <f>'Data KIMI'!F31</f>
        <v>reasoning</v>
      </c>
      <c r="D31" s="16" t="str">
        <f>LOWER(TRIM('Data KIMI'!H31))</f>
        <v>medium</v>
      </c>
      <c r="E31" s="23">
        <f>IF(ISNUMBER(SEARCH("move_legality",C31)),Parameters!$B$4,IF(ISNUMBER(SEARCH("piece_placement",C31)),Parameters!$B$5,IF(ISNUMBER(SEARCH("material",C31)),Parameters!$B$6,IF(ISNUMBER(SEARCH("piece_relations",C31)),Parameters!$B$7,IF(ISNUMBER(SEARCH("geometry",C31)),Parameters!$B$8,IF(ISNUMBER(SEARCH("reasoning",C31)),Parameters!$B$9,Parameters!$B$10))))))</f>
        <v>2</v>
      </c>
      <c r="F31" s="23">
        <f>IF(D31="major",Parameters!$B$14,IF(D31="medium",Parameters!$B$15,Parameters!$B$16))</f>
        <v>2</v>
      </c>
      <c r="G31" s="16">
        <f t="shared" si="1"/>
        <v>0</v>
      </c>
      <c r="H31" s="24">
        <f>Parameters!$B$20^(G31-1)</f>
        <v>1.4285714285714286</v>
      </c>
      <c r="I31" s="18">
        <f t="shared" si="2"/>
        <v>5.7142857142857144</v>
      </c>
    </row>
    <row r="32" spans="1:9" ht="13.15" x14ac:dyDescent="0.35">
      <c r="A32" s="21">
        <v>31</v>
      </c>
      <c r="B32" s="16">
        <f>'Data KIMI'!B32</f>
        <v>4</v>
      </c>
      <c r="C32" s="22" t="str">
        <f>'Data KIMI'!F32</f>
        <v>reasoning</v>
      </c>
      <c r="D32" s="16" t="str">
        <f>LOWER(TRIM('Data KIMI'!H32))</f>
        <v>major</v>
      </c>
      <c r="E32" s="23">
        <f>IF(ISNUMBER(SEARCH("move_legality",C32)),Parameters!$B$4,IF(ISNUMBER(SEARCH("piece_placement",C32)),Parameters!$B$5,IF(ISNUMBER(SEARCH("material",C32)),Parameters!$B$6,IF(ISNUMBER(SEARCH("piece_relations",C32)),Parameters!$B$7,IF(ISNUMBER(SEARCH("geometry",C32)),Parameters!$B$8,IF(ISNUMBER(SEARCH("reasoning",C32)),Parameters!$B$9,Parameters!$B$10))))))</f>
        <v>2</v>
      </c>
      <c r="F32" s="23">
        <f>IF(D32="major",Parameters!$B$14,IF(D32="medium",Parameters!$B$15,Parameters!$B$16))</f>
        <v>3</v>
      </c>
      <c r="G32" s="16">
        <f t="shared" si="1"/>
        <v>0</v>
      </c>
      <c r="H32" s="24">
        <f>Parameters!$B$20^(G32-1)</f>
        <v>1.4285714285714286</v>
      </c>
      <c r="I32" s="18">
        <f t="shared" si="2"/>
        <v>8.5714285714285712</v>
      </c>
    </row>
    <row r="33" spans="1:9" ht="13.15" x14ac:dyDescent="0.35">
      <c r="A33" s="21">
        <v>32</v>
      </c>
      <c r="B33" s="16">
        <f>'Data KIMI'!B33</f>
        <v>4</v>
      </c>
      <c r="C33" s="22" t="str">
        <f>'Data KIMI'!F33</f>
        <v>piece_relations</v>
      </c>
      <c r="D33" s="16" t="str">
        <f>LOWER(TRIM('Data KIMI'!H33))</f>
        <v>major</v>
      </c>
      <c r="E33" s="23">
        <f>IF(ISNUMBER(SEARCH("move_legality",C33)),Parameters!$B$4,IF(ISNUMBER(SEARCH("piece_placement",C33)),Parameters!$B$5,IF(ISNUMBER(SEARCH("material",C33)),Parameters!$B$6,IF(ISNUMBER(SEARCH("piece_relations",C33)),Parameters!$B$7,IF(ISNUMBER(SEARCH("geometry",C33)),Parameters!$B$8,IF(ISNUMBER(SEARCH("reasoning",C33)),Parameters!$B$9,Parameters!$B$10))))))</f>
        <v>4</v>
      </c>
      <c r="F33" s="23">
        <f>IF(D33="major",Parameters!$B$14,IF(D33="medium",Parameters!$B$15,Parameters!$B$16))</f>
        <v>3</v>
      </c>
      <c r="G33" s="16">
        <f t="shared" si="1"/>
        <v>0</v>
      </c>
      <c r="H33" s="24">
        <f>Parameters!$B$20^(G33-1)</f>
        <v>1.4285714285714286</v>
      </c>
      <c r="I33" s="18">
        <f t="shared" si="2"/>
        <v>17.142857142857142</v>
      </c>
    </row>
    <row r="34" spans="1:9" ht="13.15" x14ac:dyDescent="0.35">
      <c r="A34" s="21">
        <v>33</v>
      </c>
      <c r="B34" s="16">
        <f>'Data KIMI'!B34</f>
        <v>4</v>
      </c>
      <c r="C34" s="22" t="str">
        <f>'Data KIMI'!F34</f>
        <v>geometry</v>
      </c>
      <c r="D34" s="16" t="str">
        <f>LOWER(TRIM('Data KIMI'!H34))</f>
        <v>minor</v>
      </c>
      <c r="E34" s="23">
        <f>IF(ISNUMBER(SEARCH("move_legality",C34)),Parameters!$B$4,IF(ISNUMBER(SEARCH("piece_placement",C34)),Parameters!$B$5,IF(ISNUMBER(SEARCH("material",C34)),Parameters!$B$6,IF(ISNUMBER(SEARCH("piece_relations",C34)),Parameters!$B$7,IF(ISNUMBER(SEARCH("geometry",C34)),Parameters!$B$8,IF(ISNUMBER(SEARCH("reasoning",C34)),Parameters!$B$9,Parameters!$B$10))))))</f>
        <v>3</v>
      </c>
      <c r="F34" s="23">
        <f>IF(D34="major",Parameters!$B$14,IF(D34="medium",Parameters!$B$15,Parameters!$B$16))</f>
        <v>1</v>
      </c>
      <c r="G34" s="16">
        <f t="shared" si="1"/>
        <v>0</v>
      </c>
      <c r="H34" s="24">
        <f>Parameters!$B$20^(G34-1)</f>
        <v>1.4285714285714286</v>
      </c>
      <c r="I34" s="18">
        <f t="shared" si="2"/>
        <v>4.2857142857142856</v>
      </c>
    </row>
    <row r="35" spans="1:9" ht="13.15" x14ac:dyDescent="0.35">
      <c r="A35" s="21">
        <v>34</v>
      </c>
      <c r="B35" s="16">
        <f>'Data KIMI'!B35</f>
        <v>4</v>
      </c>
      <c r="C35" s="22" t="str">
        <f>'Data KIMI'!F35</f>
        <v>move_legality</v>
      </c>
      <c r="D35" s="16" t="str">
        <f>LOWER(TRIM('Data KIMI'!H35))</f>
        <v>major</v>
      </c>
      <c r="E35" s="23">
        <f>IF(ISNUMBER(SEARCH("move_legality",C35)),Parameters!$B$4,IF(ISNUMBER(SEARCH("piece_placement",C35)),Parameters!$B$5,IF(ISNUMBER(SEARCH("material",C35)),Parameters!$B$6,IF(ISNUMBER(SEARCH("piece_relations",C35)),Parameters!$B$7,IF(ISNUMBER(SEARCH("geometry",C35)),Parameters!$B$8,IF(ISNUMBER(SEARCH("reasoning",C35)),Parameters!$B$9,Parameters!$B$10))))))</f>
        <v>8</v>
      </c>
      <c r="F35" s="23">
        <f>IF(D35="major",Parameters!$B$14,IF(D35="medium",Parameters!$B$15,Parameters!$B$16))</f>
        <v>3</v>
      </c>
      <c r="G35" s="16">
        <f t="shared" si="1"/>
        <v>0</v>
      </c>
      <c r="H35" s="24">
        <f>Parameters!$B$20^(G35-1)</f>
        <v>1.4285714285714286</v>
      </c>
      <c r="I35" s="18">
        <f t="shared" si="2"/>
        <v>34.285714285714285</v>
      </c>
    </row>
    <row r="36" spans="1:9" ht="13.15" x14ac:dyDescent="0.35">
      <c r="A36" s="21">
        <v>35</v>
      </c>
      <c r="B36" s="16">
        <f>'Data KIMI'!B36</f>
        <v>4</v>
      </c>
      <c r="C36" s="22" t="str">
        <f>'Data KIMI'!F36</f>
        <v>move_legality</v>
      </c>
      <c r="D36" s="16" t="str">
        <f>LOWER(TRIM('Data KIMI'!H36))</f>
        <v>major</v>
      </c>
      <c r="E36" s="23">
        <f>IF(ISNUMBER(SEARCH("move_legality",C36)),Parameters!$B$4,IF(ISNUMBER(SEARCH("piece_placement",C36)),Parameters!$B$5,IF(ISNUMBER(SEARCH("material",C36)),Parameters!$B$6,IF(ISNUMBER(SEARCH("piece_relations",C36)),Parameters!$B$7,IF(ISNUMBER(SEARCH("geometry",C36)),Parameters!$B$8,IF(ISNUMBER(SEARCH("reasoning",C36)),Parameters!$B$9,Parameters!$B$10))))))</f>
        <v>8</v>
      </c>
      <c r="F36" s="23">
        <f>IF(D36="major",Parameters!$B$14,IF(D36="medium",Parameters!$B$15,Parameters!$B$16))</f>
        <v>3</v>
      </c>
      <c r="G36" s="16">
        <f t="shared" si="1"/>
        <v>0</v>
      </c>
      <c r="H36" s="24">
        <f>Parameters!$B$20^(G36-1)</f>
        <v>1.4285714285714286</v>
      </c>
      <c r="I36" s="18">
        <f t="shared" si="2"/>
        <v>34.285714285714285</v>
      </c>
    </row>
    <row r="37" spans="1:9" ht="13.15" x14ac:dyDescent="0.35">
      <c r="A37" s="21">
        <v>36</v>
      </c>
      <c r="B37" s="16">
        <f>'Data KIMI'!B37</f>
        <v>4</v>
      </c>
      <c r="C37" s="22" t="str">
        <f>'Data KIMI'!F37</f>
        <v>reasoning</v>
      </c>
      <c r="D37" s="16" t="str">
        <f>LOWER(TRIM('Data KIMI'!H37))</f>
        <v>medium</v>
      </c>
      <c r="E37" s="23">
        <f>IF(ISNUMBER(SEARCH("move_legality",C37)),Parameters!$B$4,IF(ISNUMBER(SEARCH("piece_placement",C37)),Parameters!$B$5,IF(ISNUMBER(SEARCH("material",C37)),Parameters!$B$6,IF(ISNUMBER(SEARCH("piece_relations",C37)),Parameters!$B$7,IF(ISNUMBER(SEARCH("geometry",C37)),Parameters!$B$8,IF(ISNUMBER(SEARCH("reasoning",C37)),Parameters!$B$9,Parameters!$B$10))))))</f>
        <v>2</v>
      </c>
      <c r="F37" s="23">
        <f>IF(D37="major",Parameters!$B$14,IF(D37="medium",Parameters!$B$15,Parameters!$B$16))</f>
        <v>2</v>
      </c>
      <c r="G37" s="16">
        <f t="shared" si="1"/>
        <v>0</v>
      </c>
      <c r="H37" s="24">
        <f>Parameters!$B$20^(G37-1)</f>
        <v>1.4285714285714286</v>
      </c>
      <c r="I37" s="18">
        <f t="shared" si="2"/>
        <v>5.7142857142857144</v>
      </c>
    </row>
    <row r="38" spans="1:9" ht="13.15" x14ac:dyDescent="0.35">
      <c r="A38" s="21">
        <v>37</v>
      </c>
      <c r="B38" s="16">
        <f>'Data KIMI'!B38</f>
        <v>4</v>
      </c>
      <c r="C38" s="22" t="str">
        <f>'Data KIMI'!F38</f>
        <v>move_legality</v>
      </c>
      <c r="D38" s="16" t="str">
        <f>LOWER(TRIM('Data KIMI'!H38))</f>
        <v>major</v>
      </c>
      <c r="E38" s="23">
        <f>IF(ISNUMBER(SEARCH("move_legality",C38)),Parameters!$B$4,IF(ISNUMBER(SEARCH("piece_placement",C38)),Parameters!$B$5,IF(ISNUMBER(SEARCH("material",C38)),Parameters!$B$6,IF(ISNUMBER(SEARCH("piece_relations",C38)),Parameters!$B$7,IF(ISNUMBER(SEARCH("geometry",C38)),Parameters!$B$8,IF(ISNUMBER(SEARCH("reasoning",C38)),Parameters!$B$9,Parameters!$B$10))))))</f>
        <v>8</v>
      </c>
      <c r="F38" s="23">
        <f>IF(D38="major",Parameters!$B$14,IF(D38="medium",Parameters!$B$15,Parameters!$B$16))</f>
        <v>3</v>
      </c>
      <c r="G38" s="16">
        <f t="shared" si="1"/>
        <v>0</v>
      </c>
      <c r="H38" s="24">
        <f>Parameters!$B$20^(G38-1)</f>
        <v>1.4285714285714286</v>
      </c>
      <c r="I38" s="18">
        <f t="shared" si="2"/>
        <v>34.285714285714285</v>
      </c>
    </row>
    <row r="39" spans="1:9" ht="13.15" x14ac:dyDescent="0.35">
      <c r="A39" s="21">
        <v>38</v>
      </c>
      <c r="B39" s="16">
        <f>'Data KIMI'!B39</f>
        <v>4</v>
      </c>
      <c r="C39" s="22" t="str">
        <f>'Data KIMI'!F39</f>
        <v>material</v>
      </c>
      <c r="D39" s="16" t="str">
        <f>LOWER(TRIM('Data KIMI'!H39))</f>
        <v>major</v>
      </c>
      <c r="E39" s="23">
        <f>IF(ISNUMBER(SEARCH("move_legality",C39)),Parameters!$B$4,IF(ISNUMBER(SEARCH("piece_placement",C39)),Parameters!$B$5,IF(ISNUMBER(SEARCH("material",C39)),Parameters!$B$6,IF(ISNUMBER(SEARCH("piece_relations",C39)),Parameters!$B$7,IF(ISNUMBER(SEARCH("geometry",C39)),Parameters!$B$8,IF(ISNUMBER(SEARCH("reasoning",C39)),Parameters!$B$9,Parameters!$B$10))))))</f>
        <v>5</v>
      </c>
      <c r="F39" s="23">
        <f>IF(D39="major",Parameters!$B$14,IF(D39="medium",Parameters!$B$15,Parameters!$B$16))</f>
        <v>3</v>
      </c>
      <c r="G39" s="16">
        <f t="shared" si="1"/>
        <v>0</v>
      </c>
      <c r="H39" s="24">
        <f>Parameters!$B$20^(G39-1)</f>
        <v>1.4285714285714286</v>
      </c>
      <c r="I39" s="18">
        <f t="shared" si="2"/>
        <v>21.428571428571431</v>
      </c>
    </row>
    <row r="40" spans="1:9" ht="13.15" x14ac:dyDescent="0.35">
      <c r="A40" s="21">
        <v>39</v>
      </c>
      <c r="B40" s="16">
        <f>'Data KIMI'!B40</f>
        <v>5</v>
      </c>
      <c r="C40" s="22" t="str">
        <f>'Data KIMI'!F40</f>
        <v>material</v>
      </c>
      <c r="D40" s="16" t="str">
        <f>LOWER(TRIM('Data KIMI'!H40))</f>
        <v>major</v>
      </c>
      <c r="E40" s="23">
        <f>IF(ISNUMBER(SEARCH("move_legality",C40)),Parameters!$B$4,IF(ISNUMBER(SEARCH("piece_placement",C40)),Parameters!$B$5,IF(ISNUMBER(SEARCH("material",C40)),Parameters!$B$6,IF(ISNUMBER(SEARCH("piece_relations",C40)),Parameters!$B$7,IF(ISNUMBER(SEARCH("geometry",C40)),Parameters!$B$8,IF(ISNUMBER(SEARCH("reasoning",C40)),Parameters!$B$9,Parameters!$B$10))))))</f>
        <v>5</v>
      </c>
      <c r="F40" s="23">
        <f>IF(D40="major",Parameters!$B$14,IF(D40="medium",Parameters!$B$15,Parameters!$B$16))</f>
        <v>3</v>
      </c>
      <c r="G40" s="16">
        <f t="shared" si="1"/>
        <v>0</v>
      </c>
      <c r="H40" s="24">
        <f>Parameters!$B$20^(G40-1)</f>
        <v>1.4285714285714286</v>
      </c>
      <c r="I40" s="18">
        <f t="shared" si="2"/>
        <v>21.428571428571431</v>
      </c>
    </row>
    <row r="41" spans="1:9" ht="13.15" x14ac:dyDescent="0.35">
      <c r="A41" s="21">
        <v>40</v>
      </c>
      <c r="B41" s="16">
        <f>'Data KIMI'!B41</f>
        <v>5</v>
      </c>
      <c r="C41" s="22" t="str">
        <f>'Data KIMI'!F41</f>
        <v>move_legality</v>
      </c>
      <c r="D41" s="16" t="str">
        <f>LOWER(TRIM('Data KIMI'!H41))</f>
        <v>major</v>
      </c>
      <c r="E41" s="23">
        <f>IF(ISNUMBER(SEARCH("move_legality",C41)),Parameters!$B$4,IF(ISNUMBER(SEARCH("piece_placement",C41)),Parameters!$B$5,IF(ISNUMBER(SEARCH("material",C41)),Parameters!$B$6,IF(ISNUMBER(SEARCH("piece_relations",C41)),Parameters!$B$7,IF(ISNUMBER(SEARCH("geometry",C41)),Parameters!$B$8,IF(ISNUMBER(SEARCH("reasoning",C41)),Parameters!$B$9,Parameters!$B$10))))))</f>
        <v>8</v>
      </c>
      <c r="F41" s="23">
        <f>IF(D41="major",Parameters!$B$14,IF(D41="medium",Parameters!$B$15,Parameters!$B$16))</f>
        <v>3</v>
      </c>
      <c r="G41" s="16">
        <f t="shared" si="1"/>
        <v>0</v>
      </c>
      <c r="H41" s="24">
        <f>Parameters!$B$20^(G41-1)</f>
        <v>1.4285714285714286</v>
      </c>
      <c r="I41" s="18">
        <f t="shared" si="2"/>
        <v>34.285714285714285</v>
      </c>
    </row>
    <row r="42" spans="1:9" ht="13.15" x14ac:dyDescent="0.35">
      <c r="A42" s="21">
        <v>41</v>
      </c>
      <c r="B42" s="16">
        <f>'Data KIMI'!B42</f>
        <v>5</v>
      </c>
      <c r="C42" s="22" t="str">
        <f>'Data KIMI'!F42</f>
        <v>move_legality</v>
      </c>
      <c r="D42" s="16" t="str">
        <f>LOWER(TRIM('Data KIMI'!H42))</f>
        <v>medium</v>
      </c>
      <c r="E42" s="23">
        <f>IF(ISNUMBER(SEARCH("move_legality",C42)),Parameters!$B$4,IF(ISNUMBER(SEARCH("piece_placement",C42)),Parameters!$B$5,IF(ISNUMBER(SEARCH("material",C42)),Parameters!$B$6,IF(ISNUMBER(SEARCH("piece_relations",C42)),Parameters!$B$7,IF(ISNUMBER(SEARCH("geometry",C42)),Parameters!$B$8,IF(ISNUMBER(SEARCH("reasoning",C42)),Parameters!$B$9,Parameters!$B$10))))))</f>
        <v>8</v>
      </c>
      <c r="F42" s="23">
        <f>IF(D42="major",Parameters!$B$14,IF(D42="medium",Parameters!$B$15,Parameters!$B$16))</f>
        <v>2</v>
      </c>
      <c r="G42" s="16">
        <f t="shared" si="1"/>
        <v>0</v>
      </c>
      <c r="H42" s="24">
        <f>Parameters!$B$20^(G42-1)</f>
        <v>1.4285714285714286</v>
      </c>
      <c r="I42" s="18">
        <f t="shared" si="2"/>
        <v>22.857142857142858</v>
      </c>
    </row>
    <row r="43" spans="1:9" ht="13.15" x14ac:dyDescent="0.35">
      <c r="A43" s="21">
        <v>42</v>
      </c>
      <c r="B43" s="16">
        <f>'Data KIMI'!B43</f>
        <v>5</v>
      </c>
      <c r="C43" s="22" t="str">
        <f>'Data KIMI'!F43</f>
        <v>reasoning</v>
      </c>
      <c r="D43" s="16" t="str">
        <f>LOWER(TRIM('Data KIMI'!H43))</f>
        <v>major</v>
      </c>
      <c r="E43" s="23">
        <f>IF(ISNUMBER(SEARCH("move_legality",C43)),Parameters!$B$4,IF(ISNUMBER(SEARCH("piece_placement",C43)),Parameters!$B$5,IF(ISNUMBER(SEARCH("material",C43)),Parameters!$B$6,IF(ISNUMBER(SEARCH("piece_relations",C43)),Parameters!$B$7,IF(ISNUMBER(SEARCH("geometry",C43)),Parameters!$B$8,IF(ISNUMBER(SEARCH("reasoning",C43)),Parameters!$B$9,Parameters!$B$10))))))</f>
        <v>2</v>
      </c>
      <c r="F43" s="23">
        <f>IF(D43="major",Parameters!$B$14,IF(D43="medium",Parameters!$B$15,Parameters!$B$16))</f>
        <v>3</v>
      </c>
      <c r="G43" s="16">
        <f t="shared" si="1"/>
        <v>0</v>
      </c>
      <c r="H43" s="24">
        <f>Parameters!$B$20^(G43-1)</f>
        <v>1.4285714285714286</v>
      </c>
      <c r="I43" s="18">
        <f t="shared" si="2"/>
        <v>8.5714285714285712</v>
      </c>
    </row>
    <row r="44" spans="1:9" ht="13.15" x14ac:dyDescent="0.35">
      <c r="A44" s="21">
        <v>43</v>
      </c>
      <c r="B44" s="16">
        <f>'Data KIMI'!B44</f>
        <v>5</v>
      </c>
      <c r="C44" s="22" t="str">
        <f>'Data KIMI'!F44</f>
        <v>reasoning</v>
      </c>
      <c r="D44" s="16" t="str">
        <f>LOWER(TRIM('Data KIMI'!H44))</f>
        <v>minor</v>
      </c>
      <c r="E44" s="23">
        <f>IF(ISNUMBER(SEARCH("move_legality",C44)),Parameters!$B$4,IF(ISNUMBER(SEARCH("piece_placement",C44)),Parameters!$B$5,IF(ISNUMBER(SEARCH("material",C44)),Parameters!$B$6,IF(ISNUMBER(SEARCH("piece_relations",C44)),Parameters!$B$7,IF(ISNUMBER(SEARCH("geometry",C44)),Parameters!$B$8,IF(ISNUMBER(SEARCH("reasoning",C44)),Parameters!$B$9,Parameters!$B$10))))))</f>
        <v>2</v>
      </c>
      <c r="F44" s="23">
        <f>IF(D44="major",Parameters!$B$14,IF(D44="medium",Parameters!$B$15,Parameters!$B$16))</f>
        <v>1</v>
      </c>
      <c r="G44" s="16">
        <f t="shared" si="1"/>
        <v>0</v>
      </c>
      <c r="H44" s="24">
        <f>Parameters!$B$20^(G44-1)</f>
        <v>1.4285714285714286</v>
      </c>
      <c r="I44" s="18">
        <f t="shared" si="2"/>
        <v>2.8571428571428572</v>
      </c>
    </row>
    <row r="45" spans="1:9" ht="13.15" x14ac:dyDescent="0.35">
      <c r="A45" s="21">
        <v>44</v>
      </c>
      <c r="B45" s="16">
        <f>'Data KIMI'!B45</f>
        <v>5</v>
      </c>
      <c r="C45" s="22" t="str">
        <f>'Data KIMI'!F45</f>
        <v>piece_relations</v>
      </c>
      <c r="D45" s="16" t="str">
        <f>LOWER(TRIM('Data KIMI'!H45))</f>
        <v>major</v>
      </c>
      <c r="E45" s="23">
        <f>IF(ISNUMBER(SEARCH("move_legality",C45)),Parameters!$B$4,IF(ISNUMBER(SEARCH("piece_placement",C45)),Parameters!$B$5,IF(ISNUMBER(SEARCH("material",C45)),Parameters!$B$6,IF(ISNUMBER(SEARCH("piece_relations",C45)),Parameters!$B$7,IF(ISNUMBER(SEARCH("geometry",C45)),Parameters!$B$8,IF(ISNUMBER(SEARCH("reasoning",C45)),Parameters!$B$9,Parameters!$B$10))))))</f>
        <v>4</v>
      </c>
      <c r="F45" s="23">
        <f>IF(D45="major",Parameters!$B$14,IF(D45="medium",Parameters!$B$15,Parameters!$B$16))</f>
        <v>3</v>
      </c>
      <c r="G45" s="16">
        <f t="shared" si="1"/>
        <v>0</v>
      </c>
      <c r="H45" s="24">
        <f>Parameters!$B$20^(G45-1)</f>
        <v>1.4285714285714286</v>
      </c>
      <c r="I45" s="18">
        <f t="shared" si="2"/>
        <v>17.142857142857142</v>
      </c>
    </row>
    <row r="46" spans="1:9" ht="13.15" x14ac:dyDescent="0.35">
      <c r="A46" s="21">
        <v>45</v>
      </c>
      <c r="B46" s="16">
        <f>'Data KIMI'!B46</f>
        <v>5</v>
      </c>
      <c r="C46" s="22" t="str">
        <f>'Data KIMI'!F46</f>
        <v>material</v>
      </c>
      <c r="D46" s="16" t="str">
        <f>LOWER(TRIM('Data KIMI'!H46))</f>
        <v>minor</v>
      </c>
      <c r="E46" s="23">
        <f>IF(ISNUMBER(SEARCH("move_legality",C46)),Parameters!$B$4,IF(ISNUMBER(SEARCH("piece_placement",C46)),Parameters!$B$5,IF(ISNUMBER(SEARCH("material",C46)),Parameters!$B$6,IF(ISNUMBER(SEARCH("piece_relations",C46)),Parameters!$B$7,IF(ISNUMBER(SEARCH("geometry",C46)),Parameters!$B$8,IF(ISNUMBER(SEARCH("reasoning",C46)),Parameters!$B$9,Parameters!$B$10))))))</f>
        <v>5</v>
      </c>
      <c r="F46" s="23">
        <f>IF(D46="major",Parameters!$B$14,IF(D46="medium",Parameters!$B$15,Parameters!$B$16))</f>
        <v>1</v>
      </c>
      <c r="G46" s="16">
        <f t="shared" si="1"/>
        <v>0</v>
      </c>
      <c r="H46" s="24">
        <f>Parameters!$B$20^(G46-1)</f>
        <v>1.4285714285714286</v>
      </c>
      <c r="I46" s="18">
        <f t="shared" si="2"/>
        <v>7.1428571428571432</v>
      </c>
    </row>
    <row r="47" spans="1:9" ht="13.15" x14ac:dyDescent="0.35">
      <c r="A47" s="21">
        <v>46</v>
      </c>
      <c r="B47" s="16">
        <f>'Data KIMI'!B47</f>
        <v>5</v>
      </c>
      <c r="C47" s="22" t="str">
        <f>'Data KIMI'!F47</f>
        <v>reasoning</v>
      </c>
      <c r="D47" s="16" t="str">
        <f>LOWER(TRIM('Data KIMI'!H47))</f>
        <v>medium</v>
      </c>
      <c r="E47" s="23">
        <f>IF(ISNUMBER(SEARCH("move_legality",C47)),Parameters!$B$4,IF(ISNUMBER(SEARCH("piece_placement",C47)),Parameters!$B$5,IF(ISNUMBER(SEARCH("material",C47)),Parameters!$B$6,IF(ISNUMBER(SEARCH("piece_relations",C47)),Parameters!$B$7,IF(ISNUMBER(SEARCH("geometry",C47)),Parameters!$B$8,IF(ISNUMBER(SEARCH("reasoning",C47)),Parameters!$B$9,Parameters!$B$10))))))</f>
        <v>2</v>
      </c>
      <c r="F47" s="23">
        <f>IF(D47="major",Parameters!$B$14,IF(D47="medium",Parameters!$B$15,Parameters!$B$16))</f>
        <v>2</v>
      </c>
      <c r="G47" s="16">
        <f t="shared" si="1"/>
        <v>0</v>
      </c>
      <c r="H47" s="24">
        <f>Parameters!$B$20^(G47-1)</f>
        <v>1.4285714285714286</v>
      </c>
      <c r="I47" s="18">
        <f t="shared" si="2"/>
        <v>5.7142857142857144</v>
      </c>
    </row>
    <row r="48" spans="1:9" ht="13.15" x14ac:dyDescent="0.35">
      <c r="A48" s="21">
        <v>47</v>
      </c>
      <c r="B48" s="16">
        <f>'Data KIMI'!B48</f>
        <v>6</v>
      </c>
      <c r="C48" s="22" t="str">
        <f>'Data KIMI'!F48</f>
        <v>piece_relations</v>
      </c>
      <c r="D48" s="16" t="str">
        <f>LOWER(TRIM('Data KIMI'!H48))</f>
        <v>major</v>
      </c>
      <c r="E48" s="23">
        <f>IF(ISNUMBER(SEARCH("move_legality",C48)),Parameters!$B$4,IF(ISNUMBER(SEARCH("piece_placement",C48)),Parameters!$B$5,IF(ISNUMBER(SEARCH("material",C48)),Parameters!$B$6,IF(ISNUMBER(SEARCH("piece_relations",C48)),Parameters!$B$7,IF(ISNUMBER(SEARCH("geometry",C48)),Parameters!$B$8,IF(ISNUMBER(SEARCH("reasoning",C48)),Parameters!$B$9,Parameters!$B$10))))))</f>
        <v>4</v>
      </c>
      <c r="F48" s="23">
        <f>IF(D48="major",Parameters!$B$14,IF(D48="medium",Parameters!$B$15,Parameters!$B$16))</f>
        <v>3</v>
      </c>
      <c r="G48" s="16">
        <f t="shared" si="1"/>
        <v>0</v>
      </c>
      <c r="H48" s="24">
        <f>Parameters!$B$20^(G48-1)</f>
        <v>1.4285714285714286</v>
      </c>
      <c r="I48" s="18">
        <f t="shared" si="2"/>
        <v>17.142857142857142</v>
      </c>
    </row>
    <row r="49" spans="1:9" ht="13.15" x14ac:dyDescent="0.35">
      <c r="A49" s="21">
        <v>48</v>
      </c>
      <c r="B49" s="16">
        <f>'Data KIMI'!B49</f>
        <v>6</v>
      </c>
      <c r="C49" s="22" t="str">
        <f>'Data KIMI'!F49</f>
        <v>piece_relations</v>
      </c>
      <c r="D49" s="16" t="str">
        <f>LOWER(TRIM('Data KIMI'!H49))</f>
        <v>major</v>
      </c>
      <c r="E49" s="23">
        <f>IF(ISNUMBER(SEARCH("move_legality",C49)),Parameters!$B$4,IF(ISNUMBER(SEARCH("piece_placement",C49)),Parameters!$B$5,IF(ISNUMBER(SEARCH("material",C49)),Parameters!$B$6,IF(ISNUMBER(SEARCH("piece_relations",C49)),Parameters!$B$7,IF(ISNUMBER(SEARCH("geometry",C49)),Parameters!$B$8,IF(ISNUMBER(SEARCH("reasoning",C49)),Parameters!$B$9,Parameters!$B$10))))))</f>
        <v>4</v>
      </c>
      <c r="F49" s="23">
        <f>IF(D49="major",Parameters!$B$14,IF(D49="medium",Parameters!$B$15,Parameters!$B$16))</f>
        <v>3</v>
      </c>
      <c r="G49" s="16">
        <f t="shared" si="1"/>
        <v>0</v>
      </c>
      <c r="H49" s="24">
        <f>Parameters!$B$20^(G49-1)</f>
        <v>1.4285714285714286</v>
      </c>
      <c r="I49" s="18">
        <f t="shared" si="2"/>
        <v>17.142857142857142</v>
      </c>
    </row>
    <row r="50" spans="1:9" ht="13.15" x14ac:dyDescent="0.35">
      <c r="A50" s="21">
        <v>49</v>
      </c>
      <c r="B50" s="16">
        <f>'Data KIMI'!B50</f>
        <v>6</v>
      </c>
      <c r="C50" s="22" t="str">
        <f>'Data KIMI'!F50</f>
        <v>reasoning</v>
      </c>
      <c r="D50" s="16" t="str">
        <f>LOWER(TRIM('Data KIMI'!H50))</f>
        <v>medium</v>
      </c>
      <c r="E50" s="23">
        <f>IF(ISNUMBER(SEARCH("move_legality",C50)),Parameters!$B$4,IF(ISNUMBER(SEARCH("piece_placement",C50)),Parameters!$B$5,IF(ISNUMBER(SEARCH("material",C50)),Parameters!$B$6,IF(ISNUMBER(SEARCH("piece_relations",C50)),Parameters!$B$7,IF(ISNUMBER(SEARCH("geometry",C50)),Parameters!$B$8,IF(ISNUMBER(SEARCH("reasoning",C50)),Parameters!$B$9,Parameters!$B$10))))))</f>
        <v>2</v>
      </c>
      <c r="F50" s="23">
        <f>IF(D50="major",Parameters!$B$14,IF(D50="medium",Parameters!$B$15,Parameters!$B$16))</f>
        <v>2</v>
      </c>
      <c r="G50" s="16">
        <f t="shared" si="1"/>
        <v>0</v>
      </c>
      <c r="H50" s="24">
        <f>Parameters!$B$20^(G50-1)</f>
        <v>1.4285714285714286</v>
      </c>
      <c r="I50" s="18">
        <f t="shared" si="2"/>
        <v>5.7142857142857144</v>
      </c>
    </row>
    <row r="51" spans="1:9" ht="13.15" x14ac:dyDescent="0.35">
      <c r="A51" s="21">
        <v>50</v>
      </c>
      <c r="B51" s="16">
        <f>'Data KIMI'!B51</f>
        <v>6</v>
      </c>
      <c r="C51" s="22" t="str">
        <f>'Data KIMI'!F51</f>
        <v>reasoning</v>
      </c>
      <c r="D51" s="16" t="str">
        <f>LOWER(TRIM('Data KIMI'!H51))</f>
        <v>medium</v>
      </c>
      <c r="E51" s="23">
        <f>IF(ISNUMBER(SEARCH("move_legality",C51)),Parameters!$B$4,IF(ISNUMBER(SEARCH("piece_placement",C51)),Parameters!$B$5,IF(ISNUMBER(SEARCH("material",C51)),Parameters!$B$6,IF(ISNUMBER(SEARCH("piece_relations",C51)),Parameters!$B$7,IF(ISNUMBER(SEARCH("geometry",C51)),Parameters!$B$8,IF(ISNUMBER(SEARCH("reasoning",C51)),Parameters!$B$9,Parameters!$B$10))))))</f>
        <v>2</v>
      </c>
      <c r="F51" s="23">
        <f>IF(D51="major",Parameters!$B$14,IF(D51="medium",Parameters!$B$15,Parameters!$B$16))</f>
        <v>2</v>
      </c>
      <c r="G51" s="16">
        <f t="shared" si="1"/>
        <v>0</v>
      </c>
      <c r="H51" s="24">
        <f>Parameters!$B$20^(G51-1)</f>
        <v>1.4285714285714286</v>
      </c>
      <c r="I51" s="18">
        <f t="shared" si="2"/>
        <v>5.7142857142857144</v>
      </c>
    </row>
    <row r="52" spans="1:9" ht="13.15" x14ac:dyDescent="0.35">
      <c r="A52" s="21">
        <v>51</v>
      </c>
      <c r="B52" s="16">
        <f>'Data KIMI'!B52</f>
        <v>6</v>
      </c>
      <c r="C52" s="22" t="str">
        <f>'Data KIMI'!F52</f>
        <v>piece_relations</v>
      </c>
      <c r="D52" s="16" t="str">
        <f>LOWER(TRIM('Data KIMI'!H52))</f>
        <v>major</v>
      </c>
      <c r="E52" s="23">
        <f>IF(ISNUMBER(SEARCH("move_legality",C52)),Parameters!$B$4,IF(ISNUMBER(SEARCH("piece_placement",C52)),Parameters!$B$5,IF(ISNUMBER(SEARCH("material",C52)),Parameters!$B$6,IF(ISNUMBER(SEARCH("piece_relations",C52)),Parameters!$B$7,IF(ISNUMBER(SEARCH("geometry",C52)),Parameters!$B$8,IF(ISNUMBER(SEARCH("reasoning",C52)),Parameters!$B$9,Parameters!$B$10))))))</f>
        <v>4</v>
      </c>
      <c r="F52" s="23">
        <f>IF(D52="major",Parameters!$B$14,IF(D52="medium",Parameters!$B$15,Parameters!$B$16))</f>
        <v>3</v>
      </c>
      <c r="G52" s="16">
        <f t="shared" si="1"/>
        <v>0</v>
      </c>
      <c r="H52" s="24">
        <f>Parameters!$B$20^(G52-1)</f>
        <v>1.4285714285714286</v>
      </c>
      <c r="I52" s="18">
        <f t="shared" si="2"/>
        <v>17.142857142857142</v>
      </c>
    </row>
    <row r="53" spans="1:9" ht="13.15" x14ac:dyDescent="0.35">
      <c r="A53" s="21">
        <v>52</v>
      </c>
      <c r="B53" s="16">
        <f>'Data KIMI'!B53</f>
        <v>6</v>
      </c>
      <c r="C53" s="22" t="str">
        <f>'Data KIMI'!F53</f>
        <v>reasoning</v>
      </c>
      <c r="D53" s="16" t="str">
        <f>LOWER(TRIM('Data KIMI'!H53))</f>
        <v>medium</v>
      </c>
      <c r="E53" s="23">
        <f>IF(ISNUMBER(SEARCH("move_legality",C53)),Parameters!$B$4,IF(ISNUMBER(SEARCH("piece_placement",C53)),Parameters!$B$5,IF(ISNUMBER(SEARCH("material",C53)),Parameters!$B$6,IF(ISNUMBER(SEARCH("piece_relations",C53)),Parameters!$B$7,IF(ISNUMBER(SEARCH("geometry",C53)),Parameters!$B$8,IF(ISNUMBER(SEARCH("reasoning",C53)),Parameters!$B$9,Parameters!$B$10))))))</f>
        <v>2</v>
      </c>
      <c r="F53" s="23">
        <f>IF(D53="major",Parameters!$B$14,IF(D53="medium",Parameters!$B$15,Parameters!$B$16))</f>
        <v>2</v>
      </c>
      <c r="G53" s="16">
        <f t="shared" ref="G53:G116" si="3">COUNTIFS($B$2:$B$12,B53,$C$2:$C$12,C53,$F$2:$F$12,"&gt;"&amp;F53)+COUNTIFS($B$2:$B$12,B53,$C$2:$C$12,C53,$F$2:$F$12,F53,$A$2:$A$12,"&lt;="&amp;A53)</f>
        <v>0</v>
      </c>
      <c r="H53" s="24">
        <f>Parameters!$B$20^(G53-1)</f>
        <v>1.4285714285714286</v>
      </c>
      <c r="I53" s="18">
        <f t="shared" ref="I53:I116" si="4">E53*F53*H53</f>
        <v>5.7142857142857144</v>
      </c>
    </row>
    <row r="54" spans="1:9" ht="13.15" x14ac:dyDescent="0.35">
      <c r="A54" s="21">
        <v>53</v>
      </c>
      <c r="B54" s="16">
        <f>'Data KIMI'!B54</f>
        <v>6</v>
      </c>
      <c r="C54" s="22" t="str">
        <f>'Data KIMI'!F54</f>
        <v>reasoning</v>
      </c>
      <c r="D54" s="16" t="str">
        <f>LOWER(TRIM('Data KIMI'!H54))</f>
        <v>minor</v>
      </c>
      <c r="E54" s="23">
        <f>IF(ISNUMBER(SEARCH("move_legality",C54)),Parameters!$B$4,IF(ISNUMBER(SEARCH("piece_placement",C54)),Parameters!$B$5,IF(ISNUMBER(SEARCH("material",C54)),Parameters!$B$6,IF(ISNUMBER(SEARCH("piece_relations",C54)),Parameters!$B$7,IF(ISNUMBER(SEARCH("geometry",C54)),Parameters!$B$8,IF(ISNUMBER(SEARCH("reasoning",C54)),Parameters!$B$9,Parameters!$B$10))))))</f>
        <v>2</v>
      </c>
      <c r="F54" s="23">
        <f>IF(D54="major",Parameters!$B$14,IF(D54="medium",Parameters!$B$15,Parameters!$B$16))</f>
        <v>1</v>
      </c>
      <c r="G54" s="16">
        <f t="shared" si="3"/>
        <v>0</v>
      </c>
      <c r="H54" s="24">
        <f>Parameters!$B$20^(G54-1)</f>
        <v>1.4285714285714286</v>
      </c>
      <c r="I54" s="18">
        <f t="shared" si="4"/>
        <v>2.8571428571428572</v>
      </c>
    </row>
    <row r="55" spans="1:9" ht="13.15" x14ac:dyDescent="0.35">
      <c r="A55" s="21">
        <v>54</v>
      </c>
      <c r="B55" s="16">
        <f>'Data KIMI'!B55</f>
        <v>6</v>
      </c>
      <c r="C55" s="22" t="str">
        <f>'Data KIMI'!F55</f>
        <v>move_legality</v>
      </c>
      <c r="D55" s="16" t="str">
        <f>LOWER(TRIM('Data KIMI'!H55))</f>
        <v>major</v>
      </c>
      <c r="E55" s="23">
        <f>IF(ISNUMBER(SEARCH("move_legality",C55)),Parameters!$B$4,IF(ISNUMBER(SEARCH("piece_placement",C55)),Parameters!$B$5,IF(ISNUMBER(SEARCH("material",C55)),Parameters!$B$6,IF(ISNUMBER(SEARCH("piece_relations",C55)),Parameters!$B$7,IF(ISNUMBER(SEARCH("geometry",C55)),Parameters!$B$8,IF(ISNUMBER(SEARCH("reasoning",C55)),Parameters!$B$9,Parameters!$B$10))))))</f>
        <v>8</v>
      </c>
      <c r="F55" s="23">
        <f>IF(D55="major",Parameters!$B$14,IF(D55="medium",Parameters!$B$15,Parameters!$B$16))</f>
        <v>3</v>
      </c>
      <c r="G55" s="16">
        <f t="shared" si="3"/>
        <v>0</v>
      </c>
      <c r="H55" s="24">
        <f>Parameters!$B$20^(G55-1)</f>
        <v>1.4285714285714286</v>
      </c>
      <c r="I55" s="18">
        <f t="shared" si="4"/>
        <v>34.285714285714285</v>
      </c>
    </row>
    <row r="56" spans="1:9" ht="13.15" x14ac:dyDescent="0.35">
      <c r="A56" s="21">
        <v>55</v>
      </c>
      <c r="B56" s="16">
        <f>'Data KIMI'!B56</f>
        <v>6</v>
      </c>
      <c r="C56" s="22" t="str">
        <f>'Data KIMI'!F56</f>
        <v>piece_relations</v>
      </c>
      <c r="D56" s="16" t="str">
        <f>LOWER(TRIM('Data KIMI'!H56))</f>
        <v>major</v>
      </c>
      <c r="E56" s="23">
        <f>IF(ISNUMBER(SEARCH("move_legality",C56)),Parameters!$B$4,IF(ISNUMBER(SEARCH("piece_placement",C56)),Parameters!$B$5,IF(ISNUMBER(SEARCH("material",C56)),Parameters!$B$6,IF(ISNUMBER(SEARCH("piece_relations",C56)),Parameters!$B$7,IF(ISNUMBER(SEARCH("geometry",C56)),Parameters!$B$8,IF(ISNUMBER(SEARCH("reasoning",C56)),Parameters!$B$9,Parameters!$B$10))))))</f>
        <v>4</v>
      </c>
      <c r="F56" s="23">
        <f>IF(D56="major",Parameters!$B$14,IF(D56="medium",Parameters!$B$15,Parameters!$B$16))</f>
        <v>3</v>
      </c>
      <c r="G56" s="16">
        <f t="shared" si="3"/>
        <v>0</v>
      </c>
      <c r="H56" s="24">
        <f>Parameters!$B$20^(G56-1)</f>
        <v>1.4285714285714286</v>
      </c>
      <c r="I56" s="18">
        <f t="shared" si="4"/>
        <v>17.142857142857142</v>
      </c>
    </row>
    <row r="57" spans="1:9" ht="13.15" x14ac:dyDescent="0.35">
      <c r="A57" s="21">
        <v>56</v>
      </c>
      <c r="B57" s="16">
        <f>'Data KIMI'!B57</f>
        <v>6</v>
      </c>
      <c r="C57" s="22" t="str">
        <f>'Data KIMI'!F57</f>
        <v>move_legality</v>
      </c>
      <c r="D57" s="16" t="str">
        <f>LOWER(TRIM('Data KIMI'!H57))</f>
        <v>major</v>
      </c>
      <c r="E57" s="23">
        <f>IF(ISNUMBER(SEARCH("move_legality",C57)),Parameters!$B$4,IF(ISNUMBER(SEARCH("piece_placement",C57)),Parameters!$B$5,IF(ISNUMBER(SEARCH("material",C57)),Parameters!$B$6,IF(ISNUMBER(SEARCH("piece_relations",C57)),Parameters!$B$7,IF(ISNUMBER(SEARCH("geometry",C57)),Parameters!$B$8,IF(ISNUMBER(SEARCH("reasoning",C57)),Parameters!$B$9,Parameters!$B$10))))))</f>
        <v>8</v>
      </c>
      <c r="F57" s="23">
        <f>IF(D57="major",Parameters!$B$14,IF(D57="medium",Parameters!$B$15,Parameters!$B$16))</f>
        <v>3</v>
      </c>
      <c r="G57" s="16">
        <f t="shared" si="3"/>
        <v>0</v>
      </c>
      <c r="H57" s="24">
        <f>Parameters!$B$20^(G57-1)</f>
        <v>1.4285714285714286</v>
      </c>
      <c r="I57" s="18">
        <f t="shared" si="4"/>
        <v>34.285714285714285</v>
      </c>
    </row>
    <row r="58" spans="1:9" ht="13.15" x14ac:dyDescent="0.35">
      <c r="A58" s="21">
        <v>57</v>
      </c>
      <c r="B58" s="16">
        <f>'Data KIMI'!B58</f>
        <v>6</v>
      </c>
      <c r="C58" s="22" t="str">
        <f>'Data KIMI'!F58</f>
        <v>move_legality</v>
      </c>
      <c r="D58" s="16" t="str">
        <f>LOWER(TRIM('Data KIMI'!H58))</f>
        <v>major</v>
      </c>
      <c r="E58" s="23">
        <f>IF(ISNUMBER(SEARCH("move_legality",C58)),Parameters!$B$4,IF(ISNUMBER(SEARCH("piece_placement",C58)),Parameters!$B$5,IF(ISNUMBER(SEARCH("material",C58)),Parameters!$B$6,IF(ISNUMBER(SEARCH("piece_relations",C58)),Parameters!$B$7,IF(ISNUMBER(SEARCH("geometry",C58)),Parameters!$B$8,IF(ISNUMBER(SEARCH("reasoning",C58)),Parameters!$B$9,Parameters!$B$10))))))</f>
        <v>8</v>
      </c>
      <c r="F58" s="23">
        <f>IF(D58="major",Parameters!$B$14,IF(D58="medium",Parameters!$B$15,Parameters!$B$16))</f>
        <v>3</v>
      </c>
      <c r="G58" s="16">
        <f t="shared" si="3"/>
        <v>0</v>
      </c>
      <c r="H58" s="24">
        <f>Parameters!$B$20^(G58-1)</f>
        <v>1.4285714285714286</v>
      </c>
      <c r="I58" s="18">
        <f t="shared" si="4"/>
        <v>34.285714285714285</v>
      </c>
    </row>
    <row r="59" spans="1:9" ht="13.15" x14ac:dyDescent="0.35">
      <c r="A59" s="21">
        <v>58</v>
      </c>
      <c r="B59" s="16">
        <f>'Data KIMI'!B59</f>
        <v>6</v>
      </c>
      <c r="C59" s="22" t="str">
        <f>'Data KIMI'!F59</f>
        <v>piece_relations</v>
      </c>
      <c r="D59" s="16" t="str">
        <f>LOWER(TRIM('Data KIMI'!H59))</f>
        <v>major</v>
      </c>
      <c r="E59" s="23">
        <f>IF(ISNUMBER(SEARCH("move_legality",C59)),Parameters!$B$4,IF(ISNUMBER(SEARCH("piece_placement",C59)),Parameters!$B$5,IF(ISNUMBER(SEARCH("material",C59)),Parameters!$B$6,IF(ISNUMBER(SEARCH("piece_relations",C59)),Parameters!$B$7,IF(ISNUMBER(SEARCH("geometry",C59)),Parameters!$B$8,IF(ISNUMBER(SEARCH("reasoning",C59)),Parameters!$B$9,Parameters!$B$10))))))</f>
        <v>4</v>
      </c>
      <c r="F59" s="23">
        <f>IF(D59="major",Parameters!$B$14,IF(D59="medium",Parameters!$B$15,Parameters!$B$16))</f>
        <v>3</v>
      </c>
      <c r="G59" s="16">
        <f t="shared" si="3"/>
        <v>0</v>
      </c>
      <c r="H59" s="24">
        <f>Parameters!$B$20^(G59-1)</f>
        <v>1.4285714285714286</v>
      </c>
      <c r="I59" s="18">
        <f t="shared" si="4"/>
        <v>17.142857142857142</v>
      </c>
    </row>
    <row r="60" spans="1:9" ht="13.15" x14ac:dyDescent="0.35">
      <c r="A60" s="21">
        <v>59</v>
      </c>
      <c r="B60" s="16">
        <f>'Data KIMI'!B60</f>
        <v>6</v>
      </c>
      <c r="C60" s="22" t="str">
        <f>'Data KIMI'!F60</f>
        <v>piece_relations</v>
      </c>
      <c r="D60" s="16" t="str">
        <f>LOWER(TRIM('Data KIMI'!H60))</f>
        <v>major</v>
      </c>
      <c r="E60" s="23">
        <f>IF(ISNUMBER(SEARCH("move_legality",C60)),Parameters!$B$4,IF(ISNUMBER(SEARCH("piece_placement",C60)),Parameters!$B$5,IF(ISNUMBER(SEARCH("material",C60)),Parameters!$B$6,IF(ISNUMBER(SEARCH("piece_relations",C60)),Parameters!$B$7,IF(ISNUMBER(SEARCH("geometry",C60)),Parameters!$B$8,IF(ISNUMBER(SEARCH("reasoning",C60)),Parameters!$B$9,Parameters!$B$10))))))</f>
        <v>4</v>
      </c>
      <c r="F60" s="23">
        <f>IF(D60="major",Parameters!$B$14,IF(D60="medium",Parameters!$B$15,Parameters!$B$16))</f>
        <v>3</v>
      </c>
      <c r="G60" s="16">
        <f t="shared" si="3"/>
        <v>0</v>
      </c>
      <c r="H60" s="24">
        <f>Parameters!$B$20^(G60-1)</f>
        <v>1.4285714285714286</v>
      </c>
      <c r="I60" s="18">
        <f t="shared" si="4"/>
        <v>17.142857142857142</v>
      </c>
    </row>
    <row r="61" spans="1:9" ht="13.15" x14ac:dyDescent="0.35">
      <c r="A61" s="21">
        <v>60</v>
      </c>
      <c r="B61" s="16">
        <f>'Data KIMI'!B61</f>
        <v>7</v>
      </c>
      <c r="C61" s="22" t="str">
        <f>'Data KIMI'!F61</f>
        <v>reasoning</v>
      </c>
      <c r="D61" s="16" t="str">
        <f>LOWER(TRIM('Data KIMI'!H61))</f>
        <v>major</v>
      </c>
      <c r="E61" s="23">
        <f>IF(ISNUMBER(SEARCH("move_legality",C61)),Parameters!$B$4,IF(ISNUMBER(SEARCH("piece_placement",C61)),Parameters!$B$5,IF(ISNUMBER(SEARCH("material",C61)),Parameters!$B$6,IF(ISNUMBER(SEARCH("piece_relations",C61)),Parameters!$B$7,IF(ISNUMBER(SEARCH("geometry",C61)),Parameters!$B$8,IF(ISNUMBER(SEARCH("reasoning",C61)),Parameters!$B$9,Parameters!$B$10))))))</f>
        <v>2</v>
      </c>
      <c r="F61" s="23">
        <f>IF(D61="major",Parameters!$B$14,IF(D61="medium",Parameters!$B$15,Parameters!$B$16))</f>
        <v>3</v>
      </c>
      <c r="G61" s="16">
        <f t="shared" si="3"/>
        <v>0</v>
      </c>
      <c r="H61" s="24">
        <f>Parameters!$B$20^(G61-1)</f>
        <v>1.4285714285714286</v>
      </c>
      <c r="I61" s="18">
        <f t="shared" si="4"/>
        <v>8.5714285714285712</v>
      </c>
    </row>
    <row r="62" spans="1:9" ht="13.15" x14ac:dyDescent="0.35">
      <c r="A62" s="21">
        <v>61</v>
      </c>
      <c r="B62" s="16">
        <f>'Data KIMI'!B62</f>
        <v>7</v>
      </c>
      <c r="C62" s="22" t="str">
        <f>'Data KIMI'!F62</f>
        <v>piece_relations</v>
      </c>
      <c r="D62" s="16" t="str">
        <f>LOWER(TRIM('Data KIMI'!H62))</f>
        <v>major</v>
      </c>
      <c r="E62" s="23">
        <f>IF(ISNUMBER(SEARCH("move_legality",C62)),Parameters!$B$4,IF(ISNUMBER(SEARCH("piece_placement",C62)),Parameters!$B$5,IF(ISNUMBER(SEARCH("material",C62)),Parameters!$B$6,IF(ISNUMBER(SEARCH("piece_relations",C62)),Parameters!$B$7,IF(ISNUMBER(SEARCH("geometry",C62)),Parameters!$B$8,IF(ISNUMBER(SEARCH("reasoning",C62)),Parameters!$B$9,Parameters!$B$10))))))</f>
        <v>4</v>
      </c>
      <c r="F62" s="23">
        <f>IF(D62="major",Parameters!$B$14,IF(D62="medium",Parameters!$B$15,Parameters!$B$16))</f>
        <v>3</v>
      </c>
      <c r="G62" s="16">
        <f t="shared" si="3"/>
        <v>0</v>
      </c>
      <c r="H62" s="24">
        <f>Parameters!$B$20^(G62-1)</f>
        <v>1.4285714285714286</v>
      </c>
      <c r="I62" s="18">
        <f t="shared" si="4"/>
        <v>17.142857142857142</v>
      </c>
    </row>
    <row r="63" spans="1:9" ht="13.15" x14ac:dyDescent="0.35">
      <c r="A63" s="21">
        <v>62</v>
      </c>
      <c r="B63" s="16">
        <f>'Data KIMI'!B63</f>
        <v>7</v>
      </c>
      <c r="C63" s="22" t="str">
        <f>'Data KIMI'!F63</f>
        <v>reasoning</v>
      </c>
      <c r="D63" s="16" t="str">
        <f>LOWER(TRIM('Data KIMI'!H63))</f>
        <v>medium</v>
      </c>
      <c r="E63" s="23">
        <f>IF(ISNUMBER(SEARCH("move_legality",C63)),Parameters!$B$4,IF(ISNUMBER(SEARCH("piece_placement",C63)),Parameters!$B$5,IF(ISNUMBER(SEARCH("material",C63)),Parameters!$B$6,IF(ISNUMBER(SEARCH("piece_relations",C63)),Parameters!$B$7,IF(ISNUMBER(SEARCH("geometry",C63)),Parameters!$B$8,IF(ISNUMBER(SEARCH("reasoning",C63)),Parameters!$B$9,Parameters!$B$10))))))</f>
        <v>2</v>
      </c>
      <c r="F63" s="23">
        <f>IF(D63="major",Parameters!$B$14,IF(D63="medium",Parameters!$B$15,Parameters!$B$16))</f>
        <v>2</v>
      </c>
      <c r="G63" s="16">
        <f t="shared" si="3"/>
        <v>0</v>
      </c>
      <c r="H63" s="24">
        <f>Parameters!$B$20^(G63-1)</f>
        <v>1.4285714285714286</v>
      </c>
      <c r="I63" s="18">
        <f t="shared" si="4"/>
        <v>5.7142857142857144</v>
      </c>
    </row>
    <row r="64" spans="1:9" ht="13.15" x14ac:dyDescent="0.35">
      <c r="A64" s="21">
        <v>63</v>
      </c>
      <c r="B64" s="16">
        <f>'Data KIMI'!B64</f>
        <v>7</v>
      </c>
      <c r="C64" s="22" t="str">
        <f>'Data KIMI'!F64</f>
        <v>reasoning</v>
      </c>
      <c r="D64" s="16" t="str">
        <f>LOWER(TRIM('Data KIMI'!H64))</f>
        <v>minor</v>
      </c>
      <c r="E64" s="23">
        <f>IF(ISNUMBER(SEARCH("move_legality",C64)),Parameters!$B$4,IF(ISNUMBER(SEARCH("piece_placement",C64)),Parameters!$B$5,IF(ISNUMBER(SEARCH("material",C64)),Parameters!$B$6,IF(ISNUMBER(SEARCH("piece_relations",C64)),Parameters!$B$7,IF(ISNUMBER(SEARCH("geometry",C64)),Parameters!$B$8,IF(ISNUMBER(SEARCH("reasoning",C64)),Parameters!$B$9,Parameters!$B$10))))))</f>
        <v>2</v>
      </c>
      <c r="F64" s="23">
        <f>IF(D64="major",Parameters!$B$14,IF(D64="medium",Parameters!$B$15,Parameters!$B$16))</f>
        <v>1</v>
      </c>
      <c r="G64" s="16">
        <f t="shared" si="3"/>
        <v>0</v>
      </c>
      <c r="H64" s="24">
        <f>Parameters!$B$20^(G64-1)</f>
        <v>1.4285714285714286</v>
      </c>
      <c r="I64" s="18">
        <f t="shared" si="4"/>
        <v>2.8571428571428572</v>
      </c>
    </row>
    <row r="65" spans="1:9" ht="13.15" x14ac:dyDescent="0.35">
      <c r="A65" s="21">
        <v>64</v>
      </c>
      <c r="B65" s="16">
        <f>'Data KIMI'!B65</f>
        <v>7</v>
      </c>
      <c r="C65" s="22" t="str">
        <f>'Data KIMI'!F65</f>
        <v>reasoning</v>
      </c>
      <c r="D65" s="16" t="str">
        <f>LOWER(TRIM('Data KIMI'!H65))</f>
        <v>minor</v>
      </c>
      <c r="E65" s="23">
        <f>IF(ISNUMBER(SEARCH("move_legality",C65)),Parameters!$B$4,IF(ISNUMBER(SEARCH("piece_placement",C65)),Parameters!$B$5,IF(ISNUMBER(SEARCH("material",C65)),Parameters!$B$6,IF(ISNUMBER(SEARCH("piece_relations",C65)),Parameters!$B$7,IF(ISNUMBER(SEARCH("geometry",C65)),Parameters!$B$8,IF(ISNUMBER(SEARCH("reasoning",C65)),Parameters!$B$9,Parameters!$B$10))))))</f>
        <v>2</v>
      </c>
      <c r="F65" s="23">
        <f>IF(D65="major",Parameters!$B$14,IF(D65="medium",Parameters!$B$15,Parameters!$B$16))</f>
        <v>1</v>
      </c>
      <c r="G65" s="16">
        <f t="shared" si="3"/>
        <v>0</v>
      </c>
      <c r="H65" s="24">
        <f>Parameters!$B$20^(G65-1)</f>
        <v>1.4285714285714286</v>
      </c>
      <c r="I65" s="18">
        <f t="shared" si="4"/>
        <v>2.8571428571428572</v>
      </c>
    </row>
    <row r="66" spans="1:9" ht="13.15" x14ac:dyDescent="0.35">
      <c r="A66" s="21">
        <v>65</v>
      </c>
      <c r="B66" s="16">
        <f>'Data KIMI'!B66</f>
        <v>7</v>
      </c>
      <c r="C66" s="22" t="str">
        <f>'Data KIMI'!F66</f>
        <v>reasoning</v>
      </c>
      <c r="D66" s="16" t="str">
        <f>LOWER(TRIM('Data KIMI'!H66))</f>
        <v>major</v>
      </c>
      <c r="E66" s="23">
        <f>IF(ISNUMBER(SEARCH("move_legality",C66)),Parameters!$B$4,IF(ISNUMBER(SEARCH("piece_placement",C66)),Parameters!$B$5,IF(ISNUMBER(SEARCH("material",C66)),Parameters!$B$6,IF(ISNUMBER(SEARCH("piece_relations",C66)),Parameters!$B$7,IF(ISNUMBER(SEARCH("geometry",C66)),Parameters!$B$8,IF(ISNUMBER(SEARCH("reasoning",C66)),Parameters!$B$9,Parameters!$B$10))))))</f>
        <v>2</v>
      </c>
      <c r="F66" s="23">
        <f>IF(D66="major",Parameters!$B$14,IF(D66="medium",Parameters!$B$15,Parameters!$B$16))</f>
        <v>3</v>
      </c>
      <c r="G66" s="16">
        <f t="shared" si="3"/>
        <v>0</v>
      </c>
      <c r="H66" s="24">
        <f>Parameters!$B$20^(G66-1)</f>
        <v>1.4285714285714286</v>
      </c>
      <c r="I66" s="18">
        <f t="shared" si="4"/>
        <v>8.5714285714285712</v>
      </c>
    </row>
    <row r="67" spans="1:9" ht="13.15" x14ac:dyDescent="0.35">
      <c r="A67" s="21">
        <v>66</v>
      </c>
      <c r="B67" s="16">
        <f>'Data KIMI'!B67</f>
        <v>7</v>
      </c>
      <c r="C67" s="22" t="str">
        <f>'Data KIMI'!F67</f>
        <v>material</v>
      </c>
      <c r="D67" s="16" t="str">
        <f>LOWER(TRIM('Data KIMI'!H67))</f>
        <v>major</v>
      </c>
      <c r="E67" s="23">
        <f>IF(ISNUMBER(SEARCH("move_legality",C67)),Parameters!$B$4,IF(ISNUMBER(SEARCH("piece_placement",C67)),Parameters!$B$5,IF(ISNUMBER(SEARCH("material",C67)),Parameters!$B$6,IF(ISNUMBER(SEARCH("piece_relations",C67)),Parameters!$B$7,IF(ISNUMBER(SEARCH("geometry",C67)),Parameters!$B$8,IF(ISNUMBER(SEARCH("reasoning",C67)),Parameters!$B$9,Parameters!$B$10))))))</f>
        <v>5</v>
      </c>
      <c r="F67" s="23">
        <f>IF(D67="major",Parameters!$B$14,IF(D67="medium",Parameters!$B$15,Parameters!$B$16))</f>
        <v>3</v>
      </c>
      <c r="G67" s="16">
        <f t="shared" si="3"/>
        <v>0</v>
      </c>
      <c r="H67" s="24">
        <f>Parameters!$B$20^(G67-1)</f>
        <v>1.4285714285714286</v>
      </c>
      <c r="I67" s="18">
        <f t="shared" si="4"/>
        <v>21.428571428571431</v>
      </c>
    </row>
    <row r="68" spans="1:9" ht="13.15" x14ac:dyDescent="0.35">
      <c r="A68" s="21">
        <v>67</v>
      </c>
      <c r="B68" s="16">
        <f>'Data KIMI'!B68</f>
        <v>7</v>
      </c>
      <c r="C68" s="22" t="str">
        <f>'Data KIMI'!F68</f>
        <v>material</v>
      </c>
      <c r="D68" s="16" t="str">
        <f>LOWER(TRIM('Data KIMI'!H68))</f>
        <v>minor</v>
      </c>
      <c r="E68" s="23">
        <f>IF(ISNUMBER(SEARCH("move_legality",C68)),Parameters!$B$4,IF(ISNUMBER(SEARCH("piece_placement",C68)),Parameters!$B$5,IF(ISNUMBER(SEARCH("material",C68)),Parameters!$B$6,IF(ISNUMBER(SEARCH("piece_relations",C68)),Parameters!$B$7,IF(ISNUMBER(SEARCH("geometry",C68)),Parameters!$B$8,IF(ISNUMBER(SEARCH("reasoning",C68)),Parameters!$B$9,Parameters!$B$10))))))</f>
        <v>5</v>
      </c>
      <c r="F68" s="23">
        <f>IF(D68="major",Parameters!$B$14,IF(D68="medium",Parameters!$B$15,Parameters!$B$16))</f>
        <v>1</v>
      </c>
      <c r="G68" s="16">
        <f t="shared" si="3"/>
        <v>0</v>
      </c>
      <c r="H68" s="24">
        <f>Parameters!$B$20^(G68-1)</f>
        <v>1.4285714285714286</v>
      </c>
      <c r="I68" s="18">
        <f t="shared" si="4"/>
        <v>7.1428571428571432</v>
      </c>
    </row>
    <row r="69" spans="1:9" ht="13.15" x14ac:dyDescent="0.35">
      <c r="A69" s="21">
        <v>68</v>
      </c>
      <c r="B69" s="16">
        <f>'Data KIMI'!B69</f>
        <v>8</v>
      </c>
      <c r="C69" s="22" t="str">
        <f>'Data KIMI'!F69</f>
        <v>reasoning</v>
      </c>
      <c r="D69" s="16" t="str">
        <f>LOWER(TRIM('Data KIMI'!H69))</f>
        <v>medium</v>
      </c>
      <c r="E69" s="23">
        <f>IF(ISNUMBER(SEARCH("move_legality",C69)),Parameters!$B$4,IF(ISNUMBER(SEARCH("piece_placement",C69)),Parameters!$B$5,IF(ISNUMBER(SEARCH("material",C69)),Parameters!$B$6,IF(ISNUMBER(SEARCH("piece_relations",C69)),Parameters!$B$7,IF(ISNUMBER(SEARCH("geometry",C69)),Parameters!$B$8,IF(ISNUMBER(SEARCH("reasoning",C69)),Parameters!$B$9,Parameters!$B$10))))))</f>
        <v>2</v>
      </c>
      <c r="F69" s="23">
        <f>IF(D69="major",Parameters!$B$14,IF(D69="medium",Parameters!$B$15,Parameters!$B$16))</f>
        <v>2</v>
      </c>
      <c r="G69" s="16">
        <f t="shared" si="3"/>
        <v>0</v>
      </c>
      <c r="H69" s="24">
        <f>Parameters!$B$20^(G69-1)</f>
        <v>1.4285714285714286</v>
      </c>
      <c r="I69" s="18">
        <f t="shared" si="4"/>
        <v>5.7142857142857144</v>
      </c>
    </row>
    <row r="70" spans="1:9" ht="13.15" x14ac:dyDescent="0.35">
      <c r="A70" s="21">
        <v>69</v>
      </c>
      <c r="B70" s="16">
        <f>'Data KIMI'!B70</f>
        <v>8</v>
      </c>
      <c r="C70" s="22" t="str">
        <f>'Data KIMI'!F70</f>
        <v>piece_relations</v>
      </c>
      <c r="D70" s="16" t="str">
        <f>LOWER(TRIM('Data KIMI'!H70))</f>
        <v>major</v>
      </c>
      <c r="E70" s="23">
        <f>IF(ISNUMBER(SEARCH("move_legality",C70)),Parameters!$B$4,IF(ISNUMBER(SEARCH("piece_placement",C70)),Parameters!$B$5,IF(ISNUMBER(SEARCH("material",C70)),Parameters!$B$6,IF(ISNUMBER(SEARCH("piece_relations",C70)),Parameters!$B$7,IF(ISNUMBER(SEARCH("geometry",C70)),Parameters!$B$8,IF(ISNUMBER(SEARCH("reasoning",C70)),Parameters!$B$9,Parameters!$B$10))))))</f>
        <v>4</v>
      </c>
      <c r="F70" s="23">
        <f>IF(D70="major",Parameters!$B$14,IF(D70="medium",Parameters!$B$15,Parameters!$B$16))</f>
        <v>3</v>
      </c>
      <c r="G70" s="16">
        <f t="shared" si="3"/>
        <v>0</v>
      </c>
      <c r="H70" s="24">
        <f>Parameters!$B$20^(G70-1)</f>
        <v>1.4285714285714286</v>
      </c>
      <c r="I70" s="18">
        <f t="shared" si="4"/>
        <v>17.142857142857142</v>
      </c>
    </row>
    <row r="71" spans="1:9" ht="13.15" x14ac:dyDescent="0.35">
      <c r="A71" s="21">
        <v>70</v>
      </c>
      <c r="B71" s="16">
        <f>'Data KIMI'!B71</f>
        <v>8</v>
      </c>
      <c r="C71" s="22" t="str">
        <f>'Data KIMI'!F71</f>
        <v>geometry</v>
      </c>
      <c r="D71" s="16" t="str">
        <f>LOWER(TRIM('Data KIMI'!H71))</f>
        <v>major</v>
      </c>
      <c r="E71" s="23">
        <f>IF(ISNUMBER(SEARCH("move_legality",C71)),Parameters!$B$4,IF(ISNUMBER(SEARCH("piece_placement",C71)),Parameters!$B$5,IF(ISNUMBER(SEARCH("material",C71)),Parameters!$B$6,IF(ISNUMBER(SEARCH("piece_relations",C71)),Parameters!$B$7,IF(ISNUMBER(SEARCH("geometry",C71)),Parameters!$B$8,IF(ISNUMBER(SEARCH("reasoning",C71)),Parameters!$B$9,Parameters!$B$10))))))</f>
        <v>3</v>
      </c>
      <c r="F71" s="23">
        <f>IF(D71="major",Parameters!$B$14,IF(D71="medium",Parameters!$B$15,Parameters!$B$16))</f>
        <v>3</v>
      </c>
      <c r="G71" s="16">
        <f t="shared" si="3"/>
        <v>0</v>
      </c>
      <c r="H71" s="24">
        <f>Parameters!$B$20^(G71-1)</f>
        <v>1.4285714285714286</v>
      </c>
      <c r="I71" s="18">
        <f t="shared" si="4"/>
        <v>12.857142857142858</v>
      </c>
    </row>
    <row r="72" spans="1:9" ht="13.15" x14ac:dyDescent="0.35">
      <c r="A72" s="21">
        <v>71</v>
      </c>
      <c r="B72" s="16">
        <f>'Data KIMI'!B72</f>
        <v>8</v>
      </c>
      <c r="C72" s="22" t="str">
        <f>'Data KIMI'!F72</f>
        <v>piece_relations</v>
      </c>
      <c r="D72" s="16" t="str">
        <f>LOWER(TRIM('Data KIMI'!H72))</f>
        <v>major</v>
      </c>
      <c r="E72" s="23">
        <f>IF(ISNUMBER(SEARCH("move_legality",C72)),Parameters!$B$4,IF(ISNUMBER(SEARCH("piece_placement",C72)),Parameters!$B$5,IF(ISNUMBER(SEARCH("material",C72)),Parameters!$B$6,IF(ISNUMBER(SEARCH("piece_relations",C72)),Parameters!$B$7,IF(ISNUMBER(SEARCH("geometry",C72)),Parameters!$B$8,IF(ISNUMBER(SEARCH("reasoning",C72)),Parameters!$B$9,Parameters!$B$10))))))</f>
        <v>4</v>
      </c>
      <c r="F72" s="23">
        <f>IF(D72="major",Parameters!$B$14,IF(D72="medium",Parameters!$B$15,Parameters!$B$16))</f>
        <v>3</v>
      </c>
      <c r="G72" s="16">
        <f t="shared" si="3"/>
        <v>0</v>
      </c>
      <c r="H72" s="24">
        <f>Parameters!$B$20^(G72-1)</f>
        <v>1.4285714285714286</v>
      </c>
      <c r="I72" s="18">
        <f t="shared" si="4"/>
        <v>17.142857142857142</v>
      </c>
    </row>
    <row r="73" spans="1:9" ht="13.15" x14ac:dyDescent="0.35">
      <c r="A73" s="21">
        <v>72</v>
      </c>
      <c r="B73" s="16">
        <f>'Data KIMI'!B73</f>
        <v>8</v>
      </c>
      <c r="C73" s="22" t="str">
        <f>'Data KIMI'!F73</f>
        <v>piece_relations</v>
      </c>
      <c r="D73" s="16" t="str">
        <f>LOWER(TRIM('Data KIMI'!H73))</f>
        <v>major</v>
      </c>
      <c r="E73" s="23">
        <f>IF(ISNUMBER(SEARCH("move_legality",C73)),Parameters!$B$4,IF(ISNUMBER(SEARCH("piece_placement",C73)),Parameters!$B$5,IF(ISNUMBER(SEARCH("material",C73)),Parameters!$B$6,IF(ISNUMBER(SEARCH("piece_relations",C73)),Parameters!$B$7,IF(ISNUMBER(SEARCH("geometry",C73)),Parameters!$B$8,IF(ISNUMBER(SEARCH("reasoning",C73)),Parameters!$B$9,Parameters!$B$10))))))</f>
        <v>4</v>
      </c>
      <c r="F73" s="23">
        <f>IF(D73="major",Parameters!$B$14,IF(D73="medium",Parameters!$B$15,Parameters!$B$16))</f>
        <v>3</v>
      </c>
      <c r="G73" s="16">
        <f t="shared" si="3"/>
        <v>0</v>
      </c>
      <c r="H73" s="24">
        <f>Parameters!$B$20^(G73-1)</f>
        <v>1.4285714285714286</v>
      </c>
      <c r="I73" s="18">
        <f t="shared" si="4"/>
        <v>17.142857142857142</v>
      </c>
    </row>
    <row r="74" spans="1:9" ht="13.15" x14ac:dyDescent="0.35">
      <c r="A74" s="21">
        <v>73</v>
      </c>
      <c r="B74" s="16">
        <f>'Data KIMI'!B74</f>
        <v>8</v>
      </c>
      <c r="C74" s="22" t="str">
        <f>'Data KIMI'!F74</f>
        <v>reasoning</v>
      </c>
      <c r="D74" s="16" t="str">
        <f>LOWER(TRIM('Data KIMI'!H74))</f>
        <v>major</v>
      </c>
      <c r="E74" s="23">
        <f>IF(ISNUMBER(SEARCH("move_legality",C74)),Parameters!$B$4,IF(ISNUMBER(SEARCH("piece_placement",C74)),Parameters!$B$5,IF(ISNUMBER(SEARCH("material",C74)),Parameters!$B$6,IF(ISNUMBER(SEARCH("piece_relations",C74)),Parameters!$B$7,IF(ISNUMBER(SEARCH("geometry",C74)),Parameters!$B$8,IF(ISNUMBER(SEARCH("reasoning",C74)),Parameters!$B$9,Parameters!$B$10))))))</f>
        <v>2</v>
      </c>
      <c r="F74" s="23">
        <f>IF(D74="major",Parameters!$B$14,IF(D74="medium",Parameters!$B$15,Parameters!$B$16))</f>
        <v>3</v>
      </c>
      <c r="G74" s="16">
        <f t="shared" si="3"/>
        <v>0</v>
      </c>
      <c r="H74" s="24">
        <f>Parameters!$B$20^(G74-1)</f>
        <v>1.4285714285714286</v>
      </c>
      <c r="I74" s="18">
        <f t="shared" si="4"/>
        <v>8.5714285714285712</v>
      </c>
    </row>
    <row r="75" spans="1:9" ht="13.15" x14ac:dyDescent="0.35">
      <c r="A75" s="21">
        <v>74</v>
      </c>
      <c r="B75" s="16">
        <f>'Data KIMI'!B75</f>
        <v>8</v>
      </c>
      <c r="C75" s="22" t="str">
        <f>'Data KIMI'!F75</f>
        <v>geometry</v>
      </c>
      <c r="D75" s="16" t="str">
        <f>LOWER(TRIM('Data KIMI'!H75))</f>
        <v>major</v>
      </c>
      <c r="E75" s="23">
        <f>IF(ISNUMBER(SEARCH("move_legality",C75)),Parameters!$B$4,IF(ISNUMBER(SEARCH("piece_placement",C75)),Parameters!$B$5,IF(ISNUMBER(SEARCH("material",C75)),Parameters!$B$6,IF(ISNUMBER(SEARCH("piece_relations",C75)),Parameters!$B$7,IF(ISNUMBER(SEARCH("geometry",C75)),Parameters!$B$8,IF(ISNUMBER(SEARCH("reasoning",C75)),Parameters!$B$9,Parameters!$B$10))))))</f>
        <v>3</v>
      </c>
      <c r="F75" s="23">
        <f>IF(D75="major",Parameters!$B$14,IF(D75="medium",Parameters!$B$15,Parameters!$B$16))</f>
        <v>3</v>
      </c>
      <c r="G75" s="16">
        <f t="shared" si="3"/>
        <v>0</v>
      </c>
      <c r="H75" s="24">
        <f>Parameters!$B$20^(G75-1)</f>
        <v>1.4285714285714286</v>
      </c>
      <c r="I75" s="18">
        <f t="shared" si="4"/>
        <v>12.857142857142858</v>
      </c>
    </row>
    <row r="76" spans="1:9" ht="13.15" x14ac:dyDescent="0.35">
      <c r="A76" s="21">
        <v>75</v>
      </c>
      <c r="B76" s="16">
        <f>'Data KIMI'!B76</f>
        <v>8</v>
      </c>
      <c r="C76" s="22" t="str">
        <f>'Data KIMI'!F76</f>
        <v>piece_relations</v>
      </c>
      <c r="D76" s="16" t="str">
        <f>LOWER(TRIM('Data KIMI'!H76))</f>
        <v>major</v>
      </c>
      <c r="E76" s="23">
        <f>IF(ISNUMBER(SEARCH("move_legality",C76)),Parameters!$B$4,IF(ISNUMBER(SEARCH("piece_placement",C76)),Parameters!$B$5,IF(ISNUMBER(SEARCH("material",C76)),Parameters!$B$6,IF(ISNUMBER(SEARCH("piece_relations",C76)),Parameters!$B$7,IF(ISNUMBER(SEARCH("geometry",C76)),Parameters!$B$8,IF(ISNUMBER(SEARCH("reasoning",C76)),Parameters!$B$9,Parameters!$B$10))))))</f>
        <v>4</v>
      </c>
      <c r="F76" s="23">
        <f>IF(D76="major",Parameters!$B$14,IF(D76="medium",Parameters!$B$15,Parameters!$B$16))</f>
        <v>3</v>
      </c>
      <c r="G76" s="16">
        <f t="shared" si="3"/>
        <v>0</v>
      </c>
      <c r="H76" s="24">
        <f>Parameters!$B$20^(G76-1)</f>
        <v>1.4285714285714286</v>
      </c>
      <c r="I76" s="18">
        <f t="shared" si="4"/>
        <v>17.142857142857142</v>
      </c>
    </row>
    <row r="77" spans="1:9" ht="13.15" x14ac:dyDescent="0.35">
      <c r="A77" s="21">
        <v>76</v>
      </c>
      <c r="B77" s="16">
        <f>'Data KIMI'!B77</f>
        <v>8</v>
      </c>
      <c r="C77" s="22" t="str">
        <f>'Data KIMI'!F77</f>
        <v>reasoning</v>
      </c>
      <c r="D77" s="16" t="str">
        <f>LOWER(TRIM('Data KIMI'!H77))</f>
        <v>major</v>
      </c>
      <c r="E77" s="23">
        <f>IF(ISNUMBER(SEARCH("move_legality",C77)),Parameters!$B$4,IF(ISNUMBER(SEARCH("piece_placement",C77)),Parameters!$B$5,IF(ISNUMBER(SEARCH("material",C77)),Parameters!$B$6,IF(ISNUMBER(SEARCH("piece_relations",C77)),Parameters!$B$7,IF(ISNUMBER(SEARCH("geometry",C77)),Parameters!$B$8,IF(ISNUMBER(SEARCH("reasoning",C77)),Parameters!$B$9,Parameters!$B$10))))))</f>
        <v>2</v>
      </c>
      <c r="F77" s="23">
        <f>IF(D77="major",Parameters!$B$14,IF(D77="medium",Parameters!$B$15,Parameters!$B$16))</f>
        <v>3</v>
      </c>
      <c r="G77" s="16">
        <f t="shared" si="3"/>
        <v>0</v>
      </c>
      <c r="H77" s="24">
        <f>Parameters!$B$20^(G77-1)</f>
        <v>1.4285714285714286</v>
      </c>
      <c r="I77" s="18">
        <f t="shared" si="4"/>
        <v>8.5714285714285712</v>
      </c>
    </row>
    <row r="78" spans="1:9" ht="13.15" x14ac:dyDescent="0.35">
      <c r="A78" s="21">
        <v>77</v>
      </c>
      <c r="B78" s="16">
        <f>'Data KIMI'!B78</f>
        <v>8</v>
      </c>
      <c r="C78" s="22" t="str">
        <f>'Data KIMI'!F78</f>
        <v>reasoning</v>
      </c>
      <c r="D78" s="16" t="str">
        <f>LOWER(TRIM('Data KIMI'!H78))</f>
        <v>major</v>
      </c>
      <c r="E78" s="23">
        <f>IF(ISNUMBER(SEARCH("move_legality",C78)),Parameters!$B$4,IF(ISNUMBER(SEARCH("piece_placement",C78)),Parameters!$B$5,IF(ISNUMBER(SEARCH("material",C78)),Parameters!$B$6,IF(ISNUMBER(SEARCH("piece_relations",C78)),Parameters!$B$7,IF(ISNUMBER(SEARCH("geometry",C78)),Parameters!$B$8,IF(ISNUMBER(SEARCH("reasoning",C78)),Parameters!$B$9,Parameters!$B$10))))))</f>
        <v>2</v>
      </c>
      <c r="F78" s="23">
        <f>IF(D78="major",Parameters!$B$14,IF(D78="medium",Parameters!$B$15,Parameters!$B$16))</f>
        <v>3</v>
      </c>
      <c r="G78" s="16">
        <f t="shared" si="3"/>
        <v>0</v>
      </c>
      <c r="H78" s="24">
        <f>Parameters!$B$20^(G78-1)</f>
        <v>1.4285714285714286</v>
      </c>
      <c r="I78" s="18">
        <f t="shared" si="4"/>
        <v>8.5714285714285712</v>
      </c>
    </row>
    <row r="79" spans="1:9" ht="13.15" x14ac:dyDescent="0.35">
      <c r="A79" s="21">
        <v>78</v>
      </c>
      <c r="B79" s="16">
        <f>'Data KIMI'!B79</f>
        <v>8</v>
      </c>
      <c r="C79" s="22" t="str">
        <f>'Data KIMI'!F79</f>
        <v>move_legality</v>
      </c>
      <c r="D79" s="16" t="str">
        <f>LOWER(TRIM('Data KIMI'!H79))</f>
        <v>medium</v>
      </c>
      <c r="E79" s="23">
        <f>IF(ISNUMBER(SEARCH("move_legality",C79)),Parameters!$B$4,IF(ISNUMBER(SEARCH("piece_placement",C79)),Parameters!$B$5,IF(ISNUMBER(SEARCH("material",C79)),Parameters!$B$6,IF(ISNUMBER(SEARCH("piece_relations",C79)),Parameters!$B$7,IF(ISNUMBER(SEARCH("geometry",C79)),Parameters!$B$8,IF(ISNUMBER(SEARCH("reasoning",C79)),Parameters!$B$9,Parameters!$B$10))))))</f>
        <v>8</v>
      </c>
      <c r="F79" s="23">
        <f>IF(D79="major",Parameters!$B$14,IF(D79="medium",Parameters!$B$15,Parameters!$B$16))</f>
        <v>2</v>
      </c>
      <c r="G79" s="16">
        <f t="shared" si="3"/>
        <v>0</v>
      </c>
      <c r="H79" s="24">
        <f>Parameters!$B$20^(G79-1)</f>
        <v>1.4285714285714286</v>
      </c>
      <c r="I79" s="18">
        <f t="shared" si="4"/>
        <v>22.857142857142858</v>
      </c>
    </row>
    <row r="80" spans="1:9" ht="13.15" x14ac:dyDescent="0.35">
      <c r="A80" s="21">
        <v>79</v>
      </c>
      <c r="B80" s="16">
        <f>'Data KIMI'!B80</f>
        <v>8</v>
      </c>
      <c r="C80" s="22" t="str">
        <f>'Data KIMI'!F80</f>
        <v>reasoning</v>
      </c>
      <c r="D80" s="16" t="str">
        <f>LOWER(TRIM('Data KIMI'!H80))</f>
        <v>major</v>
      </c>
      <c r="E80" s="23">
        <f>IF(ISNUMBER(SEARCH("move_legality",C80)),Parameters!$B$4,IF(ISNUMBER(SEARCH("piece_placement",C80)),Parameters!$B$5,IF(ISNUMBER(SEARCH("material",C80)),Parameters!$B$6,IF(ISNUMBER(SEARCH("piece_relations",C80)),Parameters!$B$7,IF(ISNUMBER(SEARCH("geometry",C80)),Parameters!$B$8,IF(ISNUMBER(SEARCH("reasoning",C80)),Parameters!$B$9,Parameters!$B$10))))))</f>
        <v>2</v>
      </c>
      <c r="F80" s="23">
        <f>IF(D80="major",Parameters!$B$14,IF(D80="medium",Parameters!$B$15,Parameters!$B$16))</f>
        <v>3</v>
      </c>
      <c r="G80" s="16">
        <f t="shared" si="3"/>
        <v>0</v>
      </c>
      <c r="H80" s="24">
        <f>Parameters!$B$20^(G80-1)</f>
        <v>1.4285714285714286</v>
      </c>
      <c r="I80" s="18">
        <f t="shared" si="4"/>
        <v>8.5714285714285712</v>
      </c>
    </row>
    <row r="81" spans="1:9" ht="13.15" x14ac:dyDescent="0.35">
      <c r="A81" s="21">
        <v>80</v>
      </c>
      <c r="B81" s="16">
        <f>'Data KIMI'!B81</f>
        <v>8</v>
      </c>
      <c r="C81" s="22" t="str">
        <f>'Data KIMI'!F81</f>
        <v>move_legality</v>
      </c>
      <c r="D81" s="16" t="str">
        <f>LOWER(TRIM('Data KIMI'!H81))</f>
        <v>major</v>
      </c>
      <c r="E81" s="23">
        <f>IF(ISNUMBER(SEARCH("move_legality",C81)),Parameters!$B$4,IF(ISNUMBER(SEARCH("piece_placement",C81)),Parameters!$B$5,IF(ISNUMBER(SEARCH("material",C81)),Parameters!$B$6,IF(ISNUMBER(SEARCH("piece_relations",C81)),Parameters!$B$7,IF(ISNUMBER(SEARCH("geometry",C81)),Parameters!$B$8,IF(ISNUMBER(SEARCH("reasoning",C81)),Parameters!$B$9,Parameters!$B$10))))))</f>
        <v>8</v>
      </c>
      <c r="F81" s="23">
        <f>IF(D81="major",Parameters!$B$14,IF(D81="medium",Parameters!$B$15,Parameters!$B$16))</f>
        <v>3</v>
      </c>
      <c r="G81" s="16">
        <f t="shared" si="3"/>
        <v>0</v>
      </c>
      <c r="H81" s="24">
        <f>Parameters!$B$20^(G81-1)</f>
        <v>1.4285714285714286</v>
      </c>
      <c r="I81" s="18">
        <f t="shared" si="4"/>
        <v>34.285714285714285</v>
      </c>
    </row>
    <row r="82" spans="1:9" ht="13.15" x14ac:dyDescent="0.35">
      <c r="A82" s="21">
        <v>81</v>
      </c>
      <c r="B82" s="16">
        <f>'Data KIMI'!B82</f>
        <v>8</v>
      </c>
      <c r="C82" s="22" t="str">
        <f>'Data KIMI'!F82</f>
        <v>reasoning</v>
      </c>
      <c r="D82" s="16" t="str">
        <f>LOWER(TRIM('Data KIMI'!H82))</f>
        <v>medium</v>
      </c>
      <c r="E82" s="23">
        <f>IF(ISNUMBER(SEARCH("move_legality",C82)),Parameters!$B$4,IF(ISNUMBER(SEARCH("piece_placement",C82)),Parameters!$B$5,IF(ISNUMBER(SEARCH("material",C82)),Parameters!$B$6,IF(ISNUMBER(SEARCH("piece_relations",C82)),Parameters!$B$7,IF(ISNUMBER(SEARCH("geometry",C82)),Parameters!$B$8,IF(ISNUMBER(SEARCH("reasoning",C82)),Parameters!$B$9,Parameters!$B$10))))))</f>
        <v>2</v>
      </c>
      <c r="F82" s="23">
        <f>IF(D82="major",Parameters!$B$14,IF(D82="medium",Parameters!$B$15,Parameters!$B$16))</f>
        <v>2</v>
      </c>
      <c r="G82" s="16">
        <f t="shared" si="3"/>
        <v>0</v>
      </c>
      <c r="H82" s="24">
        <f>Parameters!$B$20^(G82-1)</f>
        <v>1.4285714285714286</v>
      </c>
      <c r="I82" s="18">
        <f t="shared" si="4"/>
        <v>5.7142857142857144</v>
      </c>
    </row>
    <row r="83" spans="1:9" ht="13.15" x14ac:dyDescent="0.35">
      <c r="A83" s="21">
        <v>82</v>
      </c>
      <c r="B83" s="16">
        <f>'Data KIMI'!B83</f>
        <v>8</v>
      </c>
      <c r="C83" s="22" t="str">
        <f>'Data KIMI'!F83</f>
        <v>reasoning</v>
      </c>
      <c r="D83" s="16" t="str">
        <f>LOWER(TRIM('Data KIMI'!H83))</f>
        <v>medium</v>
      </c>
      <c r="E83" s="23">
        <f>IF(ISNUMBER(SEARCH("move_legality",C83)),Parameters!$B$4,IF(ISNUMBER(SEARCH("piece_placement",C83)),Parameters!$B$5,IF(ISNUMBER(SEARCH("material",C83)),Parameters!$B$6,IF(ISNUMBER(SEARCH("piece_relations",C83)),Parameters!$B$7,IF(ISNUMBER(SEARCH("geometry",C83)),Parameters!$B$8,IF(ISNUMBER(SEARCH("reasoning",C83)),Parameters!$B$9,Parameters!$B$10))))))</f>
        <v>2</v>
      </c>
      <c r="F83" s="23">
        <f>IF(D83="major",Parameters!$B$14,IF(D83="medium",Parameters!$B$15,Parameters!$B$16))</f>
        <v>2</v>
      </c>
      <c r="G83" s="16">
        <f t="shared" si="3"/>
        <v>0</v>
      </c>
      <c r="H83" s="24">
        <f>Parameters!$B$20^(G83-1)</f>
        <v>1.4285714285714286</v>
      </c>
      <c r="I83" s="18">
        <f t="shared" si="4"/>
        <v>5.7142857142857144</v>
      </c>
    </row>
    <row r="84" spans="1:9" ht="13.15" x14ac:dyDescent="0.35">
      <c r="A84" s="21">
        <v>83</v>
      </c>
      <c r="B84" s="16">
        <f>'Data KIMI'!B84</f>
        <v>8</v>
      </c>
      <c r="C84" s="22" t="str">
        <f>'Data KIMI'!F84</f>
        <v>piece_relations</v>
      </c>
      <c r="D84" s="16" t="str">
        <f>LOWER(TRIM('Data KIMI'!H84))</f>
        <v>major</v>
      </c>
      <c r="E84" s="23">
        <f>IF(ISNUMBER(SEARCH("move_legality",C84)),Parameters!$B$4,IF(ISNUMBER(SEARCH("piece_placement",C84)),Parameters!$B$5,IF(ISNUMBER(SEARCH("material",C84)),Parameters!$B$6,IF(ISNUMBER(SEARCH("piece_relations",C84)),Parameters!$B$7,IF(ISNUMBER(SEARCH("geometry",C84)),Parameters!$B$8,IF(ISNUMBER(SEARCH("reasoning",C84)),Parameters!$B$9,Parameters!$B$10))))))</f>
        <v>4</v>
      </c>
      <c r="F84" s="23">
        <f>IF(D84="major",Parameters!$B$14,IF(D84="medium",Parameters!$B$15,Parameters!$B$16))</f>
        <v>3</v>
      </c>
      <c r="G84" s="16">
        <f t="shared" si="3"/>
        <v>0</v>
      </c>
      <c r="H84" s="24">
        <f>Parameters!$B$20^(G84-1)</f>
        <v>1.4285714285714286</v>
      </c>
      <c r="I84" s="18">
        <f t="shared" si="4"/>
        <v>17.142857142857142</v>
      </c>
    </row>
    <row r="85" spans="1:9" ht="13.15" x14ac:dyDescent="0.35">
      <c r="A85" s="21">
        <v>84</v>
      </c>
      <c r="B85" s="16">
        <f>'Data KIMI'!B85</f>
        <v>8</v>
      </c>
      <c r="C85" s="22" t="str">
        <f>'Data KIMI'!F85</f>
        <v>reasoning</v>
      </c>
      <c r="D85" s="16" t="str">
        <f>LOWER(TRIM('Data KIMI'!H85))</f>
        <v>medium</v>
      </c>
      <c r="E85" s="23">
        <f>IF(ISNUMBER(SEARCH("move_legality",C85)),Parameters!$B$4,IF(ISNUMBER(SEARCH("piece_placement",C85)),Parameters!$B$5,IF(ISNUMBER(SEARCH("material",C85)),Parameters!$B$6,IF(ISNUMBER(SEARCH("piece_relations",C85)),Parameters!$B$7,IF(ISNUMBER(SEARCH("geometry",C85)),Parameters!$B$8,IF(ISNUMBER(SEARCH("reasoning",C85)),Parameters!$B$9,Parameters!$B$10))))))</f>
        <v>2</v>
      </c>
      <c r="F85" s="23">
        <f>IF(D85="major",Parameters!$B$14,IF(D85="medium",Parameters!$B$15,Parameters!$B$16))</f>
        <v>2</v>
      </c>
      <c r="G85" s="16">
        <f t="shared" si="3"/>
        <v>0</v>
      </c>
      <c r="H85" s="24">
        <f>Parameters!$B$20^(G85-1)</f>
        <v>1.4285714285714286</v>
      </c>
      <c r="I85" s="18">
        <f t="shared" si="4"/>
        <v>5.7142857142857144</v>
      </c>
    </row>
    <row r="86" spans="1:9" ht="13.15" x14ac:dyDescent="0.35">
      <c r="A86" s="21">
        <v>85</v>
      </c>
      <c r="B86" s="16">
        <f>'Data KIMI'!B86</f>
        <v>8</v>
      </c>
      <c r="C86" s="22" t="str">
        <f>'Data KIMI'!F86</f>
        <v>move_legality</v>
      </c>
      <c r="D86" s="16" t="str">
        <f>LOWER(TRIM('Data KIMI'!H86))</f>
        <v>major</v>
      </c>
      <c r="E86" s="23">
        <f>IF(ISNUMBER(SEARCH("move_legality",C86)),Parameters!$B$4,IF(ISNUMBER(SEARCH("piece_placement",C86)),Parameters!$B$5,IF(ISNUMBER(SEARCH("material",C86)),Parameters!$B$6,IF(ISNUMBER(SEARCH("piece_relations",C86)),Parameters!$B$7,IF(ISNUMBER(SEARCH("geometry",C86)),Parameters!$B$8,IF(ISNUMBER(SEARCH("reasoning",C86)),Parameters!$B$9,Parameters!$B$10))))))</f>
        <v>8</v>
      </c>
      <c r="F86" s="23">
        <f>IF(D86="major",Parameters!$B$14,IF(D86="medium",Parameters!$B$15,Parameters!$B$16))</f>
        <v>3</v>
      </c>
      <c r="G86" s="16">
        <f t="shared" si="3"/>
        <v>0</v>
      </c>
      <c r="H86" s="24">
        <f>Parameters!$B$20^(G86-1)</f>
        <v>1.4285714285714286</v>
      </c>
      <c r="I86" s="18">
        <f t="shared" si="4"/>
        <v>34.285714285714285</v>
      </c>
    </row>
    <row r="87" spans="1:9" ht="13.15" x14ac:dyDescent="0.35">
      <c r="A87" s="21">
        <v>86</v>
      </c>
      <c r="B87" s="16">
        <f>'Data KIMI'!B87</f>
        <v>9</v>
      </c>
      <c r="C87" s="22" t="str">
        <f>'Data KIMI'!F87</f>
        <v>piece_relations</v>
      </c>
      <c r="D87" s="16" t="str">
        <f>LOWER(TRIM('Data KIMI'!H87))</f>
        <v>minor</v>
      </c>
      <c r="E87" s="23">
        <f>IF(ISNUMBER(SEARCH("move_legality",C87)),Parameters!$B$4,IF(ISNUMBER(SEARCH("piece_placement",C87)),Parameters!$B$5,IF(ISNUMBER(SEARCH("material",C87)),Parameters!$B$6,IF(ISNUMBER(SEARCH("piece_relations",C87)),Parameters!$B$7,IF(ISNUMBER(SEARCH("geometry",C87)),Parameters!$B$8,IF(ISNUMBER(SEARCH("reasoning",C87)),Parameters!$B$9,Parameters!$B$10))))))</f>
        <v>4</v>
      </c>
      <c r="F87" s="23">
        <f>IF(D87="major",Parameters!$B$14,IF(D87="medium",Parameters!$B$15,Parameters!$B$16))</f>
        <v>1</v>
      </c>
      <c r="G87" s="16">
        <f t="shared" si="3"/>
        <v>0</v>
      </c>
      <c r="H87" s="24">
        <f>Parameters!$B$20^(G87-1)</f>
        <v>1.4285714285714286</v>
      </c>
      <c r="I87" s="18">
        <f t="shared" si="4"/>
        <v>5.7142857142857144</v>
      </c>
    </row>
    <row r="88" spans="1:9" ht="13.15" x14ac:dyDescent="0.35">
      <c r="A88" s="21">
        <v>87</v>
      </c>
      <c r="B88" s="16">
        <f>'Data KIMI'!B88</f>
        <v>9</v>
      </c>
      <c r="C88" s="22" t="str">
        <f>'Data KIMI'!F88</f>
        <v>move_legality</v>
      </c>
      <c r="D88" s="16" t="str">
        <f>LOWER(TRIM('Data KIMI'!H88))</f>
        <v>major</v>
      </c>
      <c r="E88" s="23">
        <f>IF(ISNUMBER(SEARCH("move_legality",C88)),Parameters!$B$4,IF(ISNUMBER(SEARCH("piece_placement",C88)),Parameters!$B$5,IF(ISNUMBER(SEARCH("material",C88)),Parameters!$B$6,IF(ISNUMBER(SEARCH("piece_relations",C88)),Parameters!$B$7,IF(ISNUMBER(SEARCH("geometry",C88)),Parameters!$B$8,IF(ISNUMBER(SEARCH("reasoning",C88)),Parameters!$B$9,Parameters!$B$10))))))</f>
        <v>8</v>
      </c>
      <c r="F88" s="23">
        <f>IF(D88="major",Parameters!$B$14,IF(D88="medium",Parameters!$B$15,Parameters!$B$16))</f>
        <v>3</v>
      </c>
      <c r="G88" s="16">
        <f t="shared" si="3"/>
        <v>0</v>
      </c>
      <c r="H88" s="24">
        <f>Parameters!$B$20^(G88-1)</f>
        <v>1.4285714285714286</v>
      </c>
      <c r="I88" s="18">
        <f t="shared" si="4"/>
        <v>34.285714285714285</v>
      </c>
    </row>
    <row r="89" spans="1:9" ht="13.15" x14ac:dyDescent="0.35">
      <c r="A89" s="21">
        <v>88</v>
      </c>
      <c r="B89" s="16">
        <f>'Data KIMI'!B89</f>
        <v>9</v>
      </c>
      <c r="C89" s="22" t="str">
        <f>'Data KIMI'!F89</f>
        <v>reasoning</v>
      </c>
      <c r="D89" s="16" t="str">
        <f>LOWER(TRIM('Data KIMI'!H89))</f>
        <v>medium</v>
      </c>
      <c r="E89" s="23">
        <f>IF(ISNUMBER(SEARCH("move_legality",C89)),Parameters!$B$4,IF(ISNUMBER(SEARCH("piece_placement",C89)),Parameters!$B$5,IF(ISNUMBER(SEARCH("material",C89)),Parameters!$B$6,IF(ISNUMBER(SEARCH("piece_relations",C89)),Parameters!$B$7,IF(ISNUMBER(SEARCH("geometry",C89)),Parameters!$B$8,IF(ISNUMBER(SEARCH("reasoning",C89)),Parameters!$B$9,Parameters!$B$10))))))</f>
        <v>2</v>
      </c>
      <c r="F89" s="23">
        <f>IF(D89="major",Parameters!$B$14,IF(D89="medium",Parameters!$B$15,Parameters!$B$16))</f>
        <v>2</v>
      </c>
      <c r="G89" s="16">
        <f t="shared" si="3"/>
        <v>0</v>
      </c>
      <c r="H89" s="24">
        <f>Parameters!$B$20^(G89-1)</f>
        <v>1.4285714285714286</v>
      </c>
      <c r="I89" s="18">
        <f t="shared" si="4"/>
        <v>5.7142857142857144</v>
      </c>
    </row>
    <row r="90" spans="1:9" ht="13.15" x14ac:dyDescent="0.35">
      <c r="A90" s="21">
        <v>89</v>
      </c>
      <c r="B90" s="16">
        <f>'Data KIMI'!B90</f>
        <v>9</v>
      </c>
      <c r="C90" s="22" t="str">
        <f>'Data KIMI'!F90</f>
        <v>move_legality</v>
      </c>
      <c r="D90" s="16" t="str">
        <f>LOWER(TRIM('Data KIMI'!H90))</f>
        <v>major</v>
      </c>
      <c r="E90" s="23">
        <f>IF(ISNUMBER(SEARCH("move_legality",C90)),Parameters!$B$4,IF(ISNUMBER(SEARCH("piece_placement",C90)),Parameters!$B$5,IF(ISNUMBER(SEARCH("material",C90)),Parameters!$B$6,IF(ISNUMBER(SEARCH("piece_relations",C90)),Parameters!$B$7,IF(ISNUMBER(SEARCH("geometry",C90)),Parameters!$B$8,IF(ISNUMBER(SEARCH("reasoning",C90)),Parameters!$B$9,Parameters!$B$10))))))</f>
        <v>8</v>
      </c>
      <c r="F90" s="23">
        <f>IF(D90="major",Parameters!$B$14,IF(D90="medium",Parameters!$B$15,Parameters!$B$16))</f>
        <v>3</v>
      </c>
      <c r="G90" s="16">
        <f t="shared" si="3"/>
        <v>0</v>
      </c>
      <c r="H90" s="24">
        <f>Parameters!$B$20^(G90-1)</f>
        <v>1.4285714285714286</v>
      </c>
      <c r="I90" s="18">
        <f t="shared" si="4"/>
        <v>34.285714285714285</v>
      </c>
    </row>
    <row r="91" spans="1:9" ht="13.15" x14ac:dyDescent="0.35">
      <c r="A91" s="21">
        <v>90</v>
      </c>
      <c r="B91" s="16">
        <f>'Data KIMI'!B91</f>
        <v>9</v>
      </c>
      <c r="C91" s="22" t="str">
        <f>'Data KIMI'!F91</f>
        <v>piece_relations</v>
      </c>
      <c r="D91" s="16" t="str">
        <f>LOWER(TRIM('Data KIMI'!H91))</f>
        <v>major</v>
      </c>
      <c r="E91" s="23">
        <f>IF(ISNUMBER(SEARCH("move_legality",C91)),Parameters!$B$4,IF(ISNUMBER(SEARCH("piece_placement",C91)),Parameters!$B$5,IF(ISNUMBER(SEARCH("material",C91)),Parameters!$B$6,IF(ISNUMBER(SEARCH("piece_relations",C91)),Parameters!$B$7,IF(ISNUMBER(SEARCH("geometry",C91)),Parameters!$B$8,IF(ISNUMBER(SEARCH("reasoning",C91)),Parameters!$B$9,Parameters!$B$10))))))</f>
        <v>4</v>
      </c>
      <c r="F91" s="23">
        <f>IF(D91="major",Parameters!$B$14,IF(D91="medium",Parameters!$B$15,Parameters!$B$16))</f>
        <v>3</v>
      </c>
      <c r="G91" s="16">
        <f t="shared" si="3"/>
        <v>0</v>
      </c>
      <c r="H91" s="24">
        <f>Parameters!$B$20^(G91-1)</f>
        <v>1.4285714285714286</v>
      </c>
      <c r="I91" s="18">
        <f t="shared" si="4"/>
        <v>17.142857142857142</v>
      </c>
    </row>
    <row r="92" spans="1:9" ht="13.15" x14ac:dyDescent="0.35">
      <c r="A92" s="21">
        <v>91</v>
      </c>
      <c r="B92" s="16">
        <f>'Data KIMI'!B92</f>
        <v>9</v>
      </c>
      <c r="C92" s="22" t="str">
        <f>'Data KIMI'!F92</f>
        <v>reasoning</v>
      </c>
      <c r="D92" s="16" t="str">
        <f>LOWER(TRIM('Data KIMI'!H92))</f>
        <v>major</v>
      </c>
      <c r="E92" s="23">
        <f>IF(ISNUMBER(SEARCH("move_legality",C92)),Parameters!$B$4,IF(ISNUMBER(SEARCH("piece_placement",C92)),Parameters!$B$5,IF(ISNUMBER(SEARCH("material",C92)),Parameters!$B$6,IF(ISNUMBER(SEARCH("piece_relations",C92)),Parameters!$B$7,IF(ISNUMBER(SEARCH("geometry",C92)),Parameters!$B$8,IF(ISNUMBER(SEARCH("reasoning",C92)),Parameters!$B$9,Parameters!$B$10))))))</f>
        <v>2</v>
      </c>
      <c r="F92" s="23">
        <f>IF(D92="major",Parameters!$B$14,IF(D92="medium",Parameters!$B$15,Parameters!$B$16))</f>
        <v>3</v>
      </c>
      <c r="G92" s="16">
        <f t="shared" si="3"/>
        <v>0</v>
      </c>
      <c r="H92" s="24">
        <f>Parameters!$B$20^(G92-1)</f>
        <v>1.4285714285714286</v>
      </c>
      <c r="I92" s="18">
        <f t="shared" si="4"/>
        <v>8.5714285714285712</v>
      </c>
    </row>
    <row r="93" spans="1:9" ht="13.15" x14ac:dyDescent="0.35">
      <c r="A93" s="21">
        <v>92</v>
      </c>
      <c r="B93" s="16">
        <f>'Data KIMI'!B93</f>
        <v>9</v>
      </c>
      <c r="C93" s="22" t="str">
        <f>'Data KIMI'!F93</f>
        <v>reasoning</v>
      </c>
      <c r="D93" s="16" t="str">
        <f>LOWER(TRIM('Data KIMI'!H93))</f>
        <v>major</v>
      </c>
      <c r="E93" s="23">
        <f>IF(ISNUMBER(SEARCH("move_legality",C93)),Parameters!$B$4,IF(ISNUMBER(SEARCH("piece_placement",C93)),Parameters!$B$5,IF(ISNUMBER(SEARCH("material",C93)),Parameters!$B$6,IF(ISNUMBER(SEARCH("piece_relations",C93)),Parameters!$B$7,IF(ISNUMBER(SEARCH("geometry",C93)),Parameters!$B$8,IF(ISNUMBER(SEARCH("reasoning",C93)),Parameters!$B$9,Parameters!$B$10))))))</f>
        <v>2</v>
      </c>
      <c r="F93" s="23">
        <f>IF(D93="major",Parameters!$B$14,IF(D93="medium",Parameters!$B$15,Parameters!$B$16))</f>
        <v>3</v>
      </c>
      <c r="G93" s="16">
        <f t="shared" si="3"/>
        <v>0</v>
      </c>
      <c r="H93" s="24">
        <f>Parameters!$B$20^(G93-1)</f>
        <v>1.4285714285714286</v>
      </c>
      <c r="I93" s="18">
        <f t="shared" si="4"/>
        <v>8.5714285714285712</v>
      </c>
    </row>
    <row r="94" spans="1:9" ht="13.15" x14ac:dyDescent="0.35">
      <c r="A94" s="21">
        <v>93</v>
      </c>
      <c r="B94" s="16">
        <f>'Data KIMI'!B94</f>
        <v>9</v>
      </c>
      <c r="C94" s="22" t="str">
        <f>'Data KIMI'!F94</f>
        <v>reasoning</v>
      </c>
      <c r="D94" s="16" t="str">
        <f>LOWER(TRIM('Data KIMI'!H94))</f>
        <v>major</v>
      </c>
      <c r="E94" s="23">
        <f>IF(ISNUMBER(SEARCH("move_legality",C94)),Parameters!$B$4,IF(ISNUMBER(SEARCH("piece_placement",C94)),Parameters!$B$5,IF(ISNUMBER(SEARCH("material",C94)),Parameters!$B$6,IF(ISNUMBER(SEARCH("piece_relations",C94)),Parameters!$B$7,IF(ISNUMBER(SEARCH("geometry",C94)),Parameters!$B$8,IF(ISNUMBER(SEARCH("reasoning",C94)),Parameters!$B$9,Parameters!$B$10))))))</f>
        <v>2</v>
      </c>
      <c r="F94" s="23">
        <f>IF(D94="major",Parameters!$B$14,IF(D94="medium",Parameters!$B$15,Parameters!$B$16))</f>
        <v>3</v>
      </c>
      <c r="G94" s="16">
        <f t="shared" si="3"/>
        <v>0</v>
      </c>
      <c r="H94" s="24">
        <f>Parameters!$B$20^(G94-1)</f>
        <v>1.4285714285714286</v>
      </c>
      <c r="I94" s="18">
        <f t="shared" si="4"/>
        <v>8.5714285714285712</v>
      </c>
    </row>
    <row r="95" spans="1:9" ht="13.15" x14ac:dyDescent="0.35">
      <c r="A95" s="21">
        <v>94</v>
      </c>
      <c r="B95" s="16">
        <f>'Data KIMI'!B95</f>
        <v>9</v>
      </c>
      <c r="C95" s="22" t="str">
        <f>'Data KIMI'!F95</f>
        <v>move_legality</v>
      </c>
      <c r="D95" s="16" t="str">
        <f>LOWER(TRIM('Data KIMI'!H95))</f>
        <v>major</v>
      </c>
      <c r="E95" s="23">
        <f>IF(ISNUMBER(SEARCH("move_legality",C95)),Parameters!$B$4,IF(ISNUMBER(SEARCH("piece_placement",C95)),Parameters!$B$5,IF(ISNUMBER(SEARCH("material",C95)),Parameters!$B$6,IF(ISNUMBER(SEARCH("piece_relations",C95)),Parameters!$B$7,IF(ISNUMBER(SEARCH("geometry",C95)),Parameters!$B$8,IF(ISNUMBER(SEARCH("reasoning",C95)),Parameters!$B$9,Parameters!$B$10))))))</f>
        <v>8</v>
      </c>
      <c r="F95" s="23">
        <f>IF(D95="major",Parameters!$B$14,IF(D95="medium",Parameters!$B$15,Parameters!$B$16))</f>
        <v>3</v>
      </c>
      <c r="G95" s="16">
        <f t="shared" si="3"/>
        <v>0</v>
      </c>
      <c r="H95" s="24">
        <f>Parameters!$B$20^(G95-1)</f>
        <v>1.4285714285714286</v>
      </c>
      <c r="I95" s="18">
        <f t="shared" si="4"/>
        <v>34.285714285714285</v>
      </c>
    </row>
    <row r="96" spans="1:9" ht="13.15" x14ac:dyDescent="0.35">
      <c r="A96" s="21">
        <v>95</v>
      </c>
      <c r="B96" s="16">
        <f>'Data KIMI'!B96</f>
        <v>9</v>
      </c>
      <c r="C96" s="22" t="str">
        <f>'Data KIMI'!F96</f>
        <v>reasoning</v>
      </c>
      <c r="D96" s="16" t="str">
        <f>LOWER(TRIM('Data KIMI'!H96))</f>
        <v>major</v>
      </c>
      <c r="E96" s="23">
        <f>IF(ISNUMBER(SEARCH("move_legality",C96)),Parameters!$B$4,IF(ISNUMBER(SEARCH("piece_placement",C96)),Parameters!$B$5,IF(ISNUMBER(SEARCH("material",C96)),Parameters!$B$6,IF(ISNUMBER(SEARCH("piece_relations",C96)),Parameters!$B$7,IF(ISNUMBER(SEARCH("geometry",C96)),Parameters!$B$8,IF(ISNUMBER(SEARCH("reasoning",C96)),Parameters!$B$9,Parameters!$B$10))))))</f>
        <v>2</v>
      </c>
      <c r="F96" s="23">
        <f>IF(D96="major",Parameters!$B$14,IF(D96="medium",Parameters!$B$15,Parameters!$B$16))</f>
        <v>3</v>
      </c>
      <c r="G96" s="16">
        <f t="shared" si="3"/>
        <v>0</v>
      </c>
      <c r="H96" s="24">
        <f>Parameters!$B$20^(G96-1)</f>
        <v>1.4285714285714286</v>
      </c>
      <c r="I96" s="18">
        <f t="shared" si="4"/>
        <v>8.5714285714285712</v>
      </c>
    </row>
    <row r="97" spans="1:9" ht="13.15" x14ac:dyDescent="0.35">
      <c r="A97" s="21">
        <v>96</v>
      </c>
      <c r="B97" s="16">
        <f>'Data KIMI'!B97</f>
        <v>9</v>
      </c>
      <c r="C97" s="22" t="str">
        <f>'Data KIMI'!F97</f>
        <v>reasoning</v>
      </c>
      <c r="D97" s="16" t="str">
        <f>LOWER(TRIM('Data KIMI'!H97))</f>
        <v>major</v>
      </c>
      <c r="E97" s="23">
        <f>IF(ISNUMBER(SEARCH("move_legality",C97)),Parameters!$B$4,IF(ISNUMBER(SEARCH("piece_placement",C97)),Parameters!$B$5,IF(ISNUMBER(SEARCH("material",C97)),Parameters!$B$6,IF(ISNUMBER(SEARCH("piece_relations",C97)),Parameters!$B$7,IF(ISNUMBER(SEARCH("geometry",C97)),Parameters!$B$8,IF(ISNUMBER(SEARCH("reasoning",C97)),Parameters!$B$9,Parameters!$B$10))))))</f>
        <v>2</v>
      </c>
      <c r="F97" s="23">
        <f>IF(D97="major",Parameters!$B$14,IF(D97="medium",Parameters!$B$15,Parameters!$B$16))</f>
        <v>3</v>
      </c>
      <c r="G97" s="16">
        <f t="shared" si="3"/>
        <v>0</v>
      </c>
      <c r="H97" s="24">
        <f>Parameters!$B$20^(G97-1)</f>
        <v>1.4285714285714286</v>
      </c>
      <c r="I97" s="18">
        <f t="shared" si="4"/>
        <v>8.5714285714285712</v>
      </c>
    </row>
    <row r="98" spans="1:9" ht="13.15" x14ac:dyDescent="0.35">
      <c r="A98" s="21">
        <v>97</v>
      </c>
      <c r="B98" s="16">
        <f>'Data KIMI'!B98</f>
        <v>10</v>
      </c>
      <c r="C98" s="22" t="str">
        <f>'Data KIMI'!F98</f>
        <v>move_legality</v>
      </c>
      <c r="D98" s="16" t="str">
        <f>LOWER(TRIM('Data KIMI'!H98))</f>
        <v>major</v>
      </c>
      <c r="E98" s="23">
        <f>IF(ISNUMBER(SEARCH("move_legality",C98)),Parameters!$B$4,IF(ISNUMBER(SEARCH("piece_placement",C98)),Parameters!$B$5,IF(ISNUMBER(SEARCH("material",C98)),Parameters!$B$6,IF(ISNUMBER(SEARCH("piece_relations",C98)),Parameters!$B$7,IF(ISNUMBER(SEARCH("geometry",C98)),Parameters!$B$8,IF(ISNUMBER(SEARCH("reasoning",C98)),Parameters!$B$9,Parameters!$B$10))))))</f>
        <v>8</v>
      </c>
      <c r="F98" s="23">
        <f>IF(D98="major",Parameters!$B$14,IF(D98="medium",Parameters!$B$15,Parameters!$B$16))</f>
        <v>3</v>
      </c>
      <c r="G98" s="16">
        <f t="shared" si="3"/>
        <v>0</v>
      </c>
      <c r="H98" s="24">
        <f>Parameters!$B$20^(G98-1)</f>
        <v>1.4285714285714286</v>
      </c>
      <c r="I98" s="18">
        <f t="shared" si="4"/>
        <v>34.285714285714285</v>
      </c>
    </row>
    <row r="99" spans="1:9" ht="13.15" x14ac:dyDescent="0.35">
      <c r="A99" s="21">
        <v>98</v>
      </c>
      <c r="B99" s="16">
        <f>'Data KIMI'!B99</f>
        <v>10</v>
      </c>
      <c r="C99" s="22" t="str">
        <f>'Data KIMI'!F99</f>
        <v>reasoning</v>
      </c>
      <c r="D99" s="16" t="str">
        <f>LOWER(TRIM('Data KIMI'!H99))</f>
        <v>major</v>
      </c>
      <c r="E99" s="23">
        <f>IF(ISNUMBER(SEARCH("move_legality",C99)),Parameters!$B$4,IF(ISNUMBER(SEARCH("piece_placement",C99)),Parameters!$B$5,IF(ISNUMBER(SEARCH("material",C99)),Parameters!$B$6,IF(ISNUMBER(SEARCH("piece_relations",C99)),Parameters!$B$7,IF(ISNUMBER(SEARCH("geometry",C99)),Parameters!$B$8,IF(ISNUMBER(SEARCH("reasoning",C99)),Parameters!$B$9,Parameters!$B$10))))))</f>
        <v>2</v>
      </c>
      <c r="F99" s="23">
        <f>IF(D99="major",Parameters!$B$14,IF(D99="medium",Parameters!$B$15,Parameters!$B$16))</f>
        <v>3</v>
      </c>
      <c r="G99" s="16">
        <f t="shared" si="3"/>
        <v>0</v>
      </c>
      <c r="H99" s="24">
        <f>Parameters!$B$20^(G99-1)</f>
        <v>1.4285714285714286</v>
      </c>
      <c r="I99" s="18">
        <f t="shared" si="4"/>
        <v>8.5714285714285712</v>
      </c>
    </row>
    <row r="100" spans="1:9" ht="13.15" x14ac:dyDescent="0.35">
      <c r="A100" s="21">
        <v>99</v>
      </c>
      <c r="B100" s="16">
        <f>'Data KIMI'!B100</f>
        <v>10</v>
      </c>
      <c r="C100" s="22" t="str">
        <f>'Data KIMI'!F100</f>
        <v>move_legality</v>
      </c>
      <c r="D100" s="16" t="str">
        <f>LOWER(TRIM('Data KIMI'!H100))</f>
        <v>major</v>
      </c>
      <c r="E100" s="23">
        <f>IF(ISNUMBER(SEARCH("move_legality",C100)),Parameters!$B$4,IF(ISNUMBER(SEARCH("piece_placement",C100)),Parameters!$B$5,IF(ISNUMBER(SEARCH("material",C100)),Parameters!$B$6,IF(ISNUMBER(SEARCH("piece_relations",C100)),Parameters!$B$7,IF(ISNUMBER(SEARCH("geometry",C100)),Parameters!$B$8,IF(ISNUMBER(SEARCH("reasoning",C100)),Parameters!$B$9,Parameters!$B$10))))))</f>
        <v>8</v>
      </c>
      <c r="F100" s="23">
        <f>IF(D100="major",Parameters!$B$14,IF(D100="medium",Parameters!$B$15,Parameters!$B$16))</f>
        <v>3</v>
      </c>
      <c r="G100" s="16">
        <f t="shared" si="3"/>
        <v>0</v>
      </c>
      <c r="H100" s="24">
        <f>Parameters!$B$20^(G100-1)</f>
        <v>1.4285714285714286</v>
      </c>
      <c r="I100" s="18">
        <f t="shared" si="4"/>
        <v>34.285714285714285</v>
      </c>
    </row>
    <row r="101" spans="1:9" ht="13.15" x14ac:dyDescent="0.35">
      <c r="A101" s="21">
        <v>100</v>
      </c>
      <c r="B101" s="16">
        <f>'Data KIMI'!B101</f>
        <v>10</v>
      </c>
      <c r="C101" s="22" t="str">
        <f>'Data KIMI'!F101</f>
        <v>reasoning</v>
      </c>
      <c r="D101" s="16" t="str">
        <f>LOWER(TRIM('Data KIMI'!H101))</f>
        <v>major</v>
      </c>
      <c r="E101" s="23">
        <f>IF(ISNUMBER(SEARCH("move_legality",C101)),Parameters!$B$4,IF(ISNUMBER(SEARCH("piece_placement",C101)),Parameters!$B$5,IF(ISNUMBER(SEARCH("material",C101)),Parameters!$B$6,IF(ISNUMBER(SEARCH("piece_relations",C101)),Parameters!$B$7,IF(ISNUMBER(SEARCH("geometry",C101)),Parameters!$B$8,IF(ISNUMBER(SEARCH("reasoning",C101)),Parameters!$B$9,Parameters!$B$10))))))</f>
        <v>2</v>
      </c>
      <c r="F101" s="23">
        <f>IF(D101="major",Parameters!$B$14,IF(D101="medium",Parameters!$B$15,Parameters!$B$16))</f>
        <v>3</v>
      </c>
      <c r="G101" s="16">
        <f t="shared" si="3"/>
        <v>0</v>
      </c>
      <c r="H101" s="24">
        <f>Parameters!$B$20^(G101-1)</f>
        <v>1.4285714285714286</v>
      </c>
      <c r="I101" s="18">
        <f t="shared" si="4"/>
        <v>8.5714285714285712</v>
      </c>
    </row>
    <row r="102" spans="1:9" ht="13.15" x14ac:dyDescent="0.35">
      <c r="A102" s="21">
        <v>101</v>
      </c>
      <c r="B102" s="16">
        <f>'Data KIMI'!B102</f>
        <v>11</v>
      </c>
      <c r="C102" s="22" t="str">
        <f>'Data KIMI'!F102</f>
        <v>move_legality</v>
      </c>
      <c r="D102" s="16" t="str">
        <f>LOWER(TRIM('Data KIMI'!H102))</f>
        <v>major</v>
      </c>
      <c r="E102" s="23">
        <f>IF(ISNUMBER(SEARCH("move_legality",C102)),Parameters!$B$4,IF(ISNUMBER(SEARCH("piece_placement",C102)),Parameters!$B$5,IF(ISNUMBER(SEARCH("material",C102)),Parameters!$B$6,IF(ISNUMBER(SEARCH("piece_relations",C102)),Parameters!$B$7,IF(ISNUMBER(SEARCH("geometry",C102)),Parameters!$B$8,IF(ISNUMBER(SEARCH("reasoning",C102)),Parameters!$B$9,Parameters!$B$10))))))</f>
        <v>8</v>
      </c>
      <c r="F102" s="23">
        <f>IF(D102="major",Parameters!$B$14,IF(D102="medium",Parameters!$B$15,Parameters!$B$16))</f>
        <v>3</v>
      </c>
      <c r="G102" s="16">
        <f t="shared" si="3"/>
        <v>0</v>
      </c>
      <c r="H102" s="24">
        <f>Parameters!$B$20^(G102-1)</f>
        <v>1.4285714285714286</v>
      </c>
      <c r="I102" s="18">
        <f t="shared" si="4"/>
        <v>34.285714285714285</v>
      </c>
    </row>
    <row r="103" spans="1:9" ht="13.15" x14ac:dyDescent="0.35">
      <c r="A103" s="21">
        <v>102</v>
      </c>
      <c r="B103" s="16">
        <f>'Data KIMI'!B103</f>
        <v>11</v>
      </c>
      <c r="C103" s="22" t="str">
        <f>'Data KIMI'!F103</f>
        <v>piece_relations</v>
      </c>
      <c r="D103" s="16" t="str">
        <f>LOWER(TRIM('Data KIMI'!H103))</f>
        <v>major</v>
      </c>
      <c r="E103" s="23">
        <f>IF(ISNUMBER(SEARCH("move_legality",C103)),Parameters!$B$4,IF(ISNUMBER(SEARCH("piece_placement",C103)),Parameters!$B$5,IF(ISNUMBER(SEARCH("material",C103)),Parameters!$B$6,IF(ISNUMBER(SEARCH("piece_relations",C103)),Parameters!$B$7,IF(ISNUMBER(SEARCH("geometry",C103)),Parameters!$B$8,IF(ISNUMBER(SEARCH("reasoning",C103)),Parameters!$B$9,Parameters!$B$10))))))</f>
        <v>4</v>
      </c>
      <c r="F103" s="23">
        <f>IF(D103="major",Parameters!$B$14,IF(D103="medium",Parameters!$B$15,Parameters!$B$16))</f>
        <v>3</v>
      </c>
      <c r="G103" s="16">
        <f t="shared" si="3"/>
        <v>0</v>
      </c>
      <c r="H103" s="24">
        <f>Parameters!$B$20^(G103-1)</f>
        <v>1.4285714285714286</v>
      </c>
      <c r="I103" s="18">
        <f t="shared" si="4"/>
        <v>17.142857142857142</v>
      </c>
    </row>
    <row r="104" spans="1:9" ht="13.15" x14ac:dyDescent="0.35">
      <c r="A104" s="21">
        <v>103</v>
      </c>
      <c r="B104" s="16">
        <f>'Data KIMI'!B104</f>
        <v>11</v>
      </c>
      <c r="C104" s="22" t="str">
        <f>'Data KIMI'!F104</f>
        <v>reasoning</v>
      </c>
      <c r="D104" s="16" t="str">
        <f>LOWER(TRIM('Data KIMI'!H104))</f>
        <v>medium</v>
      </c>
      <c r="E104" s="23">
        <f>IF(ISNUMBER(SEARCH("move_legality",C104)),Parameters!$B$4,IF(ISNUMBER(SEARCH("piece_placement",C104)),Parameters!$B$5,IF(ISNUMBER(SEARCH("material",C104)),Parameters!$B$6,IF(ISNUMBER(SEARCH("piece_relations",C104)),Parameters!$B$7,IF(ISNUMBER(SEARCH("geometry",C104)),Parameters!$B$8,IF(ISNUMBER(SEARCH("reasoning",C104)),Parameters!$B$9,Parameters!$B$10))))))</f>
        <v>2</v>
      </c>
      <c r="F104" s="23">
        <f>IF(D104="major",Parameters!$B$14,IF(D104="medium",Parameters!$B$15,Parameters!$B$16))</f>
        <v>2</v>
      </c>
      <c r="G104" s="16">
        <f t="shared" si="3"/>
        <v>0</v>
      </c>
      <c r="H104" s="24">
        <f>Parameters!$B$20^(G104-1)</f>
        <v>1.4285714285714286</v>
      </c>
      <c r="I104" s="18">
        <f t="shared" si="4"/>
        <v>5.7142857142857144</v>
      </c>
    </row>
    <row r="105" spans="1:9" ht="13.15" x14ac:dyDescent="0.35">
      <c r="A105" s="21">
        <v>104</v>
      </c>
      <c r="B105" s="16">
        <f>'Data KIMI'!B105</f>
        <v>11</v>
      </c>
      <c r="C105" s="22" t="str">
        <f>'Data KIMI'!F105</f>
        <v>reasoning</v>
      </c>
      <c r="D105" s="16" t="str">
        <f>LOWER(TRIM('Data KIMI'!H105))</f>
        <v>medium</v>
      </c>
      <c r="E105" s="23">
        <f>IF(ISNUMBER(SEARCH("move_legality",C105)),Parameters!$B$4,IF(ISNUMBER(SEARCH("piece_placement",C105)),Parameters!$B$5,IF(ISNUMBER(SEARCH("material",C105)),Parameters!$B$6,IF(ISNUMBER(SEARCH("piece_relations",C105)),Parameters!$B$7,IF(ISNUMBER(SEARCH("geometry",C105)),Parameters!$B$8,IF(ISNUMBER(SEARCH("reasoning",C105)),Parameters!$B$9,Parameters!$B$10))))))</f>
        <v>2</v>
      </c>
      <c r="F105" s="23">
        <f>IF(D105="major",Parameters!$B$14,IF(D105="medium",Parameters!$B$15,Parameters!$B$16))</f>
        <v>2</v>
      </c>
      <c r="G105" s="16">
        <f t="shared" si="3"/>
        <v>0</v>
      </c>
      <c r="H105" s="24">
        <f>Parameters!$B$20^(G105-1)</f>
        <v>1.4285714285714286</v>
      </c>
      <c r="I105" s="18">
        <f t="shared" si="4"/>
        <v>5.7142857142857144</v>
      </c>
    </row>
    <row r="106" spans="1:9" ht="13.15" x14ac:dyDescent="0.35">
      <c r="A106" s="21">
        <v>105</v>
      </c>
      <c r="B106" s="16">
        <f>'Data KIMI'!B106</f>
        <v>11</v>
      </c>
      <c r="C106" s="22" t="str">
        <f>'Data KIMI'!F106</f>
        <v>move_legality</v>
      </c>
      <c r="D106" s="16" t="str">
        <f>LOWER(TRIM('Data KIMI'!H106))</f>
        <v>major</v>
      </c>
      <c r="E106" s="23">
        <f>IF(ISNUMBER(SEARCH("move_legality",C106)),Parameters!$B$4,IF(ISNUMBER(SEARCH("piece_placement",C106)),Parameters!$B$5,IF(ISNUMBER(SEARCH("material",C106)),Parameters!$B$6,IF(ISNUMBER(SEARCH("piece_relations",C106)),Parameters!$B$7,IF(ISNUMBER(SEARCH("geometry",C106)),Parameters!$B$8,IF(ISNUMBER(SEARCH("reasoning",C106)),Parameters!$B$9,Parameters!$B$10))))))</f>
        <v>8</v>
      </c>
      <c r="F106" s="23">
        <f>IF(D106="major",Parameters!$B$14,IF(D106="medium",Parameters!$B$15,Parameters!$B$16))</f>
        <v>3</v>
      </c>
      <c r="G106" s="16">
        <f t="shared" si="3"/>
        <v>0</v>
      </c>
      <c r="H106" s="24">
        <f>Parameters!$B$20^(G106-1)</f>
        <v>1.4285714285714286</v>
      </c>
      <c r="I106" s="18">
        <f t="shared" si="4"/>
        <v>34.285714285714285</v>
      </c>
    </row>
    <row r="107" spans="1:9" ht="13.15" x14ac:dyDescent="0.35">
      <c r="A107" s="21">
        <v>106</v>
      </c>
      <c r="B107" s="16">
        <f>'Data KIMI'!B107</f>
        <v>11</v>
      </c>
      <c r="C107" s="22" t="str">
        <f>'Data KIMI'!F107</f>
        <v>reasoning</v>
      </c>
      <c r="D107" s="16" t="str">
        <f>LOWER(TRIM('Data KIMI'!H107))</f>
        <v>major</v>
      </c>
      <c r="E107" s="23">
        <f>IF(ISNUMBER(SEARCH("move_legality",C107)),Parameters!$B$4,IF(ISNUMBER(SEARCH("piece_placement",C107)),Parameters!$B$5,IF(ISNUMBER(SEARCH("material",C107)),Parameters!$B$6,IF(ISNUMBER(SEARCH("piece_relations",C107)),Parameters!$B$7,IF(ISNUMBER(SEARCH("geometry",C107)),Parameters!$B$8,IF(ISNUMBER(SEARCH("reasoning",C107)),Parameters!$B$9,Parameters!$B$10))))))</f>
        <v>2</v>
      </c>
      <c r="F107" s="23">
        <f>IF(D107="major",Parameters!$B$14,IF(D107="medium",Parameters!$B$15,Parameters!$B$16))</f>
        <v>3</v>
      </c>
      <c r="G107" s="16">
        <f t="shared" si="3"/>
        <v>0</v>
      </c>
      <c r="H107" s="24">
        <f>Parameters!$B$20^(G107-1)</f>
        <v>1.4285714285714286</v>
      </c>
      <c r="I107" s="18">
        <f t="shared" si="4"/>
        <v>8.5714285714285712</v>
      </c>
    </row>
    <row r="108" spans="1:9" ht="13.15" x14ac:dyDescent="0.35">
      <c r="A108" s="21">
        <v>107</v>
      </c>
      <c r="B108" s="16">
        <f>'Data KIMI'!B108</f>
        <v>11</v>
      </c>
      <c r="C108" s="22" t="str">
        <f>'Data KIMI'!F108</f>
        <v>move_legality</v>
      </c>
      <c r="D108" s="16" t="str">
        <f>LOWER(TRIM('Data KIMI'!H108))</f>
        <v>major</v>
      </c>
      <c r="E108" s="23">
        <f>IF(ISNUMBER(SEARCH("move_legality",C108)),Parameters!$B$4,IF(ISNUMBER(SEARCH("piece_placement",C108)),Parameters!$B$5,IF(ISNUMBER(SEARCH("material",C108)),Parameters!$B$6,IF(ISNUMBER(SEARCH("piece_relations",C108)),Parameters!$B$7,IF(ISNUMBER(SEARCH("geometry",C108)),Parameters!$B$8,IF(ISNUMBER(SEARCH("reasoning",C108)),Parameters!$B$9,Parameters!$B$10))))))</f>
        <v>8</v>
      </c>
      <c r="F108" s="23">
        <f>IF(D108="major",Parameters!$B$14,IF(D108="medium",Parameters!$B$15,Parameters!$B$16))</f>
        <v>3</v>
      </c>
      <c r="G108" s="16">
        <f t="shared" si="3"/>
        <v>0</v>
      </c>
      <c r="H108" s="24">
        <f>Parameters!$B$20^(G108-1)</f>
        <v>1.4285714285714286</v>
      </c>
      <c r="I108" s="18">
        <f t="shared" si="4"/>
        <v>34.285714285714285</v>
      </c>
    </row>
    <row r="109" spans="1:9" ht="13.15" x14ac:dyDescent="0.35">
      <c r="A109" s="21">
        <v>108</v>
      </c>
      <c r="B109" s="16">
        <f>'Data KIMI'!B109</f>
        <v>12</v>
      </c>
      <c r="C109" s="22" t="str">
        <f>'Data KIMI'!F109</f>
        <v>move_legality</v>
      </c>
      <c r="D109" s="16" t="str">
        <f>LOWER(TRIM('Data KIMI'!H109))</f>
        <v>major</v>
      </c>
      <c r="E109" s="23">
        <f>IF(ISNUMBER(SEARCH("move_legality",C109)),Parameters!$B$4,IF(ISNUMBER(SEARCH("piece_placement",C109)),Parameters!$B$5,IF(ISNUMBER(SEARCH("material",C109)),Parameters!$B$6,IF(ISNUMBER(SEARCH("piece_relations",C109)),Parameters!$B$7,IF(ISNUMBER(SEARCH("geometry",C109)),Parameters!$B$8,IF(ISNUMBER(SEARCH("reasoning",C109)),Parameters!$B$9,Parameters!$B$10))))))</f>
        <v>8</v>
      </c>
      <c r="F109" s="23">
        <f>IF(D109="major",Parameters!$B$14,IF(D109="medium",Parameters!$B$15,Parameters!$B$16))</f>
        <v>3</v>
      </c>
      <c r="G109" s="16">
        <f t="shared" si="3"/>
        <v>0</v>
      </c>
      <c r="H109" s="24">
        <f>Parameters!$B$20^(G109-1)</f>
        <v>1.4285714285714286</v>
      </c>
      <c r="I109" s="18">
        <f t="shared" si="4"/>
        <v>34.285714285714285</v>
      </c>
    </row>
    <row r="110" spans="1:9" ht="13.15" x14ac:dyDescent="0.35">
      <c r="A110" s="21">
        <v>109</v>
      </c>
      <c r="B110" s="16">
        <f>'Data KIMI'!B110</f>
        <v>12</v>
      </c>
      <c r="C110" s="22" t="str">
        <f>'Data KIMI'!F110</f>
        <v>move_legality</v>
      </c>
      <c r="D110" s="16" t="str">
        <f>LOWER(TRIM('Data KIMI'!H110))</f>
        <v>major</v>
      </c>
      <c r="E110" s="23">
        <f>IF(ISNUMBER(SEARCH("move_legality",C110)),Parameters!$B$4,IF(ISNUMBER(SEARCH("piece_placement",C110)),Parameters!$B$5,IF(ISNUMBER(SEARCH("material",C110)),Parameters!$B$6,IF(ISNUMBER(SEARCH("piece_relations",C110)),Parameters!$B$7,IF(ISNUMBER(SEARCH("geometry",C110)),Parameters!$B$8,IF(ISNUMBER(SEARCH("reasoning",C110)),Parameters!$B$9,Parameters!$B$10))))))</f>
        <v>8</v>
      </c>
      <c r="F110" s="23">
        <f>IF(D110="major",Parameters!$B$14,IF(D110="medium",Parameters!$B$15,Parameters!$B$16))</f>
        <v>3</v>
      </c>
      <c r="G110" s="16">
        <f t="shared" si="3"/>
        <v>0</v>
      </c>
      <c r="H110" s="24">
        <f>Parameters!$B$20^(G110-1)</f>
        <v>1.4285714285714286</v>
      </c>
      <c r="I110" s="18">
        <f t="shared" si="4"/>
        <v>34.285714285714285</v>
      </c>
    </row>
    <row r="111" spans="1:9" ht="13.15" x14ac:dyDescent="0.35">
      <c r="A111" s="21">
        <v>110</v>
      </c>
      <c r="B111" s="16">
        <f>'Data KIMI'!B111</f>
        <v>12</v>
      </c>
      <c r="C111" s="22" t="str">
        <f>'Data KIMI'!F111</f>
        <v>move_legality</v>
      </c>
      <c r="D111" s="16" t="str">
        <f>LOWER(TRIM('Data KIMI'!H111))</f>
        <v>medium</v>
      </c>
      <c r="E111" s="23">
        <f>IF(ISNUMBER(SEARCH("move_legality",C111)),Parameters!$B$4,IF(ISNUMBER(SEARCH("piece_placement",C111)),Parameters!$B$5,IF(ISNUMBER(SEARCH("material",C111)),Parameters!$B$6,IF(ISNUMBER(SEARCH("piece_relations",C111)),Parameters!$B$7,IF(ISNUMBER(SEARCH("geometry",C111)),Parameters!$B$8,IF(ISNUMBER(SEARCH("reasoning",C111)),Parameters!$B$9,Parameters!$B$10))))))</f>
        <v>8</v>
      </c>
      <c r="F111" s="23">
        <f>IF(D111="major",Parameters!$B$14,IF(D111="medium",Parameters!$B$15,Parameters!$B$16))</f>
        <v>2</v>
      </c>
      <c r="G111" s="16">
        <f t="shared" si="3"/>
        <v>0</v>
      </c>
      <c r="H111" s="24">
        <f>Parameters!$B$20^(G111-1)</f>
        <v>1.4285714285714286</v>
      </c>
      <c r="I111" s="18">
        <f t="shared" si="4"/>
        <v>22.857142857142858</v>
      </c>
    </row>
    <row r="112" spans="1:9" ht="13.15" x14ac:dyDescent="0.35">
      <c r="A112" s="21">
        <v>111</v>
      </c>
      <c r="B112" s="16">
        <f>'Data KIMI'!B112</f>
        <v>13</v>
      </c>
      <c r="C112" s="22" t="str">
        <f>'Data KIMI'!F112</f>
        <v>piece_relations</v>
      </c>
      <c r="D112" s="16" t="str">
        <f>LOWER(TRIM('Data KIMI'!H112))</f>
        <v>major</v>
      </c>
      <c r="E112" s="23">
        <f>IF(ISNUMBER(SEARCH("move_legality",C112)),Parameters!$B$4,IF(ISNUMBER(SEARCH("piece_placement",C112)),Parameters!$B$5,IF(ISNUMBER(SEARCH("material",C112)),Parameters!$B$6,IF(ISNUMBER(SEARCH("piece_relations",C112)),Parameters!$B$7,IF(ISNUMBER(SEARCH("geometry",C112)),Parameters!$B$8,IF(ISNUMBER(SEARCH("reasoning",C112)),Parameters!$B$9,Parameters!$B$10))))))</f>
        <v>4</v>
      </c>
      <c r="F112" s="23">
        <f>IF(D112="major",Parameters!$B$14,IF(D112="medium",Parameters!$B$15,Parameters!$B$16))</f>
        <v>3</v>
      </c>
      <c r="G112" s="16">
        <f t="shared" si="3"/>
        <v>0</v>
      </c>
      <c r="H112" s="24">
        <f>Parameters!$B$20^(G112-1)</f>
        <v>1.4285714285714286</v>
      </c>
      <c r="I112" s="18">
        <f t="shared" si="4"/>
        <v>17.142857142857142</v>
      </c>
    </row>
    <row r="113" spans="1:9" ht="13.15" x14ac:dyDescent="0.35">
      <c r="A113" s="21">
        <v>112</v>
      </c>
      <c r="B113" s="16">
        <f>'Data KIMI'!B113</f>
        <v>13</v>
      </c>
      <c r="C113" s="22" t="str">
        <f>'Data KIMI'!F113</f>
        <v>move_legality</v>
      </c>
      <c r="D113" s="16" t="str">
        <f>LOWER(TRIM('Data KIMI'!H113))</f>
        <v>major</v>
      </c>
      <c r="E113" s="23">
        <f>IF(ISNUMBER(SEARCH("move_legality",C113)),Parameters!$B$4,IF(ISNUMBER(SEARCH("piece_placement",C113)),Parameters!$B$5,IF(ISNUMBER(SEARCH("material",C113)),Parameters!$B$6,IF(ISNUMBER(SEARCH("piece_relations",C113)),Parameters!$B$7,IF(ISNUMBER(SEARCH("geometry",C113)),Parameters!$B$8,IF(ISNUMBER(SEARCH("reasoning",C113)),Parameters!$B$9,Parameters!$B$10))))))</f>
        <v>8</v>
      </c>
      <c r="F113" s="23">
        <f>IF(D113="major",Parameters!$B$14,IF(D113="medium",Parameters!$B$15,Parameters!$B$16))</f>
        <v>3</v>
      </c>
      <c r="G113" s="16">
        <f t="shared" si="3"/>
        <v>0</v>
      </c>
      <c r="H113" s="24">
        <f>Parameters!$B$20^(G113-1)</f>
        <v>1.4285714285714286</v>
      </c>
      <c r="I113" s="18">
        <f t="shared" si="4"/>
        <v>34.285714285714285</v>
      </c>
    </row>
    <row r="114" spans="1:9" ht="13.15" x14ac:dyDescent="0.35">
      <c r="A114" s="21">
        <v>113</v>
      </c>
      <c r="B114" s="16">
        <f>'Data KIMI'!B114</f>
        <v>13</v>
      </c>
      <c r="C114" s="22" t="str">
        <f>'Data KIMI'!F114</f>
        <v>reasoning</v>
      </c>
      <c r="D114" s="16" t="str">
        <f>LOWER(TRIM('Data KIMI'!H114))</f>
        <v>medium</v>
      </c>
      <c r="E114" s="23">
        <f>IF(ISNUMBER(SEARCH("move_legality",C114)),Parameters!$B$4,IF(ISNUMBER(SEARCH("piece_placement",C114)),Parameters!$B$5,IF(ISNUMBER(SEARCH("material",C114)),Parameters!$B$6,IF(ISNUMBER(SEARCH("piece_relations",C114)),Parameters!$B$7,IF(ISNUMBER(SEARCH("geometry",C114)),Parameters!$B$8,IF(ISNUMBER(SEARCH("reasoning",C114)),Parameters!$B$9,Parameters!$B$10))))))</f>
        <v>2</v>
      </c>
      <c r="F114" s="23">
        <f>IF(D114="major",Parameters!$B$14,IF(D114="medium",Parameters!$B$15,Parameters!$B$16))</f>
        <v>2</v>
      </c>
      <c r="G114" s="16">
        <f t="shared" si="3"/>
        <v>0</v>
      </c>
      <c r="H114" s="24">
        <f>Parameters!$B$20^(G114-1)</f>
        <v>1.4285714285714286</v>
      </c>
      <c r="I114" s="18">
        <f t="shared" si="4"/>
        <v>5.7142857142857144</v>
      </c>
    </row>
    <row r="115" spans="1:9" ht="13.15" x14ac:dyDescent="0.35">
      <c r="A115" s="21">
        <v>114</v>
      </c>
      <c r="B115" s="16">
        <f>'Data KIMI'!B115</f>
        <v>13</v>
      </c>
      <c r="C115" s="22" t="str">
        <f>'Data KIMI'!F115</f>
        <v>move_legality</v>
      </c>
      <c r="D115" s="16" t="str">
        <f>LOWER(TRIM('Data KIMI'!H115))</f>
        <v>major</v>
      </c>
      <c r="E115" s="23">
        <f>IF(ISNUMBER(SEARCH("move_legality",C115)),Parameters!$B$4,IF(ISNUMBER(SEARCH("piece_placement",C115)),Parameters!$B$5,IF(ISNUMBER(SEARCH("material",C115)),Parameters!$B$6,IF(ISNUMBER(SEARCH("piece_relations",C115)),Parameters!$B$7,IF(ISNUMBER(SEARCH("geometry",C115)),Parameters!$B$8,IF(ISNUMBER(SEARCH("reasoning",C115)),Parameters!$B$9,Parameters!$B$10))))))</f>
        <v>8</v>
      </c>
      <c r="F115" s="23">
        <f>IF(D115="major",Parameters!$B$14,IF(D115="medium",Parameters!$B$15,Parameters!$B$16))</f>
        <v>3</v>
      </c>
      <c r="G115" s="16">
        <f t="shared" si="3"/>
        <v>0</v>
      </c>
      <c r="H115" s="24">
        <f>Parameters!$B$20^(G115-1)</f>
        <v>1.4285714285714286</v>
      </c>
      <c r="I115" s="18">
        <f t="shared" si="4"/>
        <v>34.285714285714285</v>
      </c>
    </row>
    <row r="116" spans="1:9" ht="13.15" x14ac:dyDescent="0.35">
      <c r="A116" s="21">
        <v>115</v>
      </c>
      <c r="B116" s="16">
        <f>'Data KIMI'!B116</f>
        <v>13</v>
      </c>
      <c r="C116" s="22" t="str">
        <f>'Data KIMI'!F116</f>
        <v>piece_relations</v>
      </c>
      <c r="D116" s="16" t="str">
        <f>LOWER(TRIM('Data KIMI'!H116))</f>
        <v>major</v>
      </c>
      <c r="E116" s="23">
        <f>IF(ISNUMBER(SEARCH("move_legality",C116)),Parameters!$B$4,IF(ISNUMBER(SEARCH("piece_placement",C116)),Parameters!$B$5,IF(ISNUMBER(SEARCH("material",C116)),Parameters!$B$6,IF(ISNUMBER(SEARCH("piece_relations",C116)),Parameters!$B$7,IF(ISNUMBER(SEARCH("geometry",C116)),Parameters!$B$8,IF(ISNUMBER(SEARCH("reasoning",C116)),Parameters!$B$9,Parameters!$B$10))))))</f>
        <v>4</v>
      </c>
      <c r="F116" s="23">
        <f>IF(D116="major",Parameters!$B$14,IF(D116="medium",Parameters!$B$15,Parameters!$B$16))</f>
        <v>3</v>
      </c>
      <c r="G116" s="16">
        <f t="shared" si="3"/>
        <v>0</v>
      </c>
      <c r="H116" s="24">
        <f>Parameters!$B$20^(G116-1)</f>
        <v>1.4285714285714286</v>
      </c>
      <c r="I116" s="18">
        <f t="shared" si="4"/>
        <v>17.142857142857142</v>
      </c>
    </row>
    <row r="117" spans="1:9" ht="13.15" x14ac:dyDescent="0.35">
      <c r="A117" s="21">
        <v>116</v>
      </c>
      <c r="B117" s="16">
        <f>'Data KIMI'!B117</f>
        <v>13</v>
      </c>
      <c r="C117" s="22" t="str">
        <f>'Data KIMI'!F117</f>
        <v>reasoning</v>
      </c>
      <c r="D117" s="16" t="str">
        <f>LOWER(TRIM('Data KIMI'!H117))</f>
        <v>minor</v>
      </c>
      <c r="E117" s="23">
        <f>IF(ISNUMBER(SEARCH("move_legality",C117)),Parameters!$B$4,IF(ISNUMBER(SEARCH("piece_placement",C117)),Parameters!$B$5,IF(ISNUMBER(SEARCH("material",C117)),Parameters!$B$6,IF(ISNUMBER(SEARCH("piece_relations",C117)),Parameters!$B$7,IF(ISNUMBER(SEARCH("geometry",C117)),Parameters!$B$8,IF(ISNUMBER(SEARCH("reasoning",C117)),Parameters!$B$9,Parameters!$B$10))))))</f>
        <v>2</v>
      </c>
      <c r="F117" s="23">
        <f>IF(D117="major",Parameters!$B$14,IF(D117="medium",Parameters!$B$15,Parameters!$B$16))</f>
        <v>1</v>
      </c>
      <c r="G117" s="16">
        <f t="shared" ref="G117:G180" si="5">COUNTIFS($B$2:$B$12,B117,$C$2:$C$12,C117,$F$2:$F$12,"&gt;"&amp;F117)+COUNTIFS($B$2:$B$12,B117,$C$2:$C$12,C117,$F$2:$F$12,F117,$A$2:$A$12,"&lt;="&amp;A117)</f>
        <v>0</v>
      </c>
      <c r="H117" s="24">
        <f>Parameters!$B$20^(G117-1)</f>
        <v>1.4285714285714286</v>
      </c>
      <c r="I117" s="18">
        <f t="shared" ref="I117:I180" si="6">E117*F117*H117</f>
        <v>2.8571428571428572</v>
      </c>
    </row>
    <row r="118" spans="1:9" ht="13.15" x14ac:dyDescent="0.35">
      <c r="A118" s="21">
        <v>117</v>
      </c>
      <c r="B118" s="16">
        <f>'Data KIMI'!B118</f>
        <v>13</v>
      </c>
      <c r="C118" s="22" t="str">
        <f>'Data KIMI'!F118</f>
        <v>geometry</v>
      </c>
      <c r="D118" s="16" t="str">
        <f>LOWER(TRIM('Data KIMI'!H118))</f>
        <v>major</v>
      </c>
      <c r="E118" s="23">
        <f>IF(ISNUMBER(SEARCH("move_legality",C118)),Parameters!$B$4,IF(ISNUMBER(SEARCH("piece_placement",C118)),Parameters!$B$5,IF(ISNUMBER(SEARCH("material",C118)),Parameters!$B$6,IF(ISNUMBER(SEARCH("piece_relations",C118)),Parameters!$B$7,IF(ISNUMBER(SEARCH("geometry",C118)),Parameters!$B$8,IF(ISNUMBER(SEARCH("reasoning",C118)),Parameters!$B$9,Parameters!$B$10))))))</f>
        <v>3</v>
      </c>
      <c r="F118" s="23">
        <f>IF(D118="major",Parameters!$B$14,IF(D118="medium",Parameters!$B$15,Parameters!$B$16))</f>
        <v>3</v>
      </c>
      <c r="G118" s="16">
        <f t="shared" si="5"/>
        <v>0</v>
      </c>
      <c r="H118" s="24">
        <f>Parameters!$B$20^(G118-1)</f>
        <v>1.4285714285714286</v>
      </c>
      <c r="I118" s="18">
        <f t="shared" si="6"/>
        <v>12.857142857142858</v>
      </c>
    </row>
    <row r="119" spans="1:9" ht="13.15" x14ac:dyDescent="0.35">
      <c r="A119" s="21">
        <v>118</v>
      </c>
      <c r="B119" s="16">
        <f>'Data KIMI'!B119</f>
        <v>13</v>
      </c>
      <c r="C119" s="22" t="str">
        <f>'Data KIMI'!F119</f>
        <v>reasoning</v>
      </c>
      <c r="D119" s="16" t="str">
        <f>LOWER(TRIM('Data KIMI'!H119))</f>
        <v>major</v>
      </c>
      <c r="E119" s="23">
        <f>IF(ISNUMBER(SEARCH("move_legality",C119)),Parameters!$B$4,IF(ISNUMBER(SEARCH("piece_placement",C119)),Parameters!$B$5,IF(ISNUMBER(SEARCH("material",C119)),Parameters!$B$6,IF(ISNUMBER(SEARCH("piece_relations",C119)),Parameters!$B$7,IF(ISNUMBER(SEARCH("geometry",C119)),Parameters!$B$8,IF(ISNUMBER(SEARCH("reasoning",C119)),Parameters!$B$9,Parameters!$B$10))))))</f>
        <v>2</v>
      </c>
      <c r="F119" s="23">
        <f>IF(D119="major",Parameters!$B$14,IF(D119="medium",Parameters!$B$15,Parameters!$B$16))</f>
        <v>3</v>
      </c>
      <c r="G119" s="16">
        <f t="shared" si="5"/>
        <v>0</v>
      </c>
      <c r="H119" s="24">
        <f>Parameters!$B$20^(G119-1)</f>
        <v>1.4285714285714286</v>
      </c>
      <c r="I119" s="18">
        <f t="shared" si="6"/>
        <v>8.5714285714285712</v>
      </c>
    </row>
    <row r="120" spans="1:9" ht="13.15" x14ac:dyDescent="0.35">
      <c r="A120" s="21">
        <v>119</v>
      </c>
      <c r="B120" s="16">
        <f>'Data KIMI'!B120</f>
        <v>14</v>
      </c>
      <c r="C120" s="22" t="str">
        <f>'Data KIMI'!F120</f>
        <v>piece_relations</v>
      </c>
      <c r="D120" s="16" t="str">
        <f>LOWER(TRIM('Data KIMI'!H120))</f>
        <v>major</v>
      </c>
      <c r="E120" s="23">
        <f>IF(ISNUMBER(SEARCH("move_legality",C120)),Parameters!$B$4,IF(ISNUMBER(SEARCH("piece_placement",C120)),Parameters!$B$5,IF(ISNUMBER(SEARCH("material",C120)),Parameters!$B$6,IF(ISNUMBER(SEARCH("piece_relations",C120)),Parameters!$B$7,IF(ISNUMBER(SEARCH("geometry",C120)),Parameters!$B$8,IF(ISNUMBER(SEARCH("reasoning",C120)),Parameters!$B$9,Parameters!$B$10))))))</f>
        <v>4</v>
      </c>
      <c r="F120" s="23">
        <f>IF(D120="major",Parameters!$B$14,IF(D120="medium",Parameters!$B$15,Parameters!$B$16))</f>
        <v>3</v>
      </c>
      <c r="G120" s="16">
        <f t="shared" si="5"/>
        <v>0</v>
      </c>
      <c r="H120" s="24">
        <f>Parameters!$B$20^(G120-1)</f>
        <v>1.4285714285714286</v>
      </c>
      <c r="I120" s="18">
        <f t="shared" si="6"/>
        <v>17.142857142857142</v>
      </c>
    </row>
    <row r="121" spans="1:9" ht="13.15" x14ac:dyDescent="0.35">
      <c r="A121" s="21">
        <v>120</v>
      </c>
      <c r="B121" s="16">
        <f>'Data KIMI'!B121</f>
        <v>14</v>
      </c>
      <c r="C121" s="22" t="str">
        <f>'Data KIMI'!F121</f>
        <v>move_legality</v>
      </c>
      <c r="D121" s="16" t="str">
        <f>LOWER(TRIM('Data KIMI'!H121))</f>
        <v>major</v>
      </c>
      <c r="E121" s="23">
        <f>IF(ISNUMBER(SEARCH("move_legality",C121)),Parameters!$B$4,IF(ISNUMBER(SEARCH("piece_placement",C121)),Parameters!$B$5,IF(ISNUMBER(SEARCH("material",C121)),Parameters!$B$6,IF(ISNUMBER(SEARCH("piece_relations",C121)),Parameters!$B$7,IF(ISNUMBER(SEARCH("geometry",C121)),Parameters!$B$8,IF(ISNUMBER(SEARCH("reasoning",C121)),Parameters!$B$9,Parameters!$B$10))))))</f>
        <v>8</v>
      </c>
      <c r="F121" s="23">
        <f>IF(D121="major",Parameters!$B$14,IF(D121="medium",Parameters!$B$15,Parameters!$B$16))</f>
        <v>3</v>
      </c>
      <c r="G121" s="16">
        <f t="shared" si="5"/>
        <v>0</v>
      </c>
      <c r="H121" s="24">
        <f>Parameters!$B$20^(G121-1)</f>
        <v>1.4285714285714286</v>
      </c>
      <c r="I121" s="18">
        <f t="shared" si="6"/>
        <v>34.285714285714285</v>
      </c>
    </row>
    <row r="122" spans="1:9" ht="13.15" x14ac:dyDescent="0.35">
      <c r="A122" s="21">
        <v>121</v>
      </c>
      <c r="B122" s="16">
        <f>'Data KIMI'!B122</f>
        <v>14</v>
      </c>
      <c r="C122" s="22" t="str">
        <f>'Data KIMI'!F122</f>
        <v>move_legality</v>
      </c>
      <c r="D122" s="16" t="str">
        <f>LOWER(TRIM('Data KIMI'!H122))</f>
        <v>major</v>
      </c>
      <c r="E122" s="23">
        <f>IF(ISNUMBER(SEARCH("move_legality",C122)),Parameters!$B$4,IF(ISNUMBER(SEARCH("piece_placement",C122)),Parameters!$B$5,IF(ISNUMBER(SEARCH("material",C122)),Parameters!$B$6,IF(ISNUMBER(SEARCH("piece_relations",C122)),Parameters!$B$7,IF(ISNUMBER(SEARCH("geometry",C122)),Parameters!$B$8,IF(ISNUMBER(SEARCH("reasoning",C122)),Parameters!$B$9,Parameters!$B$10))))))</f>
        <v>8</v>
      </c>
      <c r="F122" s="23">
        <f>IF(D122="major",Parameters!$B$14,IF(D122="medium",Parameters!$B$15,Parameters!$B$16))</f>
        <v>3</v>
      </c>
      <c r="G122" s="16">
        <f t="shared" si="5"/>
        <v>0</v>
      </c>
      <c r="H122" s="24">
        <f>Parameters!$B$20^(G122-1)</f>
        <v>1.4285714285714286</v>
      </c>
      <c r="I122" s="18">
        <f t="shared" si="6"/>
        <v>34.285714285714285</v>
      </c>
    </row>
    <row r="123" spans="1:9" ht="13.15" x14ac:dyDescent="0.35">
      <c r="A123" s="21">
        <v>122</v>
      </c>
      <c r="B123" s="16">
        <f>'Data KIMI'!B123</f>
        <v>14</v>
      </c>
      <c r="C123" s="22" t="str">
        <f>'Data KIMI'!F123</f>
        <v>reasoning</v>
      </c>
      <c r="D123" s="16" t="str">
        <f>LOWER(TRIM('Data KIMI'!H123))</f>
        <v>medium</v>
      </c>
      <c r="E123" s="23">
        <f>IF(ISNUMBER(SEARCH("move_legality",C123)),Parameters!$B$4,IF(ISNUMBER(SEARCH("piece_placement",C123)),Parameters!$B$5,IF(ISNUMBER(SEARCH("material",C123)),Parameters!$B$6,IF(ISNUMBER(SEARCH("piece_relations",C123)),Parameters!$B$7,IF(ISNUMBER(SEARCH("geometry",C123)),Parameters!$B$8,IF(ISNUMBER(SEARCH("reasoning",C123)),Parameters!$B$9,Parameters!$B$10))))))</f>
        <v>2</v>
      </c>
      <c r="F123" s="23">
        <f>IF(D123="major",Parameters!$B$14,IF(D123="medium",Parameters!$B$15,Parameters!$B$16))</f>
        <v>2</v>
      </c>
      <c r="G123" s="16">
        <f t="shared" si="5"/>
        <v>0</v>
      </c>
      <c r="H123" s="24">
        <f>Parameters!$B$20^(G123-1)</f>
        <v>1.4285714285714286</v>
      </c>
      <c r="I123" s="18">
        <f t="shared" si="6"/>
        <v>5.7142857142857144</v>
      </c>
    </row>
    <row r="124" spans="1:9" ht="13.15" x14ac:dyDescent="0.35">
      <c r="A124" s="21">
        <v>123</v>
      </c>
      <c r="B124" s="16">
        <f>'Data KIMI'!B124</f>
        <v>14</v>
      </c>
      <c r="C124" s="22" t="str">
        <f>'Data KIMI'!F124</f>
        <v>reasoning</v>
      </c>
      <c r="D124" s="16" t="str">
        <f>LOWER(TRIM('Data KIMI'!H124))</f>
        <v>medium</v>
      </c>
      <c r="E124" s="23">
        <f>IF(ISNUMBER(SEARCH("move_legality",C124)),Parameters!$B$4,IF(ISNUMBER(SEARCH("piece_placement",C124)),Parameters!$B$5,IF(ISNUMBER(SEARCH("material",C124)),Parameters!$B$6,IF(ISNUMBER(SEARCH("piece_relations",C124)),Parameters!$B$7,IF(ISNUMBER(SEARCH("geometry",C124)),Parameters!$B$8,IF(ISNUMBER(SEARCH("reasoning",C124)),Parameters!$B$9,Parameters!$B$10))))))</f>
        <v>2</v>
      </c>
      <c r="F124" s="23">
        <f>IF(D124="major",Parameters!$B$14,IF(D124="medium",Parameters!$B$15,Parameters!$B$16))</f>
        <v>2</v>
      </c>
      <c r="G124" s="16">
        <f t="shared" si="5"/>
        <v>0</v>
      </c>
      <c r="H124" s="24">
        <f>Parameters!$B$20^(G124-1)</f>
        <v>1.4285714285714286</v>
      </c>
      <c r="I124" s="18">
        <f t="shared" si="6"/>
        <v>5.7142857142857144</v>
      </c>
    </row>
    <row r="125" spans="1:9" ht="13.15" x14ac:dyDescent="0.35">
      <c r="A125" s="21">
        <v>124</v>
      </c>
      <c r="B125" s="16">
        <f>'Data KIMI'!B125</f>
        <v>14</v>
      </c>
      <c r="C125" s="22" t="str">
        <f>'Data KIMI'!F125</f>
        <v>move_legality</v>
      </c>
      <c r="D125" s="16" t="str">
        <f>LOWER(TRIM('Data KIMI'!H125))</f>
        <v>major</v>
      </c>
      <c r="E125" s="23">
        <f>IF(ISNUMBER(SEARCH("move_legality",C125)),Parameters!$B$4,IF(ISNUMBER(SEARCH("piece_placement",C125)),Parameters!$B$5,IF(ISNUMBER(SEARCH("material",C125)),Parameters!$B$6,IF(ISNUMBER(SEARCH("piece_relations",C125)),Parameters!$B$7,IF(ISNUMBER(SEARCH("geometry",C125)),Parameters!$B$8,IF(ISNUMBER(SEARCH("reasoning",C125)),Parameters!$B$9,Parameters!$B$10))))))</f>
        <v>8</v>
      </c>
      <c r="F125" s="23">
        <f>IF(D125="major",Parameters!$B$14,IF(D125="medium",Parameters!$B$15,Parameters!$B$16))</f>
        <v>3</v>
      </c>
      <c r="G125" s="16">
        <f t="shared" si="5"/>
        <v>0</v>
      </c>
      <c r="H125" s="24">
        <f>Parameters!$B$20^(G125-1)</f>
        <v>1.4285714285714286</v>
      </c>
      <c r="I125" s="18">
        <f t="shared" si="6"/>
        <v>34.285714285714285</v>
      </c>
    </row>
    <row r="126" spans="1:9" ht="13.15" x14ac:dyDescent="0.35">
      <c r="A126" s="21">
        <v>125</v>
      </c>
      <c r="B126" s="16">
        <f>'Data KIMI'!B126</f>
        <v>14</v>
      </c>
      <c r="C126" s="22" t="str">
        <f>'Data KIMI'!F126</f>
        <v>piece_relations</v>
      </c>
      <c r="D126" s="16" t="str">
        <f>LOWER(TRIM('Data KIMI'!H126))</f>
        <v>major</v>
      </c>
      <c r="E126" s="23">
        <f>IF(ISNUMBER(SEARCH("move_legality",C126)),Parameters!$B$4,IF(ISNUMBER(SEARCH("piece_placement",C126)),Parameters!$B$5,IF(ISNUMBER(SEARCH("material",C126)),Parameters!$B$6,IF(ISNUMBER(SEARCH("piece_relations",C126)),Parameters!$B$7,IF(ISNUMBER(SEARCH("geometry",C126)),Parameters!$B$8,IF(ISNUMBER(SEARCH("reasoning",C126)),Parameters!$B$9,Parameters!$B$10))))))</f>
        <v>4</v>
      </c>
      <c r="F126" s="23">
        <f>IF(D126="major",Parameters!$B$14,IF(D126="medium",Parameters!$B$15,Parameters!$B$16))</f>
        <v>3</v>
      </c>
      <c r="G126" s="16">
        <f t="shared" si="5"/>
        <v>0</v>
      </c>
      <c r="H126" s="24">
        <f>Parameters!$B$20^(G126-1)</f>
        <v>1.4285714285714286</v>
      </c>
      <c r="I126" s="18">
        <f t="shared" si="6"/>
        <v>17.142857142857142</v>
      </c>
    </row>
    <row r="127" spans="1:9" ht="13.15" x14ac:dyDescent="0.35">
      <c r="A127" s="21">
        <v>126</v>
      </c>
      <c r="B127" s="16">
        <f>'Data KIMI'!B127</f>
        <v>14</v>
      </c>
      <c r="C127" s="22" t="str">
        <f>'Data KIMI'!F127</f>
        <v>move_legality</v>
      </c>
      <c r="D127" s="16" t="str">
        <f>LOWER(TRIM('Data KIMI'!H127))</f>
        <v>minor</v>
      </c>
      <c r="E127" s="23">
        <f>IF(ISNUMBER(SEARCH("move_legality",C127)),Parameters!$B$4,IF(ISNUMBER(SEARCH("piece_placement",C127)),Parameters!$B$5,IF(ISNUMBER(SEARCH("material",C127)),Parameters!$B$6,IF(ISNUMBER(SEARCH("piece_relations",C127)),Parameters!$B$7,IF(ISNUMBER(SEARCH("geometry",C127)),Parameters!$B$8,IF(ISNUMBER(SEARCH("reasoning",C127)),Parameters!$B$9,Parameters!$B$10))))))</f>
        <v>8</v>
      </c>
      <c r="F127" s="23">
        <f>IF(D127="major",Parameters!$B$14,IF(D127="medium",Parameters!$B$15,Parameters!$B$16))</f>
        <v>1</v>
      </c>
      <c r="G127" s="16">
        <f t="shared" si="5"/>
        <v>0</v>
      </c>
      <c r="H127" s="24">
        <f>Parameters!$B$20^(G127-1)</f>
        <v>1.4285714285714286</v>
      </c>
      <c r="I127" s="18">
        <f t="shared" si="6"/>
        <v>11.428571428571429</v>
      </c>
    </row>
    <row r="128" spans="1:9" ht="13.15" x14ac:dyDescent="0.35">
      <c r="A128" s="21">
        <v>127</v>
      </c>
      <c r="B128" s="16">
        <f>'Data KIMI'!B128</f>
        <v>14</v>
      </c>
      <c r="C128" s="22" t="str">
        <f>'Data KIMI'!F128</f>
        <v>move_legality</v>
      </c>
      <c r="D128" s="16" t="str">
        <f>LOWER(TRIM('Data KIMI'!H128))</f>
        <v>major</v>
      </c>
      <c r="E128" s="23">
        <f>IF(ISNUMBER(SEARCH("move_legality",C128)),Parameters!$B$4,IF(ISNUMBER(SEARCH("piece_placement",C128)),Parameters!$B$5,IF(ISNUMBER(SEARCH("material",C128)),Parameters!$B$6,IF(ISNUMBER(SEARCH("piece_relations",C128)),Parameters!$B$7,IF(ISNUMBER(SEARCH("geometry",C128)),Parameters!$B$8,IF(ISNUMBER(SEARCH("reasoning",C128)),Parameters!$B$9,Parameters!$B$10))))))</f>
        <v>8</v>
      </c>
      <c r="F128" s="23">
        <f>IF(D128="major",Parameters!$B$14,IF(D128="medium",Parameters!$B$15,Parameters!$B$16))</f>
        <v>3</v>
      </c>
      <c r="G128" s="16">
        <f t="shared" si="5"/>
        <v>0</v>
      </c>
      <c r="H128" s="24">
        <f>Parameters!$B$20^(G128-1)</f>
        <v>1.4285714285714286</v>
      </c>
      <c r="I128" s="18">
        <f t="shared" si="6"/>
        <v>34.285714285714285</v>
      </c>
    </row>
    <row r="129" spans="1:9" ht="13.15" x14ac:dyDescent="0.35">
      <c r="A129" s="21">
        <v>128</v>
      </c>
      <c r="B129" s="16">
        <f>'Data KIMI'!B129</f>
        <v>15</v>
      </c>
      <c r="C129" s="22" t="str">
        <f>'Data KIMI'!F129</f>
        <v>reasoning</v>
      </c>
      <c r="D129" s="16" t="str">
        <f>LOWER(TRIM('Data KIMI'!H129))</f>
        <v>major</v>
      </c>
      <c r="E129" s="23">
        <f>IF(ISNUMBER(SEARCH("move_legality",C129)),Parameters!$B$4,IF(ISNUMBER(SEARCH("piece_placement",C129)),Parameters!$B$5,IF(ISNUMBER(SEARCH("material",C129)),Parameters!$B$6,IF(ISNUMBER(SEARCH("piece_relations",C129)),Parameters!$B$7,IF(ISNUMBER(SEARCH("geometry",C129)),Parameters!$B$8,IF(ISNUMBER(SEARCH("reasoning",C129)),Parameters!$B$9,Parameters!$B$10))))))</f>
        <v>2</v>
      </c>
      <c r="F129" s="23">
        <f>IF(D129="major",Parameters!$B$14,IF(D129="medium",Parameters!$B$15,Parameters!$B$16))</f>
        <v>3</v>
      </c>
      <c r="G129" s="16">
        <f t="shared" si="5"/>
        <v>0</v>
      </c>
      <c r="H129" s="24">
        <f>Parameters!$B$20^(G129-1)</f>
        <v>1.4285714285714286</v>
      </c>
      <c r="I129" s="18">
        <f t="shared" si="6"/>
        <v>8.5714285714285712</v>
      </c>
    </row>
    <row r="130" spans="1:9" ht="13.15" x14ac:dyDescent="0.35">
      <c r="A130" s="21">
        <v>129</v>
      </c>
      <c r="B130" s="16">
        <f>'Data KIMI'!B130</f>
        <v>15</v>
      </c>
      <c r="C130" s="22" t="str">
        <f>'Data KIMI'!F130</f>
        <v>move_legality</v>
      </c>
      <c r="D130" s="16" t="str">
        <f>LOWER(TRIM('Data KIMI'!H130))</f>
        <v>major</v>
      </c>
      <c r="E130" s="23">
        <f>IF(ISNUMBER(SEARCH("move_legality",C130)),Parameters!$B$4,IF(ISNUMBER(SEARCH("piece_placement",C130)),Parameters!$B$5,IF(ISNUMBER(SEARCH("material",C130)),Parameters!$B$6,IF(ISNUMBER(SEARCH("piece_relations",C130)),Parameters!$B$7,IF(ISNUMBER(SEARCH("geometry",C130)),Parameters!$B$8,IF(ISNUMBER(SEARCH("reasoning",C130)),Parameters!$B$9,Parameters!$B$10))))))</f>
        <v>8</v>
      </c>
      <c r="F130" s="23">
        <f>IF(D130="major",Parameters!$B$14,IF(D130="medium",Parameters!$B$15,Parameters!$B$16))</f>
        <v>3</v>
      </c>
      <c r="G130" s="16">
        <f t="shared" si="5"/>
        <v>0</v>
      </c>
      <c r="H130" s="24">
        <f>Parameters!$B$20^(G130-1)</f>
        <v>1.4285714285714286</v>
      </c>
      <c r="I130" s="18">
        <f t="shared" si="6"/>
        <v>34.285714285714285</v>
      </c>
    </row>
    <row r="131" spans="1:9" ht="13.15" x14ac:dyDescent="0.35">
      <c r="A131" s="21">
        <v>130</v>
      </c>
      <c r="B131" s="16">
        <f>'Data KIMI'!B131</f>
        <v>15</v>
      </c>
      <c r="C131" s="22" t="str">
        <f>'Data KIMI'!F131</f>
        <v>move_legality</v>
      </c>
      <c r="D131" s="16" t="str">
        <f>LOWER(TRIM('Data KIMI'!H131))</f>
        <v>major</v>
      </c>
      <c r="E131" s="23">
        <f>IF(ISNUMBER(SEARCH("move_legality",C131)),Parameters!$B$4,IF(ISNUMBER(SEARCH("piece_placement",C131)),Parameters!$B$5,IF(ISNUMBER(SEARCH("material",C131)),Parameters!$B$6,IF(ISNUMBER(SEARCH("piece_relations",C131)),Parameters!$B$7,IF(ISNUMBER(SEARCH("geometry",C131)),Parameters!$B$8,IF(ISNUMBER(SEARCH("reasoning",C131)),Parameters!$B$9,Parameters!$B$10))))))</f>
        <v>8</v>
      </c>
      <c r="F131" s="23">
        <f>IF(D131="major",Parameters!$B$14,IF(D131="medium",Parameters!$B$15,Parameters!$B$16))</f>
        <v>3</v>
      </c>
      <c r="G131" s="16">
        <f t="shared" si="5"/>
        <v>0</v>
      </c>
      <c r="H131" s="24">
        <f>Parameters!$B$20^(G131-1)</f>
        <v>1.4285714285714286</v>
      </c>
      <c r="I131" s="18">
        <f t="shared" si="6"/>
        <v>34.285714285714285</v>
      </c>
    </row>
    <row r="132" spans="1:9" ht="13.15" x14ac:dyDescent="0.35">
      <c r="A132" s="21">
        <v>131</v>
      </c>
      <c r="B132" s="16">
        <f>'Data KIMI'!B132</f>
        <v>15</v>
      </c>
      <c r="C132" s="22" t="str">
        <f>'Data KIMI'!F132</f>
        <v>move_legality</v>
      </c>
      <c r="D132" s="16" t="str">
        <f>LOWER(TRIM('Data KIMI'!H132))</f>
        <v>major</v>
      </c>
      <c r="E132" s="23">
        <f>IF(ISNUMBER(SEARCH("move_legality",C132)),Parameters!$B$4,IF(ISNUMBER(SEARCH("piece_placement",C132)),Parameters!$B$5,IF(ISNUMBER(SEARCH("material",C132)),Parameters!$B$6,IF(ISNUMBER(SEARCH("piece_relations",C132)),Parameters!$B$7,IF(ISNUMBER(SEARCH("geometry",C132)),Parameters!$B$8,IF(ISNUMBER(SEARCH("reasoning",C132)),Parameters!$B$9,Parameters!$B$10))))))</f>
        <v>8</v>
      </c>
      <c r="F132" s="23">
        <f>IF(D132="major",Parameters!$B$14,IF(D132="medium",Parameters!$B$15,Parameters!$B$16))</f>
        <v>3</v>
      </c>
      <c r="G132" s="16">
        <f t="shared" si="5"/>
        <v>0</v>
      </c>
      <c r="H132" s="24">
        <f>Parameters!$B$20^(G132-1)</f>
        <v>1.4285714285714286</v>
      </c>
      <c r="I132" s="18">
        <f t="shared" si="6"/>
        <v>34.285714285714285</v>
      </c>
    </row>
    <row r="133" spans="1:9" ht="13.15" x14ac:dyDescent="0.35">
      <c r="A133" s="21">
        <v>132</v>
      </c>
      <c r="B133" s="16">
        <f>'Data KIMI'!B133</f>
        <v>15</v>
      </c>
      <c r="C133" s="22" t="str">
        <f>'Data KIMI'!F133</f>
        <v>move_legality</v>
      </c>
      <c r="D133" s="16" t="str">
        <f>LOWER(TRIM('Data KIMI'!H133))</f>
        <v>major</v>
      </c>
      <c r="E133" s="23">
        <f>IF(ISNUMBER(SEARCH("move_legality",C133)),Parameters!$B$4,IF(ISNUMBER(SEARCH("piece_placement",C133)),Parameters!$B$5,IF(ISNUMBER(SEARCH("material",C133)),Parameters!$B$6,IF(ISNUMBER(SEARCH("piece_relations",C133)),Parameters!$B$7,IF(ISNUMBER(SEARCH("geometry",C133)),Parameters!$B$8,IF(ISNUMBER(SEARCH("reasoning",C133)),Parameters!$B$9,Parameters!$B$10))))))</f>
        <v>8</v>
      </c>
      <c r="F133" s="23">
        <f>IF(D133="major",Parameters!$B$14,IF(D133="medium",Parameters!$B$15,Parameters!$B$16))</f>
        <v>3</v>
      </c>
      <c r="G133" s="16">
        <f t="shared" si="5"/>
        <v>0</v>
      </c>
      <c r="H133" s="24">
        <f>Parameters!$B$20^(G133-1)</f>
        <v>1.4285714285714286</v>
      </c>
      <c r="I133" s="18">
        <f t="shared" si="6"/>
        <v>34.285714285714285</v>
      </c>
    </row>
    <row r="134" spans="1:9" ht="13.15" x14ac:dyDescent="0.35">
      <c r="A134" s="21">
        <v>133</v>
      </c>
      <c r="B134" s="16">
        <f>'Data KIMI'!B134</f>
        <v>15</v>
      </c>
      <c r="C134" s="22" t="str">
        <f>'Data KIMI'!F134</f>
        <v>reasoning</v>
      </c>
      <c r="D134" s="16" t="str">
        <f>LOWER(TRIM('Data KIMI'!H134))</f>
        <v>major</v>
      </c>
      <c r="E134" s="23">
        <f>IF(ISNUMBER(SEARCH("move_legality",C134)),Parameters!$B$4,IF(ISNUMBER(SEARCH("piece_placement",C134)),Parameters!$B$5,IF(ISNUMBER(SEARCH("material",C134)),Parameters!$B$6,IF(ISNUMBER(SEARCH("piece_relations",C134)),Parameters!$B$7,IF(ISNUMBER(SEARCH("geometry",C134)),Parameters!$B$8,IF(ISNUMBER(SEARCH("reasoning",C134)),Parameters!$B$9,Parameters!$B$10))))))</f>
        <v>2</v>
      </c>
      <c r="F134" s="23">
        <f>IF(D134="major",Parameters!$B$14,IF(D134="medium",Parameters!$B$15,Parameters!$B$16))</f>
        <v>3</v>
      </c>
      <c r="G134" s="16">
        <f t="shared" si="5"/>
        <v>0</v>
      </c>
      <c r="H134" s="24">
        <f>Parameters!$B$20^(G134-1)</f>
        <v>1.4285714285714286</v>
      </c>
      <c r="I134" s="18">
        <f t="shared" si="6"/>
        <v>8.5714285714285712</v>
      </c>
    </row>
    <row r="135" spans="1:9" ht="13.15" x14ac:dyDescent="0.35">
      <c r="A135" s="21">
        <v>134</v>
      </c>
      <c r="B135" s="16">
        <f>'Data KIMI'!B135</f>
        <v>15</v>
      </c>
      <c r="C135" s="22" t="str">
        <f>'Data KIMI'!F135</f>
        <v>reasoning</v>
      </c>
      <c r="D135" s="16" t="str">
        <f>LOWER(TRIM('Data KIMI'!H135))</f>
        <v>major</v>
      </c>
      <c r="E135" s="23">
        <f>IF(ISNUMBER(SEARCH("move_legality",C135)),Parameters!$B$4,IF(ISNUMBER(SEARCH("piece_placement",C135)),Parameters!$B$5,IF(ISNUMBER(SEARCH("material",C135)),Parameters!$B$6,IF(ISNUMBER(SEARCH("piece_relations",C135)),Parameters!$B$7,IF(ISNUMBER(SEARCH("geometry",C135)),Parameters!$B$8,IF(ISNUMBER(SEARCH("reasoning",C135)),Parameters!$B$9,Parameters!$B$10))))))</f>
        <v>2</v>
      </c>
      <c r="F135" s="23">
        <f>IF(D135="major",Parameters!$B$14,IF(D135="medium",Parameters!$B$15,Parameters!$B$16))</f>
        <v>3</v>
      </c>
      <c r="G135" s="16">
        <f t="shared" si="5"/>
        <v>0</v>
      </c>
      <c r="H135" s="24">
        <f>Parameters!$B$20^(G135-1)</f>
        <v>1.4285714285714286</v>
      </c>
      <c r="I135" s="18">
        <f t="shared" si="6"/>
        <v>8.5714285714285712</v>
      </c>
    </row>
    <row r="136" spans="1:9" ht="13.15" x14ac:dyDescent="0.35">
      <c r="A136" s="21">
        <v>135</v>
      </c>
      <c r="B136" s="16">
        <f>'Data KIMI'!B136</f>
        <v>15</v>
      </c>
      <c r="C136" s="22" t="str">
        <f>'Data KIMI'!F136</f>
        <v>geometry</v>
      </c>
      <c r="D136" s="16" t="str">
        <f>LOWER(TRIM('Data KIMI'!H136))</f>
        <v>minor</v>
      </c>
      <c r="E136" s="23">
        <f>IF(ISNUMBER(SEARCH("move_legality",C136)),Parameters!$B$4,IF(ISNUMBER(SEARCH("piece_placement",C136)),Parameters!$B$5,IF(ISNUMBER(SEARCH("material",C136)),Parameters!$B$6,IF(ISNUMBER(SEARCH("piece_relations",C136)),Parameters!$B$7,IF(ISNUMBER(SEARCH("geometry",C136)),Parameters!$B$8,IF(ISNUMBER(SEARCH("reasoning",C136)),Parameters!$B$9,Parameters!$B$10))))))</f>
        <v>3</v>
      </c>
      <c r="F136" s="23">
        <f>IF(D136="major",Parameters!$B$14,IF(D136="medium",Parameters!$B$15,Parameters!$B$16))</f>
        <v>1</v>
      </c>
      <c r="G136" s="16">
        <f t="shared" si="5"/>
        <v>0</v>
      </c>
      <c r="H136" s="24">
        <f>Parameters!$B$20^(G136-1)</f>
        <v>1.4285714285714286</v>
      </c>
      <c r="I136" s="18">
        <f t="shared" si="6"/>
        <v>4.2857142857142856</v>
      </c>
    </row>
    <row r="137" spans="1:9" ht="13.15" x14ac:dyDescent="0.35">
      <c r="A137" s="21">
        <v>136</v>
      </c>
      <c r="B137" s="16">
        <f>'Data KIMI'!B137</f>
        <v>15</v>
      </c>
      <c r="C137" s="22" t="str">
        <f>'Data KIMI'!F137</f>
        <v>move_legality</v>
      </c>
      <c r="D137" s="16" t="str">
        <f>LOWER(TRIM('Data KIMI'!H137))</f>
        <v>major</v>
      </c>
      <c r="E137" s="23">
        <f>IF(ISNUMBER(SEARCH("move_legality",C137)),Parameters!$B$4,IF(ISNUMBER(SEARCH("piece_placement",C137)),Parameters!$B$5,IF(ISNUMBER(SEARCH("material",C137)),Parameters!$B$6,IF(ISNUMBER(SEARCH("piece_relations",C137)),Parameters!$B$7,IF(ISNUMBER(SEARCH("geometry",C137)),Parameters!$B$8,IF(ISNUMBER(SEARCH("reasoning",C137)),Parameters!$B$9,Parameters!$B$10))))))</f>
        <v>8</v>
      </c>
      <c r="F137" s="23">
        <f>IF(D137="major",Parameters!$B$14,IF(D137="medium",Parameters!$B$15,Parameters!$B$16))</f>
        <v>3</v>
      </c>
      <c r="G137" s="16">
        <f t="shared" si="5"/>
        <v>0</v>
      </c>
      <c r="H137" s="24">
        <f>Parameters!$B$20^(G137-1)</f>
        <v>1.4285714285714286</v>
      </c>
      <c r="I137" s="18">
        <f t="shared" si="6"/>
        <v>34.285714285714285</v>
      </c>
    </row>
    <row r="138" spans="1:9" ht="13.15" x14ac:dyDescent="0.35">
      <c r="A138" s="21">
        <v>137</v>
      </c>
      <c r="B138" s="16">
        <f>'Data KIMI'!B138</f>
        <v>15</v>
      </c>
      <c r="C138" s="22" t="str">
        <f>'Data KIMI'!F138</f>
        <v>move_legality</v>
      </c>
      <c r="D138" s="16" t="str">
        <f>LOWER(TRIM('Data KIMI'!H138))</f>
        <v>major</v>
      </c>
      <c r="E138" s="23">
        <f>IF(ISNUMBER(SEARCH("move_legality",C138)),Parameters!$B$4,IF(ISNUMBER(SEARCH("piece_placement",C138)),Parameters!$B$5,IF(ISNUMBER(SEARCH("material",C138)),Parameters!$B$6,IF(ISNUMBER(SEARCH("piece_relations",C138)),Parameters!$B$7,IF(ISNUMBER(SEARCH("geometry",C138)),Parameters!$B$8,IF(ISNUMBER(SEARCH("reasoning",C138)),Parameters!$B$9,Parameters!$B$10))))))</f>
        <v>8</v>
      </c>
      <c r="F138" s="23">
        <f>IF(D138="major",Parameters!$B$14,IF(D138="medium",Parameters!$B$15,Parameters!$B$16))</f>
        <v>3</v>
      </c>
      <c r="G138" s="16">
        <f t="shared" si="5"/>
        <v>0</v>
      </c>
      <c r="H138" s="24">
        <f>Parameters!$B$20^(G138-1)</f>
        <v>1.4285714285714286</v>
      </c>
      <c r="I138" s="18">
        <f t="shared" si="6"/>
        <v>34.285714285714285</v>
      </c>
    </row>
    <row r="139" spans="1:9" ht="13.15" x14ac:dyDescent="0.35">
      <c r="A139" s="21">
        <v>138</v>
      </c>
      <c r="B139" s="16">
        <f>'Data KIMI'!B139</f>
        <v>15</v>
      </c>
      <c r="C139" s="22" t="str">
        <f>'Data KIMI'!F139</f>
        <v>piece_relations</v>
      </c>
      <c r="D139" s="16" t="str">
        <f>LOWER(TRIM('Data KIMI'!H139))</f>
        <v>major</v>
      </c>
      <c r="E139" s="23">
        <f>IF(ISNUMBER(SEARCH("move_legality",C139)),Parameters!$B$4,IF(ISNUMBER(SEARCH("piece_placement",C139)),Parameters!$B$5,IF(ISNUMBER(SEARCH("material",C139)),Parameters!$B$6,IF(ISNUMBER(SEARCH("piece_relations",C139)),Parameters!$B$7,IF(ISNUMBER(SEARCH("geometry",C139)),Parameters!$B$8,IF(ISNUMBER(SEARCH("reasoning",C139)),Parameters!$B$9,Parameters!$B$10))))))</f>
        <v>4</v>
      </c>
      <c r="F139" s="23">
        <f>IF(D139="major",Parameters!$B$14,IF(D139="medium",Parameters!$B$15,Parameters!$B$16))</f>
        <v>3</v>
      </c>
      <c r="G139" s="16">
        <f t="shared" si="5"/>
        <v>0</v>
      </c>
      <c r="H139" s="24">
        <f>Parameters!$B$20^(G139-1)</f>
        <v>1.4285714285714286</v>
      </c>
      <c r="I139" s="18">
        <f t="shared" si="6"/>
        <v>17.142857142857142</v>
      </c>
    </row>
    <row r="140" spans="1:9" ht="13.15" x14ac:dyDescent="0.35">
      <c r="A140" s="21">
        <v>139</v>
      </c>
      <c r="B140" s="16">
        <f>'Data KIMI'!B140</f>
        <v>15</v>
      </c>
      <c r="C140" s="22" t="str">
        <f>'Data KIMI'!F140</f>
        <v>reasoning</v>
      </c>
      <c r="D140" s="16" t="str">
        <f>LOWER(TRIM('Data KIMI'!H140))</f>
        <v>medium</v>
      </c>
      <c r="E140" s="23">
        <f>IF(ISNUMBER(SEARCH("move_legality",C140)),Parameters!$B$4,IF(ISNUMBER(SEARCH("piece_placement",C140)),Parameters!$B$5,IF(ISNUMBER(SEARCH("material",C140)),Parameters!$B$6,IF(ISNUMBER(SEARCH("piece_relations",C140)),Parameters!$B$7,IF(ISNUMBER(SEARCH("geometry",C140)),Parameters!$B$8,IF(ISNUMBER(SEARCH("reasoning",C140)),Parameters!$B$9,Parameters!$B$10))))))</f>
        <v>2</v>
      </c>
      <c r="F140" s="23">
        <f>IF(D140="major",Parameters!$B$14,IF(D140="medium",Parameters!$B$15,Parameters!$B$16))</f>
        <v>2</v>
      </c>
      <c r="G140" s="16">
        <f t="shared" si="5"/>
        <v>0</v>
      </c>
      <c r="H140" s="24">
        <f>Parameters!$B$20^(G140-1)</f>
        <v>1.4285714285714286</v>
      </c>
      <c r="I140" s="18">
        <f t="shared" si="6"/>
        <v>5.7142857142857144</v>
      </c>
    </row>
    <row r="141" spans="1:9" ht="13.15" x14ac:dyDescent="0.35">
      <c r="A141" s="21">
        <v>140</v>
      </c>
      <c r="B141" s="16">
        <f>'Data KIMI'!B141</f>
        <v>15</v>
      </c>
      <c r="C141" s="22" t="str">
        <f>'Data KIMI'!F141</f>
        <v>reasoning</v>
      </c>
      <c r="D141" s="16" t="str">
        <f>LOWER(TRIM('Data KIMI'!H141))</f>
        <v>medium</v>
      </c>
      <c r="E141" s="23">
        <f>IF(ISNUMBER(SEARCH("move_legality",C141)),Parameters!$B$4,IF(ISNUMBER(SEARCH("piece_placement",C141)),Parameters!$B$5,IF(ISNUMBER(SEARCH("material",C141)),Parameters!$B$6,IF(ISNUMBER(SEARCH("piece_relations",C141)),Parameters!$B$7,IF(ISNUMBER(SEARCH("geometry",C141)),Parameters!$B$8,IF(ISNUMBER(SEARCH("reasoning",C141)),Parameters!$B$9,Parameters!$B$10))))))</f>
        <v>2</v>
      </c>
      <c r="F141" s="23">
        <f>IF(D141="major",Parameters!$B$14,IF(D141="medium",Parameters!$B$15,Parameters!$B$16))</f>
        <v>2</v>
      </c>
      <c r="G141" s="16">
        <f t="shared" si="5"/>
        <v>0</v>
      </c>
      <c r="H141" s="24">
        <f>Parameters!$B$20^(G141-1)</f>
        <v>1.4285714285714286</v>
      </c>
      <c r="I141" s="18">
        <f t="shared" si="6"/>
        <v>5.7142857142857144</v>
      </c>
    </row>
    <row r="142" spans="1:9" ht="13.15" x14ac:dyDescent="0.35">
      <c r="A142" s="21">
        <v>141</v>
      </c>
      <c r="B142" s="16">
        <f>'Data KIMI'!B142</f>
        <v>15</v>
      </c>
      <c r="C142" s="22" t="str">
        <f>'Data KIMI'!F142</f>
        <v>reasoning</v>
      </c>
      <c r="D142" s="16" t="str">
        <f>LOWER(TRIM('Data KIMI'!H142))</f>
        <v>medium</v>
      </c>
      <c r="E142" s="23">
        <f>IF(ISNUMBER(SEARCH("move_legality",C142)),Parameters!$B$4,IF(ISNUMBER(SEARCH("piece_placement",C142)),Parameters!$B$5,IF(ISNUMBER(SEARCH("material",C142)),Parameters!$B$6,IF(ISNUMBER(SEARCH("piece_relations",C142)),Parameters!$B$7,IF(ISNUMBER(SEARCH("geometry",C142)),Parameters!$B$8,IF(ISNUMBER(SEARCH("reasoning",C142)),Parameters!$B$9,Parameters!$B$10))))))</f>
        <v>2</v>
      </c>
      <c r="F142" s="23">
        <f>IF(D142="major",Parameters!$B$14,IF(D142="medium",Parameters!$B$15,Parameters!$B$16))</f>
        <v>2</v>
      </c>
      <c r="G142" s="16">
        <f t="shared" si="5"/>
        <v>0</v>
      </c>
      <c r="H142" s="24">
        <f>Parameters!$B$20^(G142-1)</f>
        <v>1.4285714285714286</v>
      </c>
      <c r="I142" s="18">
        <f t="shared" si="6"/>
        <v>5.7142857142857144</v>
      </c>
    </row>
    <row r="143" spans="1:9" ht="13.15" x14ac:dyDescent="0.35">
      <c r="A143" s="21">
        <v>142</v>
      </c>
      <c r="B143" s="16">
        <f>'Data KIMI'!B143</f>
        <v>15</v>
      </c>
      <c r="C143" s="22" t="str">
        <f>'Data KIMI'!F143</f>
        <v>reasoning</v>
      </c>
      <c r="D143" s="16" t="str">
        <f>LOWER(TRIM('Data KIMI'!H143))</f>
        <v>medium</v>
      </c>
      <c r="E143" s="23">
        <f>IF(ISNUMBER(SEARCH("move_legality",C143)),Parameters!$B$4,IF(ISNUMBER(SEARCH("piece_placement",C143)),Parameters!$B$5,IF(ISNUMBER(SEARCH("material",C143)),Parameters!$B$6,IF(ISNUMBER(SEARCH("piece_relations",C143)),Parameters!$B$7,IF(ISNUMBER(SEARCH("geometry",C143)),Parameters!$B$8,IF(ISNUMBER(SEARCH("reasoning",C143)),Parameters!$B$9,Parameters!$B$10))))))</f>
        <v>2</v>
      </c>
      <c r="F143" s="23">
        <f>IF(D143="major",Parameters!$B$14,IF(D143="medium",Parameters!$B$15,Parameters!$B$16))</f>
        <v>2</v>
      </c>
      <c r="G143" s="16">
        <f t="shared" si="5"/>
        <v>0</v>
      </c>
      <c r="H143" s="24">
        <f>Parameters!$B$20^(G143-1)</f>
        <v>1.4285714285714286</v>
      </c>
      <c r="I143" s="18">
        <f t="shared" si="6"/>
        <v>5.7142857142857144</v>
      </c>
    </row>
    <row r="144" spans="1:9" ht="13.15" x14ac:dyDescent="0.35">
      <c r="A144" s="21">
        <v>143</v>
      </c>
      <c r="B144" s="16">
        <f>'Data KIMI'!B144</f>
        <v>15</v>
      </c>
      <c r="C144" s="22" t="str">
        <f>'Data KIMI'!F144</f>
        <v>reasoning</v>
      </c>
      <c r="D144" s="16" t="str">
        <f>LOWER(TRIM('Data KIMI'!H144))</f>
        <v>major</v>
      </c>
      <c r="E144" s="23">
        <f>IF(ISNUMBER(SEARCH("move_legality",C144)),Parameters!$B$4,IF(ISNUMBER(SEARCH("piece_placement",C144)),Parameters!$B$5,IF(ISNUMBER(SEARCH("material",C144)),Parameters!$B$6,IF(ISNUMBER(SEARCH("piece_relations",C144)),Parameters!$B$7,IF(ISNUMBER(SEARCH("geometry",C144)),Parameters!$B$8,IF(ISNUMBER(SEARCH("reasoning",C144)),Parameters!$B$9,Parameters!$B$10))))))</f>
        <v>2</v>
      </c>
      <c r="F144" s="23">
        <f>IF(D144="major",Parameters!$B$14,IF(D144="medium",Parameters!$B$15,Parameters!$B$16))</f>
        <v>3</v>
      </c>
      <c r="G144" s="16">
        <f t="shared" si="5"/>
        <v>0</v>
      </c>
      <c r="H144" s="24">
        <f>Parameters!$B$20^(G144-1)</f>
        <v>1.4285714285714286</v>
      </c>
      <c r="I144" s="18">
        <f t="shared" si="6"/>
        <v>8.5714285714285712</v>
      </c>
    </row>
    <row r="145" spans="1:9" ht="13.15" x14ac:dyDescent="0.35">
      <c r="A145" s="21">
        <v>144</v>
      </c>
      <c r="B145" s="16">
        <f>'Data KIMI'!B145</f>
        <v>15</v>
      </c>
      <c r="C145" s="22" t="str">
        <f>'Data KIMI'!F145</f>
        <v>reasoning</v>
      </c>
      <c r="D145" s="16" t="str">
        <f>LOWER(TRIM('Data KIMI'!H145))</f>
        <v>major</v>
      </c>
      <c r="E145" s="23">
        <f>IF(ISNUMBER(SEARCH("move_legality",C145)),Parameters!$B$4,IF(ISNUMBER(SEARCH("piece_placement",C145)),Parameters!$B$5,IF(ISNUMBER(SEARCH("material",C145)),Parameters!$B$6,IF(ISNUMBER(SEARCH("piece_relations",C145)),Parameters!$B$7,IF(ISNUMBER(SEARCH("geometry",C145)),Parameters!$B$8,IF(ISNUMBER(SEARCH("reasoning",C145)),Parameters!$B$9,Parameters!$B$10))))))</f>
        <v>2</v>
      </c>
      <c r="F145" s="23">
        <f>IF(D145="major",Parameters!$B$14,IF(D145="medium",Parameters!$B$15,Parameters!$B$16))</f>
        <v>3</v>
      </c>
      <c r="G145" s="16">
        <f t="shared" si="5"/>
        <v>0</v>
      </c>
      <c r="H145" s="24">
        <f>Parameters!$B$20^(G145-1)</f>
        <v>1.4285714285714286</v>
      </c>
      <c r="I145" s="18">
        <f t="shared" si="6"/>
        <v>8.5714285714285712</v>
      </c>
    </row>
    <row r="146" spans="1:9" ht="13.15" x14ac:dyDescent="0.35">
      <c r="A146" s="21">
        <v>145</v>
      </c>
      <c r="B146" s="16">
        <f>'Data KIMI'!B146</f>
        <v>16</v>
      </c>
      <c r="C146" s="22" t="str">
        <f>'Data KIMI'!F146</f>
        <v>piece_placement</v>
      </c>
      <c r="D146" s="16" t="str">
        <f>LOWER(TRIM('Data KIMI'!H146))</f>
        <v>major</v>
      </c>
      <c r="E146" s="23">
        <f>IF(ISNUMBER(SEARCH("move_legality",C146)),Parameters!$B$4,IF(ISNUMBER(SEARCH("piece_placement",C146)),Parameters!$B$5,IF(ISNUMBER(SEARCH("material",C146)),Parameters!$B$6,IF(ISNUMBER(SEARCH("piece_relations",C146)),Parameters!$B$7,IF(ISNUMBER(SEARCH("geometry",C146)),Parameters!$B$8,IF(ISNUMBER(SEARCH("reasoning",C146)),Parameters!$B$9,Parameters!$B$10))))))</f>
        <v>6</v>
      </c>
      <c r="F146" s="23">
        <f>IF(D146="major",Parameters!$B$14,IF(D146="medium",Parameters!$B$15,Parameters!$B$16))</f>
        <v>3</v>
      </c>
      <c r="G146" s="16">
        <f t="shared" si="5"/>
        <v>0</v>
      </c>
      <c r="H146" s="24">
        <f>Parameters!$B$20^(G146-1)</f>
        <v>1.4285714285714286</v>
      </c>
      <c r="I146" s="18">
        <f t="shared" si="6"/>
        <v>25.714285714285715</v>
      </c>
    </row>
    <row r="147" spans="1:9" ht="13.15" x14ac:dyDescent="0.35">
      <c r="A147" s="21">
        <v>146</v>
      </c>
      <c r="B147" s="16">
        <f>'Data KIMI'!B147</f>
        <v>16</v>
      </c>
      <c r="C147" s="22" t="str">
        <f>'Data KIMI'!F147</f>
        <v>piece_relations</v>
      </c>
      <c r="D147" s="16" t="str">
        <f>LOWER(TRIM('Data KIMI'!H147))</f>
        <v>major</v>
      </c>
      <c r="E147" s="23">
        <f>IF(ISNUMBER(SEARCH("move_legality",C147)),Parameters!$B$4,IF(ISNUMBER(SEARCH("piece_placement",C147)),Parameters!$B$5,IF(ISNUMBER(SEARCH("material",C147)),Parameters!$B$6,IF(ISNUMBER(SEARCH("piece_relations",C147)),Parameters!$B$7,IF(ISNUMBER(SEARCH("geometry",C147)),Parameters!$B$8,IF(ISNUMBER(SEARCH("reasoning",C147)),Parameters!$B$9,Parameters!$B$10))))))</f>
        <v>4</v>
      </c>
      <c r="F147" s="23">
        <f>IF(D147="major",Parameters!$B$14,IF(D147="medium",Parameters!$B$15,Parameters!$B$16))</f>
        <v>3</v>
      </c>
      <c r="G147" s="16">
        <f t="shared" si="5"/>
        <v>0</v>
      </c>
      <c r="H147" s="24">
        <f>Parameters!$B$20^(G147-1)</f>
        <v>1.4285714285714286</v>
      </c>
      <c r="I147" s="18">
        <f t="shared" si="6"/>
        <v>17.142857142857142</v>
      </c>
    </row>
    <row r="148" spans="1:9" ht="13.15" x14ac:dyDescent="0.35">
      <c r="A148" s="21">
        <v>147</v>
      </c>
      <c r="B148" s="16">
        <f>'Data KIMI'!B148</f>
        <v>16</v>
      </c>
      <c r="C148" s="22" t="str">
        <f>'Data KIMI'!F148</f>
        <v>reasoning</v>
      </c>
      <c r="D148" s="16" t="str">
        <f>LOWER(TRIM('Data KIMI'!H148))</f>
        <v>major</v>
      </c>
      <c r="E148" s="23">
        <f>IF(ISNUMBER(SEARCH("move_legality",C148)),Parameters!$B$4,IF(ISNUMBER(SEARCH("piece_placement",C148)),Parameters!$B$5,IF(ISNUMBER(SEARCH("material",C148)),Parameters!$B$6,IF(ISNUMBER(SEARCH("piece_relations",C148)),Parameters!$B$7,IF(ISNUMBER(SEARCH("geometry",C148)),Parameters!$B$8,IF(ISNUMBER(SEARCH("reasoning",C148)),Parameters!$B$9,Parameters!$B$10))))))</f>
        <v>2</v>
      </c>
      <c r="F148" s="23">
        <f>IF(D148="major",Parameters!$B$14,IF(D148="medium",Parameters!$B$15,Parameters!$B$16))</f>
        <v>3</v>
      </c>
      <c r="G148" s="16">
        <f t="shared" si="5"/>
        <v>0</v>
      </c>
      <c r="H148" s="24">
        <f>Parameters!$B$20^(G148-1)</f>
        <v>1.4285714285714286</v>
      </c>
      <c r="I148" s="18">
        <f t="shared" si="6"/>
        <v>8.5714285714285712</v>
      </c>
    </row>
    <row r="149" spans="1:9" ht="13.15" x14ac:dyDescent="0.35">
      <c r="A149" s="21">
        <v>148</v>
      </c>
      <c r="B149" s="16">
        <f>'Data KIMI'!B149</f>
        <v>16</v>
      </c>
      <c r="C149" s="22" t="str">
        <f>'Data KIMI'!F149</f>
        <v>reasoning</v>
      </c>
      <c r="D149" s="16" t="str">
        <f>LOWER(TRIM('Data KIMI'!H149))</f>
        <v>major</v>
      </c>
      <c r="E149" s="23">
        <f>IF(ISNUMBER(SEARCH("move_legality",C149)),Parameters!$B$4,IF(ISNUMBER(SEARCH("piece_placement",C149)),Parameters!$B$5,IF(ISNUMBER(SEARCH("material",C149)),Parameters!$B$6,IF(ISNUMBER(SEARCH("piece_relations",C149)),Parameters!$B$7,IF(ISNUMBER(SEARCH("geometry",C149)),Parameters!$B$8,IF(ISNUMBER(SEARCH("reasoning",C149)),Parameters!$B$9,Parameters!$B$10))))))</f>
        <v>2</v>
      </c>
      <c r="F149" s="23">
        <f>IF(D149="major",Parameters!$B$14,IF(D149="medium",Parameters!$B$15,Parameters!$B$16))</f>
        <v>3</v>
      </c>
      <c r="G149" s="16">
        <f t="shared" si="5"/>
        <v>0</v>
      </c>
      <c r="H149" s="24">
        <f>Parameters!$B$20^(G149-1)</f>
        <v>1.4285714285714286</v>
      </c>
      <c r="I149" s="18">
        <f t="shared" si="6"/>
        <v>8.5714285714285712</v>
      </c>
    </row>
    <row r="150" spans="1:9" ht="13.15" x14ac:dyDescent="0.35">
      <c r="A150" s="21">
        <v>149</v>
      </c>
      <c r="B150" s="16">
        <f>'Data KIMI'!B150</f>
        <v>16</v>
      </c>
      <c r="C150" s="22" t="str">
        <f>'Data KIMI'!F150</f>
        <v>move_legality</v>
      </c>
      <c r="D150" s="16" t="str">
        <f>LOWER(TRIM('Data KIMI'!H150))</f>
        <v>major</v>
      </c>
      <c r="E150" s="23">
        <f>IF(ISNUMBER(SEARCH("move_legality",C150)),Parameters!$B$4,IF(ISNUMBER(SEARCH("piece_placement",C150)),Parameters!$B$5,IF(ISNUMBER(SEARCH("material",C150)),Parameters!$B$6,IF(ISNUMBER(SEARCH("piece_relations",C150)),Parameters!$B$7,IF(ISNUMBER(SEARCH("geometry",C150)),Parameters!$B$8,IF(ISNUMBER(SEARCH("reasoning",C150)),Parameters!$B$9,Parameters!$B$10))))))</f>
        <v>8</v>
      </c>
      <c r="F150" s="23">
        <f>IF(D150="major",Parameters!$B$14,IF(D150="medium",Parameters!$B$15,Parameters!$B$16))</f>
        <v>3</v>
      </c>
      <c r="G150" s="16">
        <f t="shared" si="5"/>
        <v>0</v>
      </c>
      <c r="H150" s="24">
        <f>Parameters!$B$20^(G150-1)</f>
        <v>1.4285714285714286</v>
      </c>
      <c r="I150" s="18">
        <f t="shared" si="6"/>
        <v>34.285714285714285</v>
      </c>
    </row>
    <row r="151" spans="1:9" ht="13.15" x14ac:dyDescent="0.35">
      <c r="A151" s="21">
        <v>150</v>
      </c>
      <c r="B151" s="16">
        <f>'Data KIMI'!B151</f>
        <v>16</v>
      </c>
      <c r="C151" s="22" t="str">
        <f>'Data KIMI'!F151</f>
        <v>reasoning</v>
      </c>
      <c r="D151" s="16" t="str">
        <f>LOWER(TRIM('Data KIMI'!H151))</f>
        <v>major</v>
      </c>
      <c r="E151" s="23">
        <f>IF(ISNUMBER(SEARCH("move_legality",C151)),Parameters!$B$4,IF(ISNUMBER(SEARCH("piece_placement",C151)),Parameters!$B$5,IF(ISNUMBER(SEARCH("material",C151)),Parameters!$B$6,IF(ISNUMBER(SEARCH("piece_relations",C151)),Parameters!$B$7,IF(ISNUMBER(SEARCH("geometry",C151)),Parameters!$B$8,IF(ISNUMBER(SEARCH("reasoning",C151)),Parameters!$B$9,Parameters!$B$10))))))</f>
        <v>2</v>
      </c>
      <c r="F151" s="23">
        <f>IF(D151="major",Parameters!$B$14,IF(D151="medium",Parameters!$B$15,Parameters!$B$16))</f>
        <v>3</v>
      </c>
      <c r="G151" s="16">
        <f t="shared" si="5"/>
        <v>0</v>
      </c>
      <c r="H151" s="24">
        <f>Parameters!$B$20^(G151-1)</f>
        <v>1.4285714285714286</v>
      </c>
      <c r="I151" s="18">
        <f t="shared" si="6"/>
        <v>8.5714285714285712</v>
      </c>
    </row>
    <row r="152" spans="1:9" ht="13.15" x14ac:dyDescent="0.35">
      <c r="A152" s="21">
        <v>151</v>
      </c>
      <c r="B152" s="16">
        <f>'Data KIMI'!B152</f>
        <v>16</v>
      </c>
      <c r="C152" s="22" t="str">
        <f>'Data KIMI'!F152</f>
        <v>move_legality</v>
      </c>
      <c r="D152" s="16" t="str">
        <f>LOWER(TRIM('Data KIMI'!H152))</f>
        <v>major</v>
      </c>
      <c r="E152" s="23">
        <f>IF(ISNUMBER(SEARCH("move_legality",C152)),Parameters!$B$4,IF(ISNUMBER(SEARCH("piece_placement",C152)),Parameters!$B$5,IF(ISNUMBER(SEARCH("material",C152)),Parameters!$B$6,IF(ISNUMBER(SEARCH("piece_relations",C152)),Parameters!$B$7,IF(ISNUMBER(SEARCH("geometry",C152)),Parameters!$B$8,IF(ISNUMBER(SEARCH("reasoning",C152)),Parameters!$B$9,Parameters!$B$10))))))</f>
        <v>8</v>
      </c>
      <c r="F152" s="23">
        <f>IF(D152="major",Parameters!$B$14,IF(D152="medium",Parameters!$B$15,Parameters!$B$16))</f>
        <v>3</v>
      </c>
      <c r="G152" s="16">
        <f t="shared" si="5"/>
        <v>0</v>
      </c>
      <c r="H152" s="24">
        <f>Parameters!$B$20^(G152-1)</f>
        <v>1.4285714285714286</v>
      </c>
      <c r="I152" s="18">
        <f t="shared" si="6"/>
        <v>34.285714285714285</v>
      </c>
    </row>
    <row r="153" spans="1:9" ht="13.15" x14ac:dyDescent="0.35">
      <c r="A153" s="21">
        <v>152</v>
      </c>
      <c r="B153" s="16">
        <f>'Data KIMI'!B153</f>
        <v>16</v>
      </c>
      <c r="C153" s="22" t="str">
        <f>'Data KIMI'!F153</f>
        <v>move_legality</v>
      </c>
      <c r="D153" s="16" t="str">
        <f>LOWER(TRIM('Data KIMI'!H153))</f>
        <v>major</v>
      </c>
      <c r="E153" s="23">
        <f>IF(ISNUMBER(SEARCH("move_legality",C153)),Parameters!$B$4,IF(ISNUMBER(SEARCH("piece_placement",C153)),Parameters!$B$5,IF(ISNUMBER(SEARCH("material",C153)),Parameters!$B$6,IF(ISNUMBER(SEARCH("piece_relations",C153)),Parameters!$B$7,IF(ISNUMBER(SEARCH("geometry",C153)),Parameters!$B$8,IF(ISNUMBER(SEARCH("reasoning",C153)),Parameters!$B$9,Parameters!$B$10))))))</f>
        <v>8</v>
      </c>
      <c r="F153" s="23">
        <f>IF(D153="major",Parameters!$B$14,IF(D153="medium",Parameters!$B$15,Parameters!$B$16))</f>
        <v>3</v>
      </c>
      <c r="G153" s="16">
        <f t="shared" si="5"/>
        <v>0</v>
      </c>
      <c r="H153" s="24">
        <f>Parameters!$B$20^(G153-1)</f>
        <v>1.4285714285714286</v>
      </c>
      <c r="I153" s="18">
        <f t="shared" si="6"/>
        <v>34.285714285714285</v>
      </c>
    </row>
    <row r="154" spans="1:9" ht="13.15" x14ac:dyDescent="0.35">
      <c r="A154" s="21">
        <v>153</v>
      </c>
      <c r="B154" s="16">
        <f>'Data KIMI'!B154</f>
        <v>16</v>
      </c>
      <c r="C154" s="22" t="str">
        <f>'Data KIMI'!F154</f>
        <v>piece_placement</v>
      </c>
      <c r="D154" s="16" t="str">
        <f>LOWER(TRIM('Data KIMI'!H154))</f>
        <v>major</v>
      </c>
      <c r="E154" s="23">
        <f>IF(ISNUMBER(SEARCH("move_legality",C154)),Parameters!$B$4,IF(ISNUMBER(SEARCH("piece_placement",C154)),Parameters!$B$5,IF(ISNUMBER(SEARCH("material",C154)),Parameters!$B$6,IF(ISNUMBER(SEARCH("piece_relations",C154)),Parameters!$B$7,IF(ISNUMBER(SEARCH("geometry",C154)),Parameters!$B$8,IF(ISNUMBER(SEARCH("reasoning",C154)),Parameters!$B$9,Parameters!$B$10))))))</f>
        <v>6</v>
      </c>
      <c r="F154" s="23">
        <f>IF(D154="major",Parameters!$B$14,IF(D154="medium",Parameters!$B$15,Parameters!$B$16))</f>
        <v>3</v>
      </c>
      <c r="G154" s="16">
        <f t="shared" si="5"/>
        <v>0</v>
      </c>
      <c r="H154" s="24">
        <f>Parameters!$B$20^(G154-1)</f>
        <v>1.4285714285714286</v>
      </c>
      <c r="I154" s="18">
        <f t="shared" si="6"/>
        <v>25.714285714285715</v>
      </c>
    </row>
    <row r="155" spans="1:9" ht="13.15" x14ac:dyDescent="0.35">
      <c r="A155" s="21">
        <v>154</v>
      </c>
      <c r="B155" s="16">
        <f>'Data KIMI'!B155</f>
        <v>16</v>
      </c>
      <c r="C155" s="22" t="str">
        <f>'Data KIMI'!F155</f>
        <v>reasoning</v>
      </c>
      <c r="D155" s="16" t="str">
        <f>LOWER(TRIM('Data KIMI'!H155))</f>
        <v>medium</v>
      </c>
      <c r="E155" s="23">
        <f>IF(ISNUMBER(SEARCH("move_legality",C155)),Parameters!$B$4,IF(ISNUMBER(SEARCH("piece_placement",C155)),Parameters!$B$5,IF(ISNUMBER(SEARCH("material",C155)),Parameters!$B$6,IF(ISNUMBER(SEARCH("piece_relations",C155)),Parameters!$B$7,IF(ISNUMBER(SEARCH("geometry",C155)),Parameters!$B$8,IF(ISNUMBER(SEARCH("reasoning",C155)),Parameters!$B$9,Parameters!$B$10))))))</f>
        <v>2</v>
      </c>
      <c r="F155" s="23">
        <f>IF(D155="major",Parameters!$B$14,IF(D155="medium",Parameters!$B$15,Parameters!$B$16))</f>
        <v>2</v>
      </c>
      <c r="G155" s="16">
        <f t="shared" si="5"/>
        <v>0</v>
      </c>
      <c r="H155" s="24">
        <f>Parameters!$B$20^(G155-1)</f>
        <v>1.4285714285714286</v>
      </c>
      <c r="I155" s="18">
        <f t="shared" si="6"/>
        <v>5.7142857142857144</v>
      </c>
    </row>
    <row r="156" spans="1:9" ht="13.15" x14ac:dyDescent="0.35">
      <c r="A156" s="21">
        <v>155</v>
      </c>
      <c r="B156" s="16">
        <f>'Data KIMI'!B156</f>
        <v>16</v>
      </c>
      <c r="C156" s="22" t="str">
        <f>'Data KIMI'!F156</f>
        <v>piece_placement</v>
      </c>
      <c r="D156" s="16" t="str">
        <f>LOWER(TRIM('Data KIMI'!H156))</f>
        <v>major</v>
      </c>
      <c r="E156" s="23">
        <f>IF(ISNUMBER(SEARCH("move_legality",C156)),Parameters!$B$4,IF(ISNUMBER(SEARCH("piece_placement",C156)),Parameters!$B$5,IF(ISNUMBER(SEARCH("material",C156)),Parameters!$B$6,IF(ISNUMBER(SEARCH("piece_relations",C156)),Parameters!$B$7,IF(ISNUMBER(SEARCH("geometry",C156)),Parameters!$B$8,IF(ISNUMBER(SEARCH("reasoning",C156)),Parameters!$B$9,Parameters!$B$10))))))</f>
        <v>6</v>
      </c>
      <c r="F156" s="23">
        <f>IF(D156="major",Parameters!$B$14,IF(D156="medium",Parameters!$B$15,Parameters!$B$16))</f>
        <v>3</v>
      </c>
      <c r="G156" s="16">
        <f t="shared" si="5"/>
        <v>0</v>
      </c>
      <c r="H156" s="24">
        <f>Parameters!$B$20^(G156-1)</f>
        <v>1.4285714285714286</v>
      </c>
      <c r="I156" s="18">
        <f t="shared" si="6"/>
        <v>25.714285714285715</v>
      </c>
    </row>
    <row r="157" spans="1:9" ht="13.15" x14ac:dyDescent="0.35">
      <c r="A157" s="21">
        <v>156</v>
      </c>
      <c r="B157" s="16">
        <f>'Data KIMI'!B157</f>
        <v>17</v>
      </c>
      <c r="C157" s="22" t="str">
        <f>'Data KIMI'!F157</f>
        <v>geometry</v>
      </c>
      <c r="D157" s="16" t="str">
        <f>LOWER(TRIM('Data KIMI'!H157))</f>
        <v>major</v>
      </c>
      <c r="E157" s="23">
        <f>IF(ISNUMBER(SEARCH("move_legality",C157)),Parameters!$B$4,IF(ISNUMBER(SEARCH("piece_placement",C157)),Parameters!$B$5,IF(ISNUMBER(SEARCH("material",C157)),Parameters!$B$6,IF(ISNUMBER(SEARCH("piece_relations",C157)),Parameters!$B$7,IF(ISNUMBER(SEARCH("geometry",C157)),Parameters!$B$8,IF(ISNUMBER(SEARCH("reasoning",C157)),Parameters!$B$9,Parameters!$B$10))))))</f>
        <v>3</v>
      </c>
      <c r="F157" s="23">
        <f>IF(D157="major",Parameters!$B$14,IF(D157="medium",Parameters!$B$15,Parameters!$B$16))</f>
        <v>3</v>
      </c>
      <c r="G157" s="16">
        <f t="shared" si="5"/>
        <v>0</v>
      </c>
      <c r="H157" s="24">
        <f>Parameters!$B$20^(G157-1)</f>
        <v>1.4285714285714286</v>
      </c>
      <c r="I157" s="18">
        <f t="shared" si="6"/>
        <v>12.857142857142858</v>
      </c>
    </row>
    <row r="158" spans="1:9" ht="13.15" x14ac:dyDescent="0.35">
      <c r="A158" s="21">
        <v>157</v>
      </c>
      <c r="B158" s="16">
        <f>'Data KIMI'!B158</f>
        <v>17</v>
      </c>
      <c r="C158" s="22" t="str">
        <f>'Data KIMI'!F158</f>
        <v>piece_placement</v>
      </c>
      <c r="D158" s="16" t="str">
        <f>LOWER(TRIM('Data KIMI'!H158))</f>
        <v>major</v>
      </c>
      <c r="E158" s="23">
        <f>IF(ISNUMBER(SEARCH("move_legality",C158)),Parameters!$B$4,IF(ISNUMBER(SEARCH("piece_placement",C158)),Parameters!$B$5,IF(ISNUMBER(SEARCH("material",C158)),Parameters!$B$6,IF(ISNUMBER(SEARCH("piece_relations",C158)),Parameters!$B$7,IF(ISNUMBER(SEARCH("geometry",C158)),Parameters!$B$8,IF(ISNUMBER(SEARCH("reasoning",C158)),Parameters!$B$9,Parameters!$B$10))))))</f>
        <v>6</v>
      </c>
      <c r="F158" s="23">
        <f>IF(D158="major",Parameters!$B$14,IF(D158="medium",Parameters!$B$15,Parameters!$B$16))</f>
        <v>3</v>
      </c>
      <c r="G158" s="16">
        <f t="shared" si="5"/>
        <v>0</v>
      </c>
      <c r="H158" s="24">
        <f>Parameters!$B$20^(G158-1)</f>
        <v>1.4285714285714286</v>
      </c>
      <c r="I158" s="18">
        <f t="shared" si="6"/>
        <v>25.714285714285715</v>
      </c>
    </row>
    <row r="159" spans="1:9" ht="13.15" x14ac:dyDescent="0.35">
      <c r="A159" s="21">
        <v>158</v>
      </c>
      <c r="B159" s="16">
        <f>'Data KIMI'!B159</f>
        <v>17</v>
      </c>
      <c r="C159" s="22" t="str">
        <f>'Data KIMI'!F159</f>
        <v>piece_relations</v>
      </c>
      <c r="D159" s="16" t="str">
        <f>LOWER(TRIM('Data KIMI'!H159))</f>
        <v>major</v>
      </c>
      <c r="E159" s="23">
        <f>IF(ISNUMBER(SEARCH("move_legality",C159)),Parameters!$B$4,IF(ISNUMBER(SEARCH("piece_placement",C159)),Parameters!$B$5,IF(ISNUMBER(SEARCH("material",C159)),Parameters!$B$6,IF(ISNUMBER(SEARCH("piece_relations",C159)),Parameters!$B$7,IF(ISNUMBER(SEARCH("geometry",C159)),Parameters!$B$8,IF(ISNUMBER(SEARCH("reasoning",C159)),Parameters!$B$9,Parameters!$B$10))))))</f>
        <v>4</v>
      </c>
      <c r="F159" s="23">
        <f>IF(D159="major",Parameters!$B$14,IF(D159="medium",Parameters!$B$15,Parameters!$B$16))</f>
        <v>3</v>
      </c>
      <c r="G159" s="16">
        <f t="shared" si="5"/>
        <v>0</v>
      </c>
      <c r="H159" s="24">
        <f>Parameters!$B$20^(G159-1)</f>
        <v>1.4285714285714286</v>
      </c>
      <c r="I159" s="18">
        <f t="shared" si="6"/>
        <v>17.142857142857142</v>
      </c>
    </row>
    <row r="160" spans="1:9" ht="13.15" x14ac:dyDescent="0.35">
      <c r="A160" s="21">
        <v>159</v>
      </c>
      <c r="B160" s="16">
        <f>'Data KIMI'!B160</f>
        <v>17</v>
      </c>
      <c r="C160" s="22" t="str">
        <f>'Data KIMI'!F160</f>
        <v>reasoning</v>
      </c>
      <c r="D160" s="16" t="str">
        <f>LOWER(TRIM('Data KIMI'!H160))</f>
        <v>minor</v>
      </c>
      <c r="E160" s="23">
        <f>IF(ISNUMBER(SEARCH("move_legality",C160)),Parameters!$B$4,IF(ISNUMBER(SEARCH("piece_placement",C160)),Parameters!$B$5,IF(ISNUMBER(SEARCH("material",C160)),Parameters!$B$6,IF(ISNUMBER(SEARCH("piece_relations",C160)),Parameters!$B$7,IF(ISNUMBER(SEARCH("geometry",C160)),Parameters!$B$8,IF(ISNUMBER(SEARCH("reasoning",C160)),Parameters!$B$9,Parameters!$B$10))))))</f>
        <v>2</v>
      </c>
      <c r="F160" s="23">
        <f>IF(D160="major",Parameters!$B$14,IF(D160="medium",Parameters!$B$15,Parameters!$B$16))</f>
        <v>1</v>
      </c>
      <c r="G160" s="16">
        <f t="shared" si="5"/>
        <v>0</v>
      </c>
      <c r="H160" s="24">
        <f>Parameters!$B$20^(G160-1)</f>
        <v>1.4285714285714286</v>
      </c>
      <c r="I160" s="18">
        <f t="shared" si="6"/>
        <v>2.8571428571428572</v>
      </c>
    </row>
    <row r="161" spans="1:9" ht="13.15" x14ac:dyDescent="0.35">
      <c r="A161" s="21">
        <v>160</v>
      </c>
      <c r="B161" s="16">
        <f>'Data KIMI'!B161</f>
        <v>17</v>
      </c>
      <c r="C161" s="22" t="str">
        <f>'Data KIMI'!F161</f>
        <v>piece_relations</v>
      </c>
      <c r="D161" s="16" t="str">
        <f>LOWER(TRIM('Data KIMI'!H161))</f>
        <v>major</v>
      </c>
      <c r="E161" s="23">
        <f>IF(ISNUMBER(SEARCH("move_legality",C161)),Parameters!$B$4,IF(ISNUMBER(SEARCH("piece_placement",C161)),Parameters!$B$5,IF(ISNUMBER(SEARCH("material",C161)),Parameters!$B$6,IF(ISNUMBER(SEARCH("piece_relations",C161)),Parameters!$B$7,IF(ISNUMBER(SEARCH("geometry",C161)),Parameters!$B$8,IF(ISNUMBER(SEARCH("reasoning",C161)),Parameters!$B$9,Parameters!$B$10))))))</f>
        <v>4</v>
      </c>
      <c r="F161" s="23">
        <f>IF(D161="major",Parameters!$B$14,IF(D161="medium",Parameters!$B$15,Parameters!$B$16))</f>
        <v>3</v>
      </c>
      <c r="G161" s="16">
        <f t="shared" si="5"/>
        <v>0</v>
      </c>
      <c r="H161" s="24">
        <f>Parameters!$B$20^(G161-1)</f>
        <v>1.4285714285714286</v>
      </c>
      <c r="I161" s="18">
        <f t="shared" si="6"/>
        <v>17.142857142857142</v>
      </c>
    </row>
    <row r="162" spans="1:9" ht="13.15" x14ac:dyDescent="0.35">
      <c r="A162" s="21">
        <v>161</v>
      </c>
      <c r="B162" s="16">
        <f>'Data KIMI'!B162</f>
        <v>18</v>
      </c>
      <c r="C162" s="22" t="str">
        <f>'Data KIMI'!F162</f>
        <v>material</v>
      </c>
      <c r="D162" s="16" t="str">
        <f>LOWER(TRIM('Data KIMI'!H162))</f>
        <v>major</v>
      </c>
      <c r="E162" s="23">
        <f>IF(ISNUMBER(SEARCH("move_legality",C162)),Parameters!$B$4,IF(ISNUMBER(SEARCH("piece_placement",C162)),Parameters!$B$5,IF(ISNUMBER(SEARCH("material",C162)),Parameters!$B$6,IF(ISNUMBER(SEARCH("piece_relations",C162)),Parameters!$B$7,IF(ISNUMBER(SEARCH("geometry",C162)),Parameters!$B$8,IF(ISNUMBER(SEARCH("reasoning",C162)),Parameters!$B$9,Parameters!$B$10))))))</f>
        <v>5</v>
      </c>
      <c r="F162" s="23">
        <f>IF(D162="major",Parameters!$B$14,IF(D162="medium",Parameters!$B$15,Parameters!$B$16))</f>
        <v>3</v>
      </c>
      <c r="G162" s="16">
        <f t="shared" si="5"/>
        <v>0</v>
      </c>
      <c r="H162" s="24">
        <f>Parameters!$B$20^(G162-1)</f>
        <v>1.4285714285714286</v>
      </c>
      <c r="I162" s="18">
        <f t="shared" si="6"/>
        <v>21.428571428571431</v>
      </c>
    </row>
    <row r="163" spans="1:9" ht="13.15" x14ac:dyDescent="0.35">
      <c r="A163" s="21">
        <v>162</v>
      </c>
      <c r="B163" s="16">
        <f>'Data KIMI'!B163</f>
        <v>18</v>
      </c>
      <c r="C163" s="22" t="str">
        <f>'Data KIMI'!F163</f>
        <v>reasoning</v>
      </c>
      <c r="D163" s="16" t="str">
        <f>LOWER(TRIM('Data KIMI'!H163))</f>
        <v>medium</v>
      </c>
      <c r="E163" s="23">
        <f>IF(ISNUMBER(SEARCH("move_legality",C163)),Parameters!$B$4,IF(ISNUMBER(SEARCH("piece_placement",C163)),Parameters!$B$5,IF(ISNUMBER(SEARCH("material",C163)),Parameters!$B$6,IF(ISNUMBER(SEARCH("piece_relations",C163)),Parameters!$B$7,IF(ISNUMBER(SEARCH("geometry",C163)),Parameters!$B$8,IF(ISNUMBER(SEARCH("reasoning",C163)),Parameters!$B$9,Parameters!$B$10))))))</f>
        <v>2</v>
      </c>
      <c r="F163" s="23">
        <f>IF(D163="major",Parameters!$B$14,IF(D163="medium",Parameters!$B$15,Parameters!$B$16))</f>
        <v>2</v>
      </c>
      <c r="G163" s="16">
        <f t="shared" si="5"/>
        <v>0</v>
      </c>
      <c r="H163" s="24">
        <f>Parameters!$B$20^(G163-1)</f>
        <v>1.4285714285714286</v>
      </c>
      <c r="I163" s="18">
        <f t="shared" si="6"/>
        <v>5.7142857142857144</v>
      </c>
    </row>
    <row r="164" spans="1:9" ht="13.15" x14ac:dyDescent="0.35">
      <c r="A164" s="21">
        <v>163</v>
      </c>
      <c r="B164" s="16">
        <f>'Data KIMI'!B164</f>
        <v>18</v>
      </c>
      <c r="C164" s="22" t="str">
        <f>'Data KIMI'!F164</f>
        <v>reasoning</v>
      </c>
      <c r="D164" s="16" t="str">
        <f>LOWER(TRIM('Data KIMI'!H164))</f>
        <v>major</v>
      </c>
      <c r="E164" s="23">
        <f>IF(ISNUMBER(SEARCH("move_legality",C164)),Parameters!$B$4,IF(ISNUMBER(SEARCH("piece_placement",C164)),Parameters!$B$5,IF(ISNUMBER(SEARCH("material",C164)),Parameters!$B$6,IF(ISNUMBER(SEARCH("piece_relations",C164)),Parameters!$B$7,IF(ISNUMBER(SEARCH("geometry",C164)),Parameters!$B$8,IF(ISNUMBER(SEARCH("reasoning",C164)),Parameters!$B$9,Parameters!$B$10))))))</f>
        <v>2</v>
      </c>
      <c r="F164" s="23">
        <f>IF(D164="major",Parameters!$B$14,IF(D164="medium",Parameters!$B$15,Parameters!$B$16))</f>
        <v>3</v>
      </c>
      <c r="G164" s="16">
        <f t="shared" si="5"/>
        <v>0</v>
      </c>
      <c r="H164" s="24">
        <f>Parameters!$B$20^(G164-1)</f>
        <v>1.4285714285714286</v>
      </c>
      <c r="I164" s="18">
        <f t="shared" si="6"/>
        <v>8.5714285714285712</v>
      </c>
    </row>
    <row r="165" spans="1:9" ht="13.15" x14ac:dyDescent="0.35">
      <c r="A165" s="21">
        <v>164</v>
      </c>
      <c r="B165" s="16">
        <f>'Data KIMI'!B165</f>
        <v>18</v>
      </c>
      <c r="C165" s="22" t="str">
        <f>'Data KIMI'!F165</f>
        <v>piece_relations</v>
      </c>
      <c r="D165" s="16" t="str">
        <f>LOWER(TRIM('Data KIMI'!H165))</f>
        <v>major</v>
      </c>
      <c r="E165" s="23">
        <f>IF(ISNUMBER(SEARCH("move_legality",C165)),Parameters!$B$4,IF(ISNUMBER(SEARCH("piece_placement",C165)),Parameters!$B$5,IF(ISNUMBER(SEARCH("material",C165)),Parameters!$B$6,IF(ISNUMBER(SEARCH("piece_relations",C165)),Parameters!$B$7,IF(ISNUMBER(SEARCH("geometry",C165)),Parameters!$B$8,IF(ISNUMBER(SEARCH("reasoning",C165)),Parameters!$B$9,Parameters!$B$10))))))</f>
        <v>4</v>
      </c>
      <c r="F165" s="23">
        <f>IF(D165="major",Parameters!$B$14,IF(D165="medium",Parameters!$B$15,Parameters!$B$16))</f>
        <v>3</v>
      </c>
      <c r="G165" s="16">
        <f t="shared" si="5"/>
        <v>0</v>
      </c>
      <c r="H165" s="24">
        <f>Parameters!$B$20^(G165-1)</f>
        <v>1.4285714285714286</v>
      </c>
      <c r="I165" s="18">
        <f t="shared" si="6"/>
        <v>17.142857142857142</v>
      </c>
    </row>
    <row r="166" spans="1:9" ht="13.15" x14ac:dyDescent="0.35">
      <c r="A166" s="21">
        <v>165</v>
      </c>
      <c r="B166" s="16">
        <f>'Data KIMI'!B166</f>
        <v>18</v>
      </c>
      <c r="C166" s="22" t="str">
        <f>'Data KIMI'!F166</f>
        <v>reasoning</v>
      </c>
      <c r="D166" s="16" t="str">
        <f>LOWER(TRIM('Data KIMI'!H166))</f>
        <v>major</v>
      </c>
      <c r="E166" s="23">
        <f>IF(ISNUMBER(SEARCH("move_legality",C166)),Parameters!$B$4,IF(ISNUMBER(SEARCH("piece_placement",C166)),Parameters!$B$5,IF(ISNUMBER(SEARCH("material",C166)),Parameters!$B$6,IF(ISNUMBER(SEARCH("piece_relations",C166)),Parameters!$B$7,IF(ISNUMBER(SEARCH("geometry",C166)),Parameters!$B$8,IF(ISNUMBER(SEARCH("reasoning",C166)),Parameters!$B$9,Parameters!$B$10))))))</f>
        <v>2</v>
      </c>
      <c r="F166" s="23">
        <f>IF(D166="major",Parameters!$B$14,IF(D166="medium",Parameters!$B$15,Parameters!$B$16))</f>
        <v>3</v>
      </c>
      <c r="G166" s="16">
        <f t="shared" si="5"/>
        <v>0</v>
      </c>
      <c r="H166" s="24">
        <f>Parameters!$B$20^(G166-1)</f>
        <v>1.4285714285714286</v>
      </c>
      <c r="I166" s="18">
        <f t="shared" si="6"/>
        <v>8.5714285714285712</v>
      </c>
    </row>
    <row r="167" spans="1:9" ht="13.15" x14ac:dyDescent="0.35">
      <c r="A167" s="21">
        <v>166</v>
      </c>
      <c r="B167" s="16">
        <f>'Data KIMI'!B167</f>
        <v>18</v>
      </c>
      <c r="C167" s="22" t="str">
        <f>'Data KIMI'!F167</f>
        <v>piece_relations</v>
      </c>
      <c r="D167" s="16" t="str">
        <f>LOWER(TRIM('Data KIMI'!H167))</f>
        <v>minor</v>
      </c>
      <c r="E167" s="23">
        <f>IF(ISNUMBER(SEARCH("move_legality",C167)),Parameters!$B$4,IF(ISNUMBER(SEARCH("piece_placement",C167)),Parameters!$B$5,IF(ISNUMBER(SEARCH("material",C167)),Parameters!$B$6,IF(ISNUMBER(SEARCH("piece_relations",C167)),Parameters!$B$7,IF(ISNUMBER(SEARCH("geometry",C167)),Parameters!$B$8,IF(ISNUMBER(SEARCH("reasoning",C167)),Parameters!$B$9,Parameters!$B$10))))))</f>
        <v>4</v>
      </c>
      <c r="F167" s="23">
        <f>IF(D167="major",Parameters!$B$14,IF(D167="medium",Parameters!$B$15,Parameters!$B$16))</f>
        <v>1</v>
      </c>
      <c r="G167" s="16">
        <f t="shared" si="5"/>
        <v>0</v>
      </c>
      <c r="H167" s="24">
        <f>Parameters!$B$20^(G167-1)</f>
        <v>1.4285714285714286</v>
      </c>
      <c r="I167" s="18">
        <f t="shared" si="6"/>
        <v>5.7142857142857144</v>
      </c>
    </row>
    <row r="168" spans="1:9" ht="13.15" x14ac:dyDescent="0.35">
      <c r="A168" s="21">
        <v>167</v>
      </c>
      <c r="B168" s="16">
        <f>'Data KIMI'!B168</f>
        <v>18</v>
      </c>
      <c r="C168" s="22" t="str">
        <f>'Data KIMI'!F168</f>
        <v>piece_relations</v>
      </c>
      <c r="D168" s="16" t="str">
        <f>LOWER(TRIM('Data KIMI'!H168))</f>
        <v>major</v>
      </c>
      <c r="E168" s="23">
        <f>IF(ISNUMBER(SEARCH("move_legality",C168)),Parameters!$B$4,IF(ISNUMBER(SEARCH("piece_placement",C168)),Parameters!$B$5,IF(ISNUMBER(SEARCH("material",C168)),Parameters!$B$6,IF(ISNUMBER(SEARCH("piece_relations",C168)),Parameters!$B$7,IF(ISNUMBER(SEARCH("geometry",C168)),Parameters!$B$8,IF(ISNUMBER(SEARCH("reasoning",C168)),Parameters!$B$9,Parameters!$B$10))))))</f>
        <v>4</v>
      </c>
      <c r="F168" s="23">
        <f>IF(D168="major",Parameters!$B$14,IF(D168="medium",Parameters!$B$15,Parameters!$B$16))</f>
        <v>3</v>
      </c>
      <c r="G168" s="16">
        <f t="shared" si="5"/>
        <v>0</v>
      </c>
      <c r="H168" s="24">
        <f>Parameters!$B$20^(G168-1)</f>
        <v>1.4285714285714286</v>
      </c>
      <c r="I168" s="18">
        <f t="shared" si="6"/>
        <v>17.142857142857142</v>
      </c>
    </row>
    <row r="169" spans="1:9" ht="13.15" x14ac:dyDescent="0.35">
      <c r="A169" s="21">
        <v>168</v>
      </c>
      <c r="B169" s="16">
        <f>'Data KIMI'!B169</f>
        <v>18</v>
      </c>
      <c r="C169" s="22" t="str">
        <f>'Data KIMI'!F169</f>
        <v>reasoning</v>
      </c>
      <c r="D169" s="16" t="str">
        <f>LOWER(TRIM('Data KIMI'!H169))</f>
        <v>major</v>
      </c>
      <c r="E169" s="23">
        <f>IF(ISNUMBER(SEARCH("move_legality",C169)),Parameters!$B$4,IF(ISNUMBER(SEARCH("piece_placement",C169)),Parameters!$B$5,IF(ISNUMBER(SEARCH("material",C169)),Parameters!$B$6,IF(ISNUMBER(SEARCH("piece_relations",C169)),Parameters!$B$7,IF(ISNUMBER(SEARCH("geometry",C169)),Parameters!$B$8,IF(ISNUMBER(SEARCH("reasoning",C169)),Parameters!$B$9,Parameters!$B$10))))))</f>
        <v>2</v>
      </c>
      <c r="F169" s="23">
        <f>IF(D169="major",Parameters!$B$14,IF(D169="medium",Parameters!$B$15,Parameters!$B$16))</f>
        <v>3</v>
      </c>
      <c r="G169" s="16">
        <f t="shared" si="5"/>
        <v>0</v>
      </c>
      <c r="H169" s="24">
        <f>Parameters!$B$20^(G169-1)</f>
        <v>1.4285714285714286</v>
      </c>
      <c r="I169" s="18">
        <f t="shared" si="6"/>
        <v>8.5714285714285712</v>
      </c>
    </row>
    <row r="170" spans="1:9" ht="13.15" x14ac:dyDescent="0.35">
      <c r="A170" s="21">
        <v>169</v>
      </c>
      <c r="B170" s="16">
        <f>'Data KIMI'!B170</f>
        <v>18</v>
      </c>
      <c r="C170" s="22" t="str">
        <f>'Data KIMI'!F170</f>
        <v>move_legality</v>
      </c>
      <c r="D170" s="16" t="str">
        <f>LOWER(TRIM('Data KIMI'!H170))</f>
        <v>major</v>
      </c>
      <c r="E170" s="23">
        <f>IF(ISNUMBER(SEARCH("move_legality",C170)),Parameters!$B$4,IF(ISNUMBER(SEARCH("piece_placement",C170)),Parameters!$B$5,IF(ISNUMBER(SEARCH("material",C170)),Parameters!$B$6,IF(ISNUMBER(SEARCH("piece_relations",C170)),Parameters!$B$7,IF(ISNUMBER(SEARCH("geometry",C170)),Parameters!$B$8,IF(ISNUMBER(SEARCH("reasoning",C170)),Parameters!$B$9,Parameters!$B$10))))))</f>
        <v>8</v>
      </c>
      <c r="F170" s="23">
        <f>IF(D170="major",Parameters!$B$14,IF(D170="medium",Parameters!$B$15,Parameters!$B$16))</f>
        <v>3</v>
      </c>
      <c r="G170" s="16">
        <f t="shared" si="5"/>
        <v>0</v>
      </c>
      <c r="H170" s="24">
        <f>Parameters!$B$20^(G170-1)</f>
        <v>1.4285714285714286</v>
      </c>
      <c r="I170" s="18">
        <f t="shared" si="6"/>
        <v>34.285714285714285</v>
      </c>
    </row>
    <row r="171" spans="1:9" ht="13.15" x14ac:dyDescent="0.35">
      <c r="A171" s="21">
        <v>170</v>
      </c>
      <c r="B171" s="16">
        <f>'Data KIMI'!B171</f>
        <v>18</v>
      </c>
      <c r="C171" s="22" t="str">
        <f>'Data KIMI'!F171</f>
        <v>move_legality</v>
      </c>
      <c r="D171" s="16" t="str">
        <f>LOWER(TRIM('Data KIMI'!H171))</f>
        <v>major</v>
      </c>
      <c r="E171" s="23">
        <f>IF(ISNUMBER(SEARCH("move_legality",C171)),Parameters!$B$4,IF(ISNUMBER(SEARCH("piece_placement",C171)),Parameters!$B$5,IF(ISNUMBER(SEARCH("material",C171)),Parameters!$B$6,IF(ISNUMBER(SEARCH("piece_relations",C171)),Parameters!$B$7,IF(ISNUMBER(SEARCH("geometry",C171)),Parameters!$B$8,IF(ISNUMBER(SEARCH("reasoning",C171)),Parameters!$B$9,Parameters!$B$10))))))</f>
        <v>8</v>
      </c>
      <c r="F171" s="23">
        <f>IF(D171="major",Parameters!$B$14,IF(D171="medium",Parameters!$B$15,Parameters!$B$16))</f>
        <v>3</v>
      </c>
      <c r="G171" s="16">
        <f t="shared" si="5"/>
        <v>0</v>
      </c>
      <c r="H171" s="24">
        <f>Parameters!$B$20^(G171-1)</f>
        <v>1.4285714285714286</v>
      </c>
      <c r="I171" s="18">
        <f t="shared" si="6"/>
        <v>34.285714285714285</v>
      </c>
    </row>
    <row r="172" spans="1:9" ht="13.15" x14ac:dyDescent="0.35">
      <c r="A172" s="21">
        <v>171</v>
      </c>
      <c r="B172" s="16">
        <f>'Data KIMI'!B172</f>
        <v>18</v>
      </c>
      <c r="C172" s="22" t="str">
        <f>'Data KIMI'!F172</f>
        <v>reasoning</v>
      </c>
      <c r="D172" s="16" t="str">
        <f>LOWER(TRIM('Data KIMI'!H172))</f>
        <v>medium</v>
      </c>
      <c r="E172" s="23">
        <f>IF(ISNUMBER(SEARCH("move_legality",C172)),Parameters!$B$4,IF(ISNUMBER(SEARCH("piece_placement",C172)),Parameters!$B$5,IF(ISNUMBER(SEARCH("material",C172)),Parameters!$B$6,IF(ISNUMBER(SEARCH("piece_relations",C172)),Parameters!$B$7,IF(ISNUMBER(SEARCH("geometry",C172)),Parameters!$B$8,IF(ISNUMBER(SEARCH("reasoning",C172)),Parameters!$B$9,Parameters!$B$10))))))</f>
        <v>2</v>
      </c>
      <c r="F172" s="23">
        <f>IF(D172="major",Parameters!$B$14,IF(D172="medium",Parameters!$B$15,Parameters!$B$16))</f>
        <v>2</v>
      </c>
      <c r="G172" s="16">
        <f t="shared" si="5"/>
        <v>0</v>
      </c>
      <c r="H172" s="24">
        <f>Parameters!$B$20^(G172-1)</f>
        <v>1.4285714285714286</v>
      </c>
      <c r="I172" s="18">
        <f t="shared" si="6"/>
        <v>5.7142857142857144</v>
      </c>
    </row>
    <row r="173" spans="1:9" ht="13.15" x14ac:dyDescent="0.35">
      <c r="A173" s="21">
        <v>172</v>
      </c>
      <c r="B173" s="16">
        <f>'Data KIMI'!B173</f>
        <v>18</v>
      </c>
      <c r="C173" s="22" t="str">
        <f>'Data KIMI'!F173</f>
        <v>reasoning</v>
      </c>
      <c r="D173" s="16" t="str">
        <f>LOWER(TRIM('Data KIMI'!H173))</f>
        <v>major</v>
      </c>
      <c r="E173" s="23">
        <f>IF(ISNUMBER(SEARCH("move_legality",C173)),Parameters!$B$4,IF(ISNUMBER(SEARCH("piece_placement",C173)),Parameters!$B$5,IF(ISNUMBER(SEARCH("material",C173)),Parameters!$B$6,IF(ISNUMBER(SEARCH("piece_relations",C173)),Parameters!$B$7,IF(ISNUMBER(SEARCH("geometry",C173)),Parameters!$B$8,IF(ISNUMBER(SEARCH("reasoning",C173)),Parameters!$B$9,Parameters!$B$10))))))</f>
        <v>2</v>
      </c>
      <c r="F173" s="23">
        <f>IF(D173="major",Parameters!$B$14,IF(D173="medium",Parameters!$B$15,Parameters!$B$16))</f>
        <v>3</v>
      </c>
      <c r="G173" s="16">
        <f t="shared" si="5"/>
        <v>0</v>
      </c>
      <c r="H173" s="24">
        <f>Parameters!$B$20^(G173-1)</f>
        <v>1.4285714285714286</v>
      </c>
      <c r="I173" s="18">
        <f t="shared" si="6"/>
        <v>8.5714285714285712</v>
      </c>
    </row>
    <row r="174" spans="1:9" ht="13.15" x14ac:dyDescent="0.35">
      <c r="A174" s="21">
        <v>173</v>
      </c>
      <c r="B174" s="16">
        <f>'Data KIMI'!B174</f>
        <v>19</v>
      </c>
      <c r="C174" s="22" t="str">
        <f>'Data KIMI'!F174</f>
        <v>reasoning</v>
      </c>
      <c r="D174" s="16" t="str">
        <f>LOWER(TRIM('Data KIMI'!H174))</f>
        <v>major</v>
      </c>
      <c r="E174" s="23">
        <f>IF(ISNUMBER(SEARCH("move_legality",C174)),Parameters!$B$4,IF(ISNUMBER(SEARCH("piece_placement",C174)),Parameters!$B$5,IF(ISNUMBER(SEARCH("material",C174)),Parameters!$B$6,IF(ISNUMBER(SEARCH("piece_relations",C174)),Parameters!$B$7,IF(ISNUMBER(SEARCH("geometry",C174)),Parameters!$B$8,IF(ISNUMBER(SEARCH("reasoning",C174)),Parameters!$B$9,Parameters!$B$10))))))</f>
        <v>2</v>
      </c>
      <c r="F174" s="23">
        <f>IF(D174="major",Parameters!$B$14,IF(D174="medium",Parameters!$B$15,Parameters!$B$16))</f>
        <v>3</v>
      </c>
      <c r="G174" s="16">
        <f t="shared" si="5"/>
        <v>0</v>
      </c>
      <c r="H174" s="24">
        <f>Parameters!$B$20^(G174-1)</f>
        <v>1.4285714285714286</v>
      </c>
      <c r="I174" s="18">
        <f t="shared" si="6"/>
        <v>8.5714285714285712</v>
      </c>
    </row>
    <row r="175" spans="1:9" ht="13.15" x14ac:dyDescent="0.35">
      <c r="A175" s="21">
        <v>174</v>
      </c>
      <c r="B175" s="16">
        <f>'Data KIMI'!B175</f>
        <v>19</v>
      </c>
      <c r="C175" s="22" t="str">
        <f>'Data KIMI'!F175</f>
        <v>piece_relations</v>
      </c>
      <c r="D175" s="16" t="str">
        <f>LOWER(TRIM('Data KIMI'!H175))</f>
        <v>major</v>
      </c>
      <c r="E175" s="23">
        <f>IF(ISNUMBER(SEARCH("move_legality",C175)),Parameters!$B$4,IF(ISNUMBER(SEARCH("piece_placement",C175)),Parameters!$B$5,IF(ISNUMBER(SEARCH("material",C175)),Parameters!$B$6,IF(ISNUMBER(SEARCH("piece_relations",C175)),Parameters!$B$7,IF(ISNUMBER(SEARCH("geometry",C175)),Parameters!$B$8,IF(ISNUMBER(SEARCH("reasoning",C175)),Parameters!$B$9,Parameters!$B$10))))))</f>
        <v>4</v>
      </c>
      <c r="F175" s="23">
        <f>IF(D175="major",Parameters!$B$14,IF(D175="medium",Parameters!$B$15,Parameters!$B$16))</f>
        <v>3</v>
      </c>
      <c r="G175" s="16">
        <f t="shared" si="5"/>
        <v>0</v>
      </c>
      <c r="H175" s="24">
        <f>Parameters!$B$20^(G175-1)</f>
        <v>1.4285714285714286</v>
      </c>
      <c r="I175" s="18">
        <f t="shared" si="6"/>
        <v>17.142857142857142</v>
      </c>
    </row>
    <row r="176" spans="1:9" ht="13.15" x14ac:dyDescent="0.35">
      <c r="A176" s="21">
        <v>175</v>
      </c>
      <c r="B176" s="16">
        <f>'Data KIMI'!B176</f>
        <v>19</v>
      </c>
      <c r="C176" s="22" t="str">
        <f>'Data KIMI'!F176</f>
        <v>move_legality</v>
      </c>
      <c r="D176" s="16" t="str">
        <f>LOWER(TRIM('Data KIMI'!H176))</f>
        <v>major</v>
      </c>
      <c r="E176" s="23">
        <f>IF(ISNUMBER(SEARCH("move_legality",C176)),Parameters!$B$4,IF(ISNUMBER(SEARCH("piece_placement",C176)),Parameters!$B$5,IF(ISNUMBER(SEARCH("material",C176)),Parameters!$B$6,IF(ISNUMBER(SEARCH("piece_relations",C176)),Parameters!$B$7,IF(ISNUMBER(SEARCH("geometry",C176)),Parameters!$B$8,IF(ISNUMBER(SEARCH("reasoning",C176)),Parameters!$B$9,Parameters!$B$10))))))</f>
        <v>8</v>
      </c>
      <c r="F176" s="23">
        <f>IF(D176="major",Parameters!$B$14,IF(D176="medium",Parameters!$B$15,Parameters!$B$16))</f>
        <v>3</v>
      </c>
      <c r="G176" s="16">
        <f t="shared" si="5"/>
        <v>0</v>
      </c>
      <c r="H176" s="24">
        <f>Parameters!$B$20^(G176-1)</f>
        <v>1.4285714285714286</v>
      </c>
      <c r="I176" s="18">
        <f t="shared" si="6"/>
        <v>34.285714285714285</v>
      </c>
    </row>
    <row r="177" spans="1:9" ht="13.15" x14ac:dyDescent="0.35">
      <c r="A177" s="21">
        <v>176</v>
      </c>
      <c r="B177" s="16">
        <f>'Data KIMI'!B177</f>
        <v>19</v>
      </c>
      <c r="C177" s="22" t="str">
        <f>'Data KIMI'!F177</f>
        <v>move_legality</v>
      </c>
      <c r="D177" s="16" t="str">
        <f>LOWER(TRIM('Data KIMI'!H177))</f>
        <v>major</v>
      </c>
      <c r="E177" s="23">
        <f>IF(ISNUMBER(SEARCH("move_legality",C177)),Parameters!$B$4,IF(ISNUMBER(SEARCH("piece_placement",C177)),Parameters!$B$5,IF(ISNUMBER(SEARCH("material",C177)),Parameters!$B$6,IF(ISNUMBER(SEARCH("piece_relations",C177)),Parameters!$B$7,IF(ISNUMBER(SEARCH("geometry",C177)),Parameters!$B$8,IF(ISNUMBER(SEARCH("reasoning",C177)),Parameters!$B$9,Parameters!$B$10))))))</f>
        <v>8</v>
      </c>
      <c r="F177" s="23">
        <f>IF(D177="major",Parameters!$B$14,IF(D177="medium",Parameters!$B$15,Parameters!$B$16))</f>
        <v>3</v>
      </c>
      <c r="G177" s="16">
        <f t="shared" si="5"/>
        <v>0</v>
      </c>
      <c r="H177" s="24">
        <f>Parameters!$B$20^(G177-1)</f>
        <v>1.4285714285714286</v>
      </c>
      <c r="I177" s="18">
        <f t="shared" si="6"/>
        <v>34.285714285714285</v>
      </c>
    </row>
    <row r="178" spans="1:9" ht="13.15" x14ac:dyDescent="0.35">
      <c r="A178" s="21">
        <v>177</v>
      </c>
      <c r="B178" s="16">
        <f>'Data KIMI'!B178</f>
        <v>19</v>
      </c>
      <c r="C178" s="22" t="str">
        <f>'Data KIMI'!F178</f>
        <v>reasoning</v>
      </c>
      <c r="D178" s="16" t="str">
        <f>LOWER(TRIM('Data KIMI'!H178))</f>
        <v>major</v>
      </c>
      <c r="E178" s="23">
        <f>IF(ISNUMBER(SEARCH("move_legality",C178)),Parameters!$B$4,IF(ISNUMBER(SEARCH("piece_placement",C178)),Parameters!$B$5,IF(ISNUMBER(SEARCH("material",C178)),Parameters!$B$6,IF(ISNUMBER(SEARCH("piece_relations",C178)),Parameters!$B$7,IF(ISNUMBER(SEARCH("geometry",C178)),Parameters!$B$8,IF(ISNUMBER(SEARCH("reasoning",C178)),Parameters!$B$9,Parameters!$B$10))))))</f>
        <v>2</v>
      </c>
      <c r="F178" s="23">
        <f>IF(D178="major",Parameters!$B$14,IF(D178="medium",Parameters!$B$15,Parameters!$B$16))</f>
        <v>3</v>
      </c>
      <c r="G178" s="16">
        <f t="shared" si="5"/>
        <v>0</v>
      </c>
      <c r="H178" s="24">
        <f>Parameters!$B$20^(G178-1)</f>
        <v>1.4285714285714286</v>
      </c>
      <c r="I178" s="18">
        <f t="shared" si="6"/>
        <v>8.5714285714285712</v>
      </c>
    </row>
    <row r="179" spans="1:9" ht="13.15" x14ac:dyDescent="0.35">
      <c r="A179" s="21">
        <v>178</v>
      </c>
      <c r="B179" s="16">
        <f>'Data KIMI'!B179</f>
        <v>20</v>
      </c>
      <c r="C179" s="22" t="str">
        <f>'Data KIMI'!F179</f>
        <v>piece_relations</v>
      </c>
      <c r="D179" s="16" t="str">
        <f>LOWER(TRIM('Data KIMI'!H179))</f>
        <v>major</v>
      </c>
      <c r="E179" s="23">
        <f>IF(ISNUMBER(SEARCH("move_legality",C179)),Parameters!$B$4,IF(ISNUMBER(SEARCH("piece_placement",C179)),Parameters!$B$5,IF(ISNUMBER(SEARCH("material",C179)),Parameters!$B$6,IF(ISNUMBER(SEARCH("piece_relations",C179)),Parameters!$B$7,IF(ISNUMBER(SEARCH("geometry",C179)),Parameters!$B$8,IF(ISNUMBER(SEARCH("reasoning",C179)),Parameters!$B$9,Parameters!$B$10))))))</f>
        <v>4</v>
      </c>
      <c r="F179" s="23">
        <f>IF(D179="major",Parameters!$B$14,IF(D179="medium",Parameters!$B$15,Parameters!$B$16))</f>
        <v>3</v>
      </c>
      <c r="G179" s="16">
        <f t="shared" si="5"/>
        <v>0</v>
      </c>
      <c r="H179" s="24">
        <f>Parameters!$B$20^(G179-1)</f>
        <v>1.4285714285714286</v>
      </c>
      <c r="I179" s="18">
        <f t="shared" si="6"/>
        <v>17.142857142857142</v>
      </c>
    </row>
    <row r="180" spans="1:9" ht="13.15" x14ac:dyDescent="0.35">
      <c r="A180" s="21">
        <v>179</v>
      </c>
      <c r="B180" s="16">
        <f>'Data KIMI'!B180</f>
        <v>20</v>
      </c>
      <c r="C180" s="22" t="str">
        <f>'Data KIMI'!F180</f>
        <v>reasoning</v>
      </c>
      <c r="D180" s="16" t="str">
        <f>LOWER(TRIM('Data KIMI'!H180))</f>
        <v>major</v>
      </c>
      <c r="E180" s="23">
        <f>IF(ISNUMBER(SEARCH("move_legality",C180)),Parameters!$B$4,IF(ISNUMBER(SEARCH("piece_placement",C180)),Parameters!$B$5,IF(ISNUMBER(SEARCH("material",C180)),Parameters!$B$6,IF(ISNUMBER(SEARCH("piece_relations",C180)),Parameters!$B$7,IF(ISNUMBER(SEARCH("geometry",C180)),Parameters!$B$8,IF(ISNUMBER(SEARCH("reasoning",C180)),Parameters!$B$9,Parameters!$B$10))))))</f>
        <v>2</v>
      </c>
      <c r="F180" s="23">
        <f>IF(D180="major",Parameters!$B$14,IF(D180="medium",Parameters!$B$15,Parameters!$B$16))</f>
        <v>3</v>
      </c>
      <c r="G180" s="16">
        <f t="shared" si="5"/>
        <v>0</v>
      </c>
      <c r="H180" s="24">
        <f>Parameters!$B$20^(G180-1)</f>
        <v>1.4285714285714286</v>
      </c>
      <c r="I180" s="18">
        <f t="shared" si="6"/>
        <v>8.5714285714285712</v>
      </c>
    </row>
    <row r="181" spans="1:9" ht="13.15" x14ac:dyDescent="0.35">
      <c r="A181" s="21">
        <v>180</v>
      </c>
      <c r="B181" s="16">
        <f>'Data KIMI'!B181</f>
        <v>20</v>
      </c>
      <c r="C181" s="22" t="str">
        <f>'Data KIMI'!F181</f>
        <v>piece_relations</v>
      </c>
      <c r="D181" s="16" t="str">
        <f>LOWER(TRIM('Data KIMI'!H181))</f>
        <v>major</v>
      </c>
      <c r="E181" s="23">
        <f>IF(ISNUMBER(SEARCH("move_legality",C181)),Parameters!$B$4,IF(ISNUMBER(SEARCH("piece_placement",C181)),Parameters!$B$5,IF(ISNUMBER(SEARCH("material",C181)),Parameters!$B$6,IF(ISNUMBER(SEARCH("piece_relations",C181)),Parameters!$B$7,IF(ISNUMBER(SEARCH("geometry",C181)),Parameters!$B$8,IF(ISNUMBER(SEARCH("reasoning",C181)),Parameters!$B$9,Parameters!$B$10))))))</f>
        <v>4</v>
      </c>
      <c r="F181" s="23">
        <f>IF(D181="major",Parameters!$B$14,IF(D181="medium",Parameters!$B$15,Parameters!$B$16))</f>
        <v>3</v>
      </c>
      <c r="G181" s="16">
        <f t="shared" ref="G181:G192" si="7">COUNTIFS($B$2:$B$12,B181,$C$2:$C$12,C181,$F$2:$F$12,"&gt;"&amp;F181)+COUNTIFS($B$2:$B$12,B181,$C$2:$C$12,C181,$F$2:$F$12,F181,$A$2:$A$12,"&lt;="&amp;A181)</f>
        <v>0</v>
      </c>
      <c r="H181" s="24">
        <f>Parameters!$B$20^(G181-1)</f>
        <v>1.4285714285714286</v>
      </c>
      <c r="I181" s="18">
        <f t="shared" ref="I181:I192" si="8">E181*F181*H181</f>
        <v>17.142857142857142</v>
      </c>
    </row>
    <row r="182" spans="1:9" ht="13.15" x14ac:dyDescent="0.35">
      <c r="A182" s="21">
        <v>181</v>
      </c>
      <c r="B182" s="16">
        <f>'Data KIMI'!B182</f>
        <v>20</v>
      </c>
      <c r="C182" s="22" t="str">
        <f>'Data KIMI'!F182</f>
        <v>reasoning</v>
      </c>
      <c r="D182" s="16" t="str">
        <f>LOWER(TRIM('Data KIMI'!H182))</f>
        <v>medium</v>
      </c>
      <c r="E182" s="23">
        <f>IF(ISNUMBER(SEARCH("move_legality",C182)),Parameters!$B$4,IF(ISNUMBER(SEARCH("piece_placement",C182)),Parameters!$B$5,IF(ISNUMBER(SEARCH("material",C182)),Parameters!$B$6,IF(ISNUMBER(SEARCH("piece_relations",C182)),Parameters!$B$7,IF(ISNUMBER(SEARCH("geometry",C182)),Parameters!$B$8,IF(ISNUMBER(SEARCH("reasoning",C182)),Parameters!$B$9,Parameters!$B$10))))))</f>
        <v>2</v>
      </c>
      <c r="F182" s="23">
        <f>IF(D182="major",Parameters!$B$14,IF(D182="medium",Parameters!$B$15,Parameters!$B$16))</f>
        <v>2</v>
      </c>
      <c r="G182" s="16">
        <f t="shared" si="7"/>
        <v>0</v>
      </c>
      <c r="H182" s="24">
        <f>Parameters!$B$20^(G182-1)</f>
        <v>1.4285714285714286</v>
      </c>
      <c r="I182" s="18">
        <f t="shared" si="8"/>
        <v>5.7142857142857144</v>
      </c>
    </row>
    <row r="183" spans="1:9" ht="13.15" x14ac:dyDescent="0.35">
      <c r="A183" s="21">
        <v>182</v>
      </c>
      <c r="B183" s="16">
        <f>'Data KIMI'!B183</f>
        <v>20</v>
      </c>
      <c r="C183" s="22" t="str">
        <f>'Data KIMI'!F183</f>
        <v>reasoning</v>
      </c>
      <c r="D183" s="16" t="str">
        <f>LOWER(TRIM('Data KIMI'!H183))</f>
        <v>medium</v>
      </c>
      <c r="E183" s="23">
        <f>IF(ISNUMBER(SEARCH("move_legality",C183)),Parameters!$B$4,IF(ISNUMBER(SEARCH("piece_placement",C183)),Parameters!$B$5,IF(ISNUMBER(SEARCH("material",C183)),Parameters!$B$6,IF(ISNUMBER(SEARCH("piece_relations",C183)),Parameters!$B$7,IF(ISNUMBER(SEARCH("geometry",C183)),Parameters!$B$8,IF(ISNUMBER(SEARCH("reasoning",C183)),Parameters!$B$9,Parameters!$B$10))))))</f>
        <v>2</v>
      </c>
      <c r="F183" s="23">
        <f>IF(D183="major",Parameters!$B$14,IF(D183="medium",Parameters!$B$15,Parameters!$B$16))</f>
        <v>2</v>
      </c>
      <c r="G183" s="16">
        <f t="shared" si="7"/>
        <v>0</v>
      </c>
      <c r="H183" s="24">
        <f>Parameters!$B$20^(G183-1)</f>
        <v>1.4285714285714286</v>
      </c>
      <c r="I183" s="18">
        <f t="shared" si="8"/>
        <v>5.7142857142857144</v>
      </c>
    </row>
    <row r="184" spans="1:9" ht="13.15" x14ac:dyDescent="0.35">
      <c r="A184" s="21">
        <v>183</v>
      </c>
      <c r="B184" s="16">
        <f>'Data KIMI'!B184</f>
        <v>20</v>
      </c>
      <c r="C184" s="22" t="str">
        <f>'Data KIMI'!F184</f>
        <v>reasoning</v>
      </c>
      <c r="D184" s="16" t="str">
        <f>LOWER(TRIM('Data KIMI'!H184))</f>
        <v>medium</v>
      </c>
      <c r="E184" s="23">
        <f>IF(ISNUMBER(SEARCH("move_legality",C184)),Parameters!$B$4,IF(ISNUMBER(SEARCH("piece_placement",C184)),Parameters!$B$5,IF(ISNUMBER(SEARCH("material",C184)),Parameters!$B$6,IF(ISNUMBER(SEARCH("piece_relations",C184)),Parameters!$B$7,IF(ISNUMBER(SEARCH("geometry",C184)),Parameters!$B$8,IF(ISNUMBER(SEARCH("reasoning",C184)),Parameters!$B$9,Parameters!$B$10))))))</f>
        <v>2</v>
      </c>
      <c r="F184" s="23">
        <f>IF(D184="major",Parameters!$B$14,IF(D184="medium",Parameters!$B$15,Parameters!$B$16))</f>
        <v>2</v>
      </c>
      <c r="G184" s="16">
        <f t="shared" si="7"/>
        <v>0</v>
      </c>
      <c r="H184" s="24">
        <f>Parameters!$B$20^(G184-1)</f>
        <v>1.4285714285714286</v>
      </c>
      <c r="I184" s="18">
        <f t="shared" si="8"/>
        <v>5.7142857142857144</v>
      </c>
    </row>
    <row r="185" spans="1:9" ht="13.15" x14ac:dyDescent="0.35">
      <c r="A185" s="21">
        <v>184</v>
      </c>
      <c r="B185" s="16">
        <f>'Data KIMI'!B185</f>
        <v>20</v>
      </c>
      <c r="C185" s="22" t="str">
        <f>'Data KIMI'!F185</f>
        <v>geometry</v>
      </c>
      <c r="D185" s="16" t="str">
        <f>LOWER(TRIM('Data KIMI'!H185))</f>
        <v>major</v>
      </c>
      <c r="E185" s="23">
        <f>IF(ISNUMBER(SEARCH("move_legality",C185)),Parameters!$B$4,IF(ISNUMBER(SEARCH("piece_placement",C185)),Parameters!$B$5,IF(ISNUMBER(SEARCH("material",C185)),Parameters!$B$6,IF(ISNUMBER(SEARCH("piece_relations",C185)),Parameters!$B$7,IF(ISNUMBER(SEARCH("geometry",C185)),Parameters!$B$8,IF(ISNUMBER(SEARCH("reasoning",C185)),Parameters!$B$9,Parameters!$B$10))))))</f>
        <v>3</v>
      </c>
      <c r="F185" s="23">
        <f>IF(D185="major",Parameters!$B$14,IF(D185="medium",Parameters!$B$15,Parameters!$B$16))</f>
        <v>3</v>
      </c>
      <c r="G185" s="16">
        <f t="shared" si="7"/>
        <v>0</v>
      </c>
      <c r="H185" s="24">
        <f>Parameters!$B$20^(G185-1)</f>
        <v>1.4285714285714286</v>
      </c>
      <c r="I185" s="18">
        <f t="shared" si="8"/>
        <v>12.857142857142858</v>
      </c>
    </row>
    <row r="186" spans="1:9" ht="13.15" x14ac:dyDescent="0.35">
      <c r="A186" s="21">
        <v>185</v>
      </c>
      <c r="B186" s="16">
        <f>'Data KIMI'!B186</f>
        <v>20</v>
      </c>
      <c r="C186" s="22" t="str">
        <f>'Data KIMI'!F186</f>
        <v>move_legality</v>
      </c>
      <c r="D186" s="16" t="str">
        <f>LOWER(TRIM('Data KIMI'!H186))</f>
        <v>major</v>
      </c>
      <c r="E186" s="23">
        <f>IF(ISNUMBER(SEARCH("move_legality",C186)),Parameters!$B$4,IF(ISNUMBER(SEARCH("piece_placement",C186)),Parameters!$B$5,IF(ISNUMBER(SEARCH("material",C186)),Parameters!$B$6,IF(ISNUMBER(SEARCH("piece_relations",C186)),Parameters!$B$7,IF(ISNUMBER(SEARCH("geometry",C186)),Parameters!$B$8,IF(ISNUMBER(SEARCH("reasoning",C186)),Parameters!$B$9,Parameters!$B$10))))))</f>
        <v>8</v>
      </c>
      <c r="F186" s="23">
        <f>IF(D186="major",Parameters!$B$14,IF(D186="medium",Parameters!$B$15,Parameters!$B$16))</f>
        <v>3</v>
      </c>
      <c r="G186" s="16">
        <f t="shared" si="7"/>
        <v>0</v>
      </c>
      <c r="H186" s="24">
        <f>Parameters!$B$20^(G186-1)</f>
        <v>1.4285714285714286</v>
      </c>
      <c r="I186" s="18">
        <f t="shared" si="8"/>
        <v>34.285714285714285</v>
      </c>
    </row>
    <row r="187" spans="1:9" ht="13.15" x14ac:dyDescent="0.35">
      <c r="A187" s="21">
        <v>186</v>
      </c>
      <c r="B187" s="16">
        <f>'Data KIMI'!B187</f>
        <v>20</v>
      </c>
      <c r="C187" s="22" t="str">
        <f>'Data KIMI'!F187</f>
        <v>piece_relations</v>
      </c>
      <c r="D187" s="16" t="str">
        <f>LOWER(TRIM('Data KIMI'!H187))</f>
        <v>major</v>
      </c>
      <c r="E187" s="23">
        <f>IF(ISNUMBER(SEARCH("move_legality",C187)),Parameters!$B$4,IF(ISNUMBER(SEARCH("piece_placement",C187)),Parameters!$B$5,IF(ISNUMBER(SEARCH("material",C187)),Parameters!$B$6,IF(ISNUMBER(SEARCH("piece_relations",C187)),Parameters!$B$7,IF(ISNUMBER(SEARCH("geometry",C187)),Parameters!$B$8,IF(ISNUMBER(SEARCH("reasoning",C187)),Parameters!$B$9,Parameters!$B$10))))))</f>
        <v>4</v>
      </c>
      <c r="F187" s="23">
        <f>IF(D187="major",Parameters!$B$14,IF(D187="medium",Parameters!$B$15,Parameters!$B$16))</f>
        <v>3</v>
      </c>
      <c r="G187" s="16">
        <f t="shared" si="7"/>
        <v>0</v>
      </c>
      <c r="H187" s="24">
        <f>Parameters!$B$20^(G187-1)</f>
        <v>1.4285714285714286</v>
      </c>
      <c r="I187" s="18">
        <f t="shared" si="8"/>
        <v>17.142857142857142</v>
      </c>
    </row>
    <row r="188" spans="1:9" ht="13.15" x14ac:dyDescent="0.35">
      <c r="A188" s="21">
        <v>187</v>
      </c>
      <c r="B188" s="16">
        <f>'Data KIMI'!B188</f>
        <v>20</v>
      </c>
      <c r="C188" s="22" t="str">
        <f>'Data KIMI'!F188</f>
        <v>reasoning</v>
      </c>
      <c r="D188" s="16" t="str">
        <f>LOWER(TRIM('Data KIMI'!H188))</f>
        <v>medium</v>
      </c>
      <c r="E188" s="23">
        <f>IF(ISNUMBER(SEARCH("move_legality",C188)),Parameters!$B$4,IF(ISNUMBER(SEARCH("piece_placement",C188)),Parameters!$B$5,IF(ISNUMBER(SEARCH("material",C188)),Parameters!$B$6,IF(ISNUMBER(SEARCH("piece_relations",C188)),Parameters!$B$7,IF(ISNUMBER(SEARCH("geometry",C188)),Parameters!$B$8,IF(ISNUMBER(SEARCH("reasoning",C188)),Parameters!$B$9,Parameters!$B$10))))))</f>
        <v>2</v>
      </c>
      <c r="F188" s="23">
        <f>IF(D188="major",Parameters!$B$14,IF(D188="medium",Parameters!$B$15,Parameters!$B$16))</f>
        <v>2</v>
      </c>
      <c r="G188" s="16">
        <f t="shared" si="7"/>
        <v>0</v>
      </c>
      <c r="H188" s="24">
        <f>Parameters!$B$20^(G188-1)</f>
        <v>1.4285714285714286</v>
      </c>
      <c r="I188" s="18">
        <f t="shared" si="8"/>
        <v>5.7142857142857144</v>
      </c>
    </row>
    <row r="189" spans="1:9" ht="13.15" x14ac:dyDescent="0.35">
      <c r="A189" s="21">
        <v>188</v>
      </c>
      <c r="B189" s="16">
        <f>'Data KIMI'!B189</f>
        <v>20</v>
      </c>
      <c r="C189" s="22" t="str">
        <f>'Data KIMI'!F189</f>
        <v>reasoning</v>
      </c>
      <c r="D189" s="16" t="str">
        <f>LOWER(TRIM('Data KIMI'!H189))</f>
        <v>medium</v>
      </c>
      <c r="E189" s="23">
        <f>IF(ISNUMBER(SEARCH("move_legality",C189)),Parameters!$B$4,IF(ISNUMBER(SEARCH("piece_placement",C189)),Parameters!$B$5,IF(ISNUMBER(SEARCH("material",C189)),Parameters!$B$6,IF(ISNUMBER(SEARCH("piece_relations",C189)),Parameters!$B$7,IF(ISNUMBER(SEARCH("geometry",C189)),Parameters!$B$8,IF(ISNUMBER(SEARCH("reasoning",C189)),Parameters!$B$9,Parameters!$B$10))))))</f>
        <v>2</v>
      </c>
      <c r="F189" s="23">
        <f>IF(D189="major",Parameters!$B$14,IF(D189="medium",Parameters!$B$15,Parameters!$B$16))</f>
        <v>2</v>
      </c>
      <c r="G189" s="16">
        <f t="shared" si="7"/>
        <v>0</v>
      </c>
      <c r="H189" s="24">
        <f>Parameters!$B$20^(G189-1)</f>
        <v>1.4285714285714286</v>
      </c>
      <c r="I189" s="18">
        <f t="shared" si="8"/>
        <v>5.7142857142857144</v>
      </c>
    </row>
    <row r="190" spans="1:9" ht="13.15" x14ac:dyDescent="0.35">
      <c r="A190" s="21">
        <v>189</v>
      </c>
      <c r="B190" s="16">
        <f>'Data KIMI'!B190</f>
        <v>20</v>
      </c>
      <c r="C190" s="22" t="str">
        <f>'Data KIMI'!F190</f>
        <v>geometry</v>
      </c>
      <c r="D190" s="16" t="str">
        <f>LOWER(TRIM('Data KIMI'!H190))</f>
        <v>major</v>
      </c>
      <c r="E190" s="23">
        <f>IF(ISNUMBER(SEARCH("move_legality",C190)),Parameters!$B$4,IF(ISNUMBER(SEARCH("piece_placement",C190)),Parameters!$B$5,IF(ISNUMBER(SEARCH("material",C190)),Parameters!$B$6,IF(ISNUMBER(SEARCH("piece_relations",C190)),Parameters!$B$7,IF(ISNUMBER(SEARCH("geometry",C190)),Parameters!$B$8,IF(ISNUMBER(SEARCH("reasoning",C190)),Parameters!$B$9,Parameters!$B$10))))))</f>
        <v>3</v>
      </c>
      <c r="F190" s="23">
        <f>IF(D190="major",Parameters!$B$14,IF(D190="medium",Parameters!$B$15,Parameters!$B$16))</f>
        <v>3</v>
      </c>
      <c r="G190" s="16">
        <f t="shared" si="7"/>
        <v>0</v>
      </c>
      <c r="H190" s="24">
        <f>Parameters!$B$20^(G190-1)</f>
        <v>1.4285714285714286</v>
      </c>
      <c r="I190" s="18">
        <f t="shared" si="8"/>
        <v>12.857142857142858</v>
      </c>
    </row>
    <row r="191" spans="1:9" ht="13.15" x14ac:dyDescent="0.35">
      <c r="A191" s="21">
        <v>190</v>
      </c>
      <c r="B191" s="16">
        <f>'Data KIMI'!B191</f>
        <v>20</v>
      </c>
      <c r="C191" s="22" t="str">
        <f>'Data KIMI'!F191</f>
        <v>reasoning</v>
      </c>
      <c r="D191" s="16" t="str">
        <f>LOWER(TRIM('Data KIMI'!H191))</f>
        <v>medium</v>
      </c>
      <c r="E191" s="23">
        <f>IF(ISNUMBER(SEARCH("move_legality",C191)),Parameters!$B$4,IF(ISNUMBER(SEARCH("piece_placement",C191)),Parameters!$B$5,IF(ISNUMBER(SEARCH("material",C191)),Parameters!$B$6,IF(ISNUMBER(SEARCH("piece_relations",C191)),Parameters!$B$7,IF(ISNUMBER(SEARCH("geometry",C191)),Parameters!$B$8,IF(ISNUMBER(SEARCH("reasoning",C191)),Parameters!$B$9,Parameters!$B$10))))))</f>
        <v>2</v>
      </c>
      <c r="F191" s="23">
        <f>IF(D191="major",Parameters!$B$14,IF(D191="medium",Parameters!$B$15,Parameters!$B$16))</f>
        <v>2</v>
      </c>
      <c r="G191" s="16">
        <f t="shared" si="7"/>
        <v>0</v>
      </c>
      <c r="H191" s="24">
        <f>Parameters!$B$20^(G191-1)</f>
        <v>1.4285714285714286</v>
      </c>
      <c r="I191" s="18">
        <f t="shared" si="8"/>
        <v>5.7142857142857144</v>
      </c>
    </row>
    <row r="192" spans="1:9" ht="13.15" x14ac:dyDescent="0.35">
      <c r="A192" s="21">
        <v>191</v>
      </c>
      <c r="B192" s="16">
        <f>'Data KIMI'!B192</f>
        <v>20</v>
      </c>
      <c r="C192" s="22" t="str">
        <f>'Data KIMI'!F192</f>
        <v>reasoning</v>
      </c>
      <c r="D192" s="16" t="str">
        <f>LOWER(TRIM('Data KIMI'!H192))</f>
        <v>medium</v>
      </c>
      <c r="E192" s="23">
        <f>IF(ISNUMBER(SEARCH("move_legality",C192)),Parameters!$B$4,IF(ISNUMBER(SEARCH("piece_placement",C192)),Parameters!$B$5,IF(ISNUMBER(SEARCH("material",C192)),Parameters!$B$6,IF(ISNUMBER(SEARCH("piece_relations",C192)),Parameters!$B$7,IF(ISNUMBER(SEARCH("geometry",C192)),Parameters!$B$8,IF(ISNUMBER(SEARCH("reasoning",C192)),Parameters!$B$9,Parameters!$B$10))))))</f>
        <v>2</v>
      </c>
      <c r="F192" s="23">
        <f>IF(D192="major",Parameters!$B$14,IF(D192="medium",Parameters!$B$15,Parameters!$B$16))</f>
        <v>2</v>
      </c>
      <c r="G192" s="16">
        <f t="shared" si="7"/>
        <v>0</v>
      </c>
      <c r="H192" s="24">
        <f>Parameters!$B$20^(G192-1)</f>
        <v>1.4285714285714286</v>
      </c>
      <c r="I192" s="18">
        <f t="shared" si="8"/>
        <v>5.7142857142857144</v>
      </c>
    </row>
  </sheetData>
  <autoFilter ref="A1:I192" xr:uid="{1ABB6DCA-5561-476E-A9D6-C61AB4A24EC1}"/>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FB49-57D4-4747-A16A-3E08122D521C}">
  <sheetPr>
    <tabColor rgb="FF002060"/>
  </sheetPr>
  <dimension ref="A1:E22"/>
  <sheetViews>
    <sheetView zoomScaleNormal="100" workbookViewId="0">
      <pane ySplit="1" topLeftCell="A2" activePane="bottomLeft" state="frozen"/>
      <selection pane="bottomLeft"/>
    </sheetView>
  </sheetViews>
  <sheetFormatPr defaultColWidth="8.73046875" defaultRowHeight="12.75" x14ac:dyDescent="0.35"/>
  <cols>
    <col min="1" max="1" width="8.86328125" bestFit="1" customWidth="1"/>
    <col min="2" max="2" width="13.3984375" bestFit="1" customWidth="1"/>
    <col min="3" max="3" width="16.59765625" bestFit="1" customWidth="1"/>
    <col min="4" max="4" width="11.46484375" bestFit="1" customWidth="1"/>
    <col min="5" max="5" width="12.59765625" bestFit="1" customWidth="1"/>
  </cols>
  <sheetData>
    <row r="1" spans="1:5" ht="39.4" x14ac:dyDescent="0.35">
      <c r="A1" s="10" t="s">
        <v>1</v>
      </c>
      <c r="B1" s="10" t="s">
        <v>2</v>
      </c>
      <c r="C1" s="10" t="s">
        <v>3</v>
      </c>
      <c r="D1" s="10" t="s">
        <v>4</v>
      </c>
      <c r="E1" s="10" t="s">
        <v>5</v>
      </c>
    </row>
    <row r="2" spans="1:5" ht="13.15" x14ac:dyDescent="0.35">
      <c r="A2" s="11">
        <v>1</v>
      </c>
      <c r="B2" s="12">
        <f>COUNTIF('Calculations KIMI'!$B:$B, A2)</f>
        <v>4</v>
      </c>
      <c r="C2" s="13">
        <f>SUMIF('Calculations KIMI'!$B:$B, A2, 'Calculations KIMI'!$I:$I)</f>
        <v>33.1</v>
      </c>
      <c r="D2" s="14">
        <f t="shared" ref="D2" si="0">MAX(0,100-C2)</f>
        <v>66.900000000000006</v>
      </c>
      <c r="E2" s="12" t="str">
        <f>IF(D2&gt;=90,"Excellent",IF(D2&gt;=75,"Good",IF(D2&gt;=55,"Acceptable",IF(D2&gt;=35,"Weak","Critic"))))</f>
        <v>Acceptable</v>
      </c>
    </row>
    <row r="3" spans="1:5" ht="13.15" x14ac:dyDescent="0.35">
      <c r="A3" s="15">
        <v>2</v>
      </c>
      <c r="B3" s="16">
        <f>COUNTIF('Calculations KIMI'!$B:$B, A3)</f>
        <v>12</v>
      </c>
      <c r="C3" s="17">
        <f>SUMIF('Calculations KIMI'!$B:$B, A3, 'Calculations KIMI'!$I:$I)</f>
        <v>115.79999999999998</v>
      </c>
      <c r="D3" s="18">
        <f t="shared" ref="D3:D21" si="1">MAX(0,100-C3)</f>
        <v>0</v>
      </c>
      <c r="E3" s="16" t="str">
        <f t="shared" ref="E3:E21" si="2">IF(D3&gt;=90,"Excellent",IF(D3&gt;=75,"Good",IF(D3&gt;=55,"Acceptable",IF(D3&gt;=35,"Weak","Critic"))))</f>
        <v>Critic</v>
      </c>
    </row>
    <row r="4" spans="1:5" ht="13.15" x14ac:dyDescent="0.35">
      <c r="A4" s="11">
        <v>3</v>
      </c>
      <c r="B4" s="12">
        <f>COUNTIF('Calculations KIMI'!$B:$B, A4)</f>
        <v>14</v>
      </c>
      <c r="C4" s="13">
        <f>SUMIF('Calculations KIMI'!$B:$B, A4, 'Calculations KIMI'!$I:$I)</f>
        <v>198.57142857142856</v>
      </c>
      <c r="D4" s="14">
        <f t="shared" si="1"/>
        <v>0</v>
      </c>
      <c r="E4" s="12" t="str">
        <f t="shared" si="2"/>
        <v>Critic</v>
      </c>
    </row>
    <row r="5" spans="1:5" ht="13.15" x14ac:dyDescent="0.35">
      <c r="A5" s="15">
        <v>4</v>
      </c>
      <c r="B5" s="16">
        <f>COUNTIF('Calculations KIMI'!$B:$B, A5)</f>
        <v>8</v>
      </c>
      <c r="C5" s="17">
        <f>SUMIF('Calculations KIMI'!$B:$B, A5, 'Calculations KIMI'!$I:$I)</f>
        <v>160</v>
      </c>
      <c r="D5" s="18">
        <f t="shared" si="1"/>
        <v>0</v>
      </c>
      <c r="E5" s="16" t="str">
        <f t="shared" si="2"/>
        <v>Critic</v>
      </c>
    </row>
    <row r="6" spans="1:5" ht="13.15" x14ac:dyDescent="0.35">
      <c r="A6" s="11">
        <v>5</v>
      </c>
      <c r="B6" s="12">
        <f>COUNTIF('Calculations KIMI'!$B:$B, A6)</f>
        <v>8</v>
      </c>
      <c r="C6" s="13">
        <f>SUMIF('Calculations KIMI'!$B:$B, A6, 'Calculations KIMI'!$I:$I)</f>
        <v>119.99999999999999</v>
      </c>
      <c r="D6" s="14">
        <f t="shared" si="1"/>
        <v>0</v>
      </c>
      <c r="E6" s="12" t="str">
        <f t="shared" si="2"/>
        <v>Critic</v>
      </c>
    </row>
    <row r="7" spans="1:5" ht="13.15" x14ac:dyDescent="0.35">
      <c r="A7" s="15">
        <v>6</v>
      </c>
      <c r="B7" s="16">
        <f>COUNTIF('Calculations KIMI'!$B:$B, A7)</f>
        <v>13</v>
      </c>
      <c r="C7" s="17">
        <f>SUMIF('Calculations KIMI'!$B:$B, A7, 'Calculations KIMI'!$I:$I)</f>
        <v>225.71428571428569</v>
      </c>
      <c r="D7" s="18">
        <f t="shared" si="1"/>
        <v>0</v>
      </c>
      <c r="E7" s="16" t="str">
        <f t="shared" si="2"/>
        <v>Critic</v>
      </c>
    </row>
    <row r="8" spans="1:5" ht="13.15" x14ac:dyDescent="0.35">
      <c r="A8" s="11">
        <v>7</v>
      </c>
      <c r="B8" s="12">
        <f>COUNTIF('Calculations KIMI'!$B:$B, A8)</f>
        <v>8</v>
      </c>
      <c r="C8" s="13">
        <f>SUMIF('Calculations KIMI'!$B:$B, A8, 'Calculations KIMI'!$I:$I)</f>
        <v>74.285714285714278</v>
      </c>
      <c r="D8" s="14">
        <f t="shared" si="1"/>
        <v>25.714285714285722</v>
      </c>
      <c r="E8" s="12" t="str">
        <f t="shared" si="2"/>
        <v>Critic</v>
      </c>
    </row>
    <row r="9" spans="1:5" ht="13.15" x14ac:dyDescent="0.35">
      <c r="A9" s="15">
        <v>8</v>
      </c>
      <c r="B9" s="16">
        <f>COUNTIF('Calculations KIMI'!$B:$B, A9)</f>
        <v>18</v>
      </c>
      <c r="C9" s="17">
        <f>SUMIF('Calculations KIMI'!$B:$B, A9, 'Calculations KIMI'!$I:$I)</f>
        <v>260</v>
      </c>
      <c r="D9" s="18">
        <f t="shared" si="1"/>
        <v>0</v>
      </c>
      <c r="E9" s="16" t="str">
        <f t="shared" si="2"/>
        <v>Critic</v>
      </c>
    </row>
    <row r="10" spans="1:5" ht="13.15" x14ac:dyDescent="0.35">
      <c r="A10" s="11">
        <v>9</v>
      </c>
      <c r="B10" s="12">
        <f>COUNTIF('Calculations KIMI'!$B:$B, A10)</f>
        <v>11</v>
      </c>
      <c r="C10" s="13">
        <f>SUMIF('Calculations KIMI'!$B:$B, A10, 'Calculations KIMI'!$I:$I)</f>
        <v>174.28571428571431</v>
      </c>
      <c r="D10" s="14">
        <f t="shared" si="1"/>
        <v>0</v>
      </c>
      <c r="E10" s="12" t="str">
        <f t="shared" si="2"/>
        <v>Critic</v>
      </c>
    </row>
    <row r="11" spans="1:5" ht="13.15" x14ac:dyDescent="0.35">
      <c r="A11" s="15">
        <v>10</v>
      </c>
      <c r="B11" s="16">
        <f>COUNTIF('Calculations KIMI'!$B:$B, A11)</f>
        <v>4</v>
      </c>
      <c r="C11" s="17">
        <f>SUMIF('Calculations KIMI'!$B:$B, A11, 'Calculations KIMI'!$I:$I)</f>
        <v>85.714285714285708</v>
      </c>
      <c r="D11" s="18">
        <f t="shared" si="1"/>
        <v>14.285714285714292</v>
      </c>
      <c r="E11" s="16" t="str">
        <f t="shared" si="2"/>
        <v>Critic</v>
      </c>
    </row>
    <row r="12" spans="1:5" ht="13.15" x14ac:dyDescent="0.35">
      <c r="A12" s="11">
        <v>11</v>
      </c>
      <c r="B12" s="12">
        <f>COUNTIF('Calculations KIMI'!$B:$B, A12)</f>
        <v>7</v>
      </c>
      <c r="C12" s="13">
        <f>SUMIF('Calculations KIMI'!$B:$B, A12, 'Calculations KIMI'!$I:$I)</f>
        <v>140</v>
      </c>
      <c r="D12" s="14">
        <f t="shared" si="1"/>
        <v>0</v>
      </c>
      <c r="E12" s="12" t="str">
        <f t="shared" si="2"/>
        <v>Critic</v>
      </c>
    </row>
    <row r="13" spans="1:5" ht="13.15" x14ac:dyDescent="0.35">
      <c r="A13" s="15">
        <v>12</v>
      </c>
      <c r="B13" s="16">
        <f>COUNTIF('Calculations KIMI'!$B:$B, A13)</f>
        <v>3</v>
      </c>
      <c r="C13" s="17">
        <f>SUMIF('Calculations KIMI'!$B:$B, A13, 'Calculations KIMI'!$I:$I)</f>
        <v>91.428571428571431</v>
      </c>
      <c r="D13" s="18">
        <f t="shared" si="1"/>
        <v>8.5714285714285694</v>
      </c>
      <c r="E13" s="16" t="str">
        <f t="shared" si="2"/>
        <v>Critic</v>
      </c>
    </row>
    <row r="14" spans="1:5" ht="13.15" x14ac:dyDescent="0.35">
      <c r="A14" s="11">
        <v>13</v>
      </c>
      <c r="B14" s="12">
        <f>COUNTIF('Calculations KIMI'!$B:$B, A14)</f>
        <v>8</v>
      </c>
      <c r="C14" s="13">
        <f>SUMIF('Calculations KIMI'!$B:$B, A14, 'Calculations KIMI'!$I:$I)</f>
        <v>132.85714285714286</v>
      </c>
      <c r="D14" s="14">
        <f t="shared" si="1"/>
        <v>0</v>
      </c>
      <c r="E14" s="12" t="str">
        <f t="shared" si="2"/>
        <v>Critic</v>
      </c>
    </row>
    <row r="15" spans="1:5" ht="13.15" x14ac:dyDescent="0.35">
      <c r="A15" s="15">
        <v>14</v>
      </c>
      <c r="B15" s="16">
        <f>COUNTIF('Calculations KIMI'!$B:$B, A15)</f>
        <v>9</v>
      </c>
      <c r="C15" s="17">
        <f>SUMIF('Calculations KIMI'!$B:$B, A15, 'Calculations KIMI'!$I:$I)</f>
        <v>194.28571428571425</v>
      </c>
      <c r="D15" s="18">
        <f t="shared" si="1"/>
        <v>0</v>
      </c>
      <c r="E15" s="16" t="str">
        <f t="shared" si="2"/>
        <v>Critic</v>
      </c>
    </row>
    <row r="16" spans="1:5" ht="13.15" x14ac:dyDescent="0.35">
      <c r="A16" s="11">
        <v>15</v>
      </c>
      <c r="B16" s="12">
        <f>COUNTIF('Calculations KIMI'!$B:$B, A16)</f>
        <v>17</v>
      </c>
      <c r="C16" s="13">
        <f>SUMIF('Calculations KIMI'!$B:$B, A16, 'Calculations KIMI'!$I:$I)</f>
        <v>292.85714285714283</v>
      </c>
      <c r="D16" s="14">
        <f t="shared" si="1"/>
        <v>0</v>
      </c>
      <c r="E16" s="12" t="str">
        <f t="shared" si="2"/>
        <v>Critic</v>
      </c>
    </row>
    <row r="17" spans="1:5" ht="13.15" x14ac:dyDescent="0.35">
      <c r="A17" s="15">
        <v>16</v>
      </c>
      <c r="B17" s="16">
        <f>COUNTIF('Calculations KIMI'!$B:$B, A17)</f>
        <v>11</v>
      </c>
      <c r="C17" s="17">
        <f>SUMIF('Calculations KIMI'!$B:$B, A17, 'Calculations KIMI'!$I:$I)</f>
        <v>228.57142857142858</v>
      </c>
      <c r="D17" s="18">
        <f t="shared" si="1"/>
        <v>0</v>
      </c>
      <c r="E17" s="16" t="str">
        <f t="shared" si="2"/>
        <v>Critic</v>
      </c>
    </row>
    <row r="18" spans="1:5" ht="13.15" x14ac:dyDescent="0.35">
      <c r="A18" s="11">
        <v>17</v>
      </c>
      <c r="B18" s="12">
        <f>COUNTIF('Calculations KIMI'!$B:$B, A18)</f>
        <v>5</v>
      </c>
      <c r="C18" s="13">
        <f>SUMIF('Calculations KIMI'!$B:$B, A18, 'Calculations KIMI'!$I:$I)</f>
        <v>75.714285714285708</v>
      </c>
      <c r="D18" s="14">
        <f t="shared" si="1"/>
        <v>24.285714285714292</v>
      </c>
      <c r="E18" s="12" t="str">
        <f t="shared" si="2"/>
        <v>Critic</v>
      </c>
    </row>
    <row r="19" spans="1:5" ht="13.15" x14ac:dyDescent="0.35">
      <c r="A19" s="15">
        <v>18</v>
      </c>
      <c r="B19" s="16">
        <f>COUNTIF('Calculations KIMI'!$B:$B, A19)</f>
        <v>12</v>
      </c>
      <c r="C19" s="17">
        <f>SUMIF('Calculations KIMI'!$B:$B, A19, 'Calculations KIMI'!$I:$I)</f>
        <v>175.71428571428572</v>
      </c>
      <c r="D19" s="18">
        <f t="shared" si="1"/>
        <v>0</v>
      </c>
      <c r="E19" s="16" t="str">
        <f t="shared" si="2"/>
        <v>Critic</v>
      </c>
    </row>
    <row r="20" spans="1:5" ht="13.15" x14ac:dyDescent="0.35">
      <c r="A20" s="11">
        <v>19</v>
      </c>
      <c r="B20" s="12">
        <f>COUNTIF('Calculations KIMI'!$B:$B, A20)</f>
        <v>5</v>
      </c>
      <c r="C20" s="13">
        <f>SUMIF('Calculations KIMI'!$B:$B, A20, 'Calculations KIMI'!$I:$I)</f>
        <v>102.85714285714285</v>
      </c>
      <c r="D20" s="14">
        <f t="shared" si="1"/>
        <v>0</v>
      </c>
      <c r="E20" s="12" t="str">
        <f t="shared" si="2"/>
        <v>Critic</v>
      </c>
    </row>
    <row r="21" spans="1:5" ht="13.15" x14ac:dyDescent="0.35">
      <c r="A21" s="15">
        <v>20</v>
      </c>
      <c r="B21" s="16">
        <f>COUNTIF('Calculations KIMI'!$B:$B, A21)</f>
        <v>14</v>
      </c>
      <c r="C21" s="17">
        <f>SUMIF('Calculations KIMI'!$B:$B, A21, 'Calculations KIMI'!$I:$I)</f>
        <v>160.00000000000003</v>
      </c>
      <c r="D21" s="18">
        <f t="shared" si="1"/>
        <v>0</v>
      </c>
      <c r="E21" s="16" t="str">
        <f t="shared" si="2"/>
        <v>Critic</v>
      </c>
    </row>
    <row r="22" spans="1:5" ht="15" x14ac:dyDescent="0.35">
      <c r="A22" s="56" t="s">
        <v>577</v>
      </c>
      <c r="B22" s="56"/>
      <c r="C22" s="19">
        <f>ROUND(AVERAGE(C2:C21),2)</f>
        <v>152.09</v>
      </c>
      <c r="D22" s="19">
        <f>ROUND(AVERAGE(D2:D21),2)</f>
        <v>6.99</v>
      </c>
      <c r="E22" s="20" t="str">
        <f t="shared" ref="E22" si="3">IF(D22&gt;=90,"Excellent",IF(D22&gt;=75,"Good",IF(D22&gt;=55,"Acceptable",IF(D22&gt;=35,"Weak","Critic"))))</f>
        <v>Critic</v>
      </c>
    </row>
  </sheetData>
  <mergeCells count="1">
    <mergeCell ref="A22:B22"/>
  </mergeCells>
  <conditionalFormatting sqref="C2:C21">
    <cfRule type="cellIs" dxfId="0" priority="1" operator="greaterThan">
      <formula>99</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Parameters</vt:lpstr>
      <vt:lpstr>Interpretation Scale</vt:lpstr>
      <vt:lpstr>Data OPUS</vt:lpstr>
      <vt:lpstr>Calculations OPUS</vt:lpstr>
      <vt:lpstr>Puzzle Scores OPUS</vt:lpstr>
      <vt:lpstr>Data LLAMA</vt:lpstr>
      <vt:lpstr>Calculations LLAMA</vt:lpstr>
      <vt:lpstr>Puzzle Scores LLAMA</vt:lpstr>
      <vt:lpstr>Data QWEN</vt:lpstr>
      <vt:lpstr>Calculations QWEN</vt:lpstr>
      <vt:lpstr>Puzzle Scores QWEN</vt:lpstr>
      <vt:lpstr>Data GEMINI</vt:lpstr>
      <vt:lpstr>Calculations GEMINI</vt:lpstr>
      <vt:lpstr>Puzzle Scores GEMINI</vt:lpstr>
      <vt:lpstr>Data GPT</vt:lpstr>
      <vt:lpstr>Calculations GPT</vt:lpstr>
      <vt:lpstr>Puzzle Scores GPT</vt:lpstr>
      <vt:lpstr>Data DEEPSEEK</vt:lpstr>
      <vt:lpstr>Calculations DEEPSEEK</vt:lpstr>
      <vt:lpstr>Puzzle Scores DEEPSEEK</vt:lpstr>
      <vt:lpstr>Data KIMI</vt:lpstr>
      <vt:lpstr>Calculations KIMI</vt:lpstr>
      <vt:lpstr>Puzzle Scores KIMI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dulgheru n m mihainicolae</cp:lastModifiedBy>
  <cp:revision>0</cp:revision>
  <dcterms:created xsi:type="dcterms:W3CDTF">2026-03-27T09:41:39Z</dcterms:created>
  <dcterms:modified xsi:type="dcterms:W3CDTF">2026-04-09T08:51:54Z</dcterms:modified>
  <dc:language>en-US</dc:language>
</cp:coreProperties>
</file>